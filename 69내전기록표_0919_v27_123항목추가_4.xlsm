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현재_통합_문서"/>
  <bookViews>
    <workbookView xWindow="225" yWindow="4845" windowWidth="28815" windowHeight="6315" activeTab="2"/>
  </bookViews>
  <sheets>
    <sheet name="조편성" sheetId="8" r:id="rId1"/>
    <sheet name="조편성_MMR" sheetId="9" r:id="rId2"/>
    <sheet name="현재시즌" sheetId="3" r:id="rId3"/>
    <sheet name="현재시즌_부캐릭분류" sheetId="4" r:id="rId4"/>
    <sheet name="현재시즌_캐릭별전적" sheetId="7" r:id="rId5"/>
    <sheet name="백업" sheetId="6" r:id="rId6"/>
    <sheet name="지난시즌_MMR참고용" sheetId="10" r:id="rId7"/>
  </sheets>
  <functionGroups builtInGroupCount="17"/>
  <definedNames>
    <definedName name="_xlnm._FilterDatabase" localSheetId="2" hidden="1">현재시즌!$B$3:$B$69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2" i="9" l="1"/>
  <c r="AN9" i="6" l="1"/>
  <c r="AM9" i="6"/>
  <c r="AL9" i="6"/>
  <c r="AK9" i="6"/>
  <c r="AJ9" i="6"/>
  <c r="AB9" i="6"/>
  <c r="AA9" i="6"/>
  <c r="Z9" i="6"/>
  <c r="Y9" i="6"/>
  <c r="X9" i="6"/>
  <c r="P9" i="6"/>
  <c r="O9" i="6"/>
  <c r="N9" i="6"/>
  <c r="M9" i="6"/>
  <c r="L9" i="6"/>
  <c r="D9" i="6"/>
  <c r="C9" i="6"/>
  <c r="AU8" i="6"/>
  <c r="AT8" i="6"/>
  <c r="AS8" i="6"/>
  <c r="AK8" i="6"/>
  <c r="AJ8" i="6"/>
  <c r="AI8" i="6"/>
  <c r="AH8" i="6"/>
  <c r="AG8" i="6"/>
  <c r="Y8" i="6"/>
  <c r="X8" i="6"/>
  <c r="W8" i="6"/>
  <c r="V8" i="6"/>
  <c r="U8" i="6"/>
  <c r="M8" i="6"/>
  <c r="L8" i="6"/>
  <c r="K8" i="6"/>
  <c r="J8" i="6"/>
  <c r="I8" i="6"/>
  <c r="AU7" i="6"/>
  <c r="AU9" i="6" s="1"/>
  <c r="AT7" i="6"/>
  <c r="AT9" i="6" s="1"/>
  <c r="AS7" i="6"/>
  <c r="AS9" i="6" s="1"/>
  <c r="AR7" i="6"/>
  <c r="AR8" i="6" s="1"/>
  <c r="AQ7" i="6"/>
  <c r="AQ8" i="6" s="1"/>
  <c r="AP7" i="6"/>
  <c r="AP8" i="6" s="1"/>
  <c r="AO7" i="6"/>
  <c r="AO8" i="6" s="1"/>
  <c r="AN7" i="6"/>
  <c r="AN8" i="6" s="1"/>
  <c r="AM7" i="6"/>
  <c r="AM8" i="6" s="1"/>
  <c r="AL7" i="6"/>
  <c r="AK7" i="6"/>
  <c r="AJ7" i="6"/>
  <c r="AI7" i="6"/>
  <c r="AI9" i="6" s="1"/>
  <c r="AH7" i="6"/>
  <c r="AH9" i="6" s="1"/>
  <c r="AG7" i="6"/>
  <c r="AG9" i="6" s="1"/>
  <c r="AF7" i="6"/>
  <c r="AF8" i="6" s="1"/>
  <c r="AE7" i="6"/>
  <c r="AE8" i="6" s="1"/>
  <c r="AD7" i="6"/>
  <c r="AD8" i="6" s="1"/>
  <c r="AC7" i="6"/>
  <c r="AC8" i="6" s="1"/>
  <c r="AB7" i="6"/>
  <c r="AB8" i="6" s="1"/>
  <c r="AA7" i="6"/>
  <c r="AA8" i="6" s="1"/>
  <c r="Z7" i="6"/>
  <c r="Y7" i="6"/>
  <c r="X7" i="6"/>
  <c r="W7" i="6"/>
  <c r="W9" i="6" s="1"/>
  <c r="V7" i="6"/>
  <c r="V9" i="6" s="1"/>
  <c r="U7" i="6"/>
  <c r="U9" i="6" s="1"/>
  <c r="T7" i="6"/>
  <c r="T8" i="6" s="1"/>
  <c r="S7" i="6"/>
  <c r="S8" i="6" s="1"/>
  <c r="R7" i="6"/>
  <c r="R8" i="6" s="1"/>
  <c r="Q7" i="6"/>
  <c r="Q8" i="6" s="1"/>
  <c r="P7" i="6"/>
  <c r="P8" i="6" s="1"/>
  <c r="O7" i="6"/>
  <c r="O8" i="6" s="1"/>
  <c r="N7" i="6"/>
  <c r="M7" i="6"/>
  <c r="L7" i="6"/>
  <c r="K7" i="6"/>
  <c r="K9" i="6" s="1"/>
  <c r="J7" i="6"/>
  <c r="J9" i="6" s="1"/>
  <c r="I7" i="6"/>
  <c r="I9" i="6" s="1"/>
  <c r="H7" i="6"/>
  <c r="H8" i="6" s="1"/>
  <c r="G7" i="6"/>
  <c r="G8" i="6" s="1"/>
  <c r="F7" i="6"/>
  <c r="F8" i="6" s="1"/>
  <c r="E7" i="6"/>
  <c r="E8" i="6" s="1"/>
  <c r="D7" i="6"/>
  <c r="D8" i="6" s="1"/>
  <c r="C7" i="6"/>
  <c r="C8" i="6" s="1"/>
  <c r="AU6" i="6"/>
  <c r="AT6" i="6"/>
  <c r="AS6" i="6"/>
  <c r="AR6" i="6"/>
  <c r="AQ6" i="6"/>
  <c r="AP6" i="6"/>
  <c r="AO6" i="6"/>
  <c r="AN6" i="6"/>
  <c r="AM6" i="6"/>
  <c r="AL6" i="6"/>
  <c r="AL8" i="6" s="1"/>
  <c r="AK6" i="6"/>
  <c r="AJ6" i="6"/>
  <c r="AI6" i="6"/>
  <c r="AH6" i="6"/>
  <c r="AG6" i="6"/>
  <c r="AF6" i="6"/>
  <c r="AE6" i="6"/>
  <c r="AD6" i="6"/>
  <c r="AC6" i="6"/>
  <c r="AB6" i="6"/>
  <c r="AA6" i="6"/>
  <c r="Z6" i="6"/>
  <c r="Z8" i="6" s="1"/>
  <c r="Y6" i="6"/>
  <c r="X6" i="6"/>
  <c r="W6" i="6"/>
  <c r="V6" i="6"/>
  <c r="U6" i="6"/>
  <c r="T6" i="6"/>
  <c r="S6" i="6"/>
  <c r="R6" i="6"/>
  <c r="Q6" i="6"/>
  <c r="P6" i="6"/>
  <c r="O6" i="6"/>
  <c r="N6" i="6"/>
  <c r="N8" i="6" s="1"/>
  <c r="M6" i="6"/>
  <c r="L6" i="6"/>
  <c r="K6" i="6"/>
  <c r="J6" i="6"/>
  <c r="I6" i="6"/>
  <c r="H6" i="6"/>
  <c r="G6" i="6"/>
  <c r="F6" i="6"/>
  <c r="E6" i="6"/>
  <c r="D6" i="6"/>
  <c r="C6" i="6"/>
  <c r="B3" i="6"/>
  <c r="P3" i="8"/>
  <c r="O3" i="8"/>
  <c r="AB3" i="8"/>
  <c r="X3" i="8"/>
  <c r="AC4" i="8"/>
  <c r="Q3" i="8"/>
  <c r="U3" i="8"/>
  <c r="X4" i="8"/>
  <c r="AG4" i="8"/>
  <c r="S3" i="8"/>
  <c r="AB4" i="8"/>
  <c r="V4" i="8"/>
  <c r="N4" i="8"/>
  <c r="Z4" i="8"/>
  <c r="Z3" i="8"/>
  <c r="T3" i="8"/>
  <c r="W4" i="8"/>
  <c r="P4" i="8"/>
  <c r="AG3" i="8"/>
  <c r="AA3" i="8"/>
  <c r="AD3" i="8"/>
  <c r="AF4" i="8"/>
  <c r="AD4" i="8"/>
  <c r="AE4" i="8"/>
  <c r="Y4" i="8"/>
  <c r="AC3" i="8"/>
  <c r="S4" i="8"/>
  <c r="AA4" i="8"/>
  <c r="O4" i="8"/>
  <c r="Y3" i="8"/>
  <c r="Q4" i="8"/>
  <c r="V3" i="8"/>
  <c r="N3" i="8"/>
  <c r="W3" i="8"/>
  <c r="T4" i="8"/>
  <c r="R3" i="8"/>
  <c r="U4" i="8"/>
  <c r="R4" i="8"/>
  <c r="AE3" i="8"/>
  <c r="AF3" i="8"/>
  <c r="E9" i="6" l="1"/>
  <c r="Q9" i="6"/>
  <c r="AC9" i="6"/>
  <c r="AO9" i="6"/>
  <c r="F9" i="6"/>
  <c r="R9" i="6"/>
  <c r="AD9" i="6"/>
  <c r="AP9" i="6"/>
  <c r="G9" i="6"/>
  <c r="S9" i="6"/>
  <c r="AE9" i="6"/>
  <c r="AQ9" i="6"/>
  <c r="H9" i="6"/>
  <c r="T9" i="6"/>
  <c r="AF9" i="6"/>
  <c r="AR9" i="6"/>
  <c r="D27" i="9" l="1"/>
  <c r="E27" i="9"/>
  <c r="F27" i="9"/>
  <c r="G27" i="9"/>
  <c r="H27" i="9"/>
  <c r="I27" i="9"/>
  <c r="J27" i="9"/>
  <c r="K27" i="9"/>
  <c r="L27" i="9"/>
  <c r="M27" i="9"/>
  <c r="N27" i="9"/>
  <c r="O27" i="9"/>
  <c r="P27" i="9"/>
  <c r="Q27" i="9"/>
  <c r="R27" i="9"/>
  <c r="S27" i="9"/>
  <c r="T27" i="9"/>
  <c r="U27" i="9"/>
  <c r="V27" i="9"/>
  <c r="W27" i="9"/>
  <c r="X27" i="9"/>
  <c r="Y27" i="9"/>
  <c r="Z27" i="9"/>
  <c r="AA27" i="9"/>
  <c r="AB27" i="9"/>
  <c r="AC27" i="9"/>
  <c r="AD27" i="9"/>
  <c r="AE27" i="9"/>
  <c r="AF27" i="9"/>
  <c r="AG27" i="9"/>
  <c r="AH27" i="9"/>
  <c r="AI27" i="9"/>
  <c r="AJ27" i="9"/>
  <c r="AK27" i="9"/>
  <c r="AL27" i="9"/>
  <c r="AM27" i="9"/>
  <c r="AN27" i="9"/>
  <c r="AO27" i="9"/>
  <c r="AP27" i="9"/>
  <c r="AQ27" i="9"/>
  <c r="AR27" i="9"/>
  <c r="AS27" i="9"/>
  <c r="AT27" i="9"/>
  <c r="AU27" i="9"/>
  <c r="C27" i="9"/>
  <c r="D36" i="9"/>
  <c r="E36" i="9"/>
  <c r="F36" i="9"/>
  <c r="G36" i="9"/>
  <c r="H36" i="9"/>
  <c r="I36" i="9"/>
  <c r="J36" i="9"/>
  <c r="K36" i="9"/>
  <c r="L36" i="9"/>
  <c r="M36" i="9"/>
  <c r="N36" i="9"/>
  <c r="O36" i="9"/>
  <c r="P36" i="9"/>
  <c r="Q36" i="9"/>
  <c r="R36" i="9"/>
  <c r="S36" i="9"/>
  <c r="T36" i="9"/>
  <c r="U36" i="9"/>
  <c r="V36" i="9"/>
  <c r="W36" i="9"/>
  <c r="X36" i="9"/>
  <c r="Y36" i="9"/>
  <c r="Z36" i="9"/>
  <c r="AA36" i="9"/>
  <c r="AB36" i="9"/>
  <c r="AC36" i="9"/>
  <c r="AD36" i="9"/>
  <c r="AE36" i="9"/>
  <c r="AF36" i="9"/>
  <c r="AG36" i="9"/>
  <c r="AH36" i="9"/>
  <c r="AI36" i="9"/>
  <c r="AJ36" i="9"/>
  <c r="AK36" i="9"/>
  <c r="AL36" i="9"/>
  <c r="AM36" i="9"/>
  <c r="AN36" i="9"/>
  <c r="AO36" i="9"/>
  <c r="AP36" i="9"/>
  <c r="AQ36" i="9"/>
  <c r="AR36" i="9"/>
  <c r="AS36" i="9"/>
  <c r="AT36" i="9"/>
  <c r="AU36" i="9"/>
  <c r="C36" i="9"/>
  <c r="E22" i="9" l="1"/>
  <c r="E23" i="9" s="1"/>
  <c r="F22" i="9"/>
  <c r="F23" i="9" s="1"/>
  <c r="G22" i="9"/>
  <c r="G23" i="9" s="1"/>
  <c r="H22" i="9"/>
  <c r="I22" i="9"/>
  <c r="I23" i="9" s="1"/>
  <c r="J22" i="9"/>
  <c r="K22" i="9"/>
  <c r="K23" i="9" s="1"/>
  <c r="L22" i="9"/>
  <c r="M22" i="9"/>
  <c r="N22" i="9"/>
  <c r="N23" i="9" s="1"/>
  <c r="O22" i="9"/>
  <c r="O23" i="9" s="1"/>
  <c r="P22" i="9"/>
  <c r="Q22" i="9"/>
  <c r="R22" i="9"/>
  <c r="R23" i="9" s="1"/>
  <c r="S22" i="9"/>
  <c r="S23" i="9" s="1"/>
  <c r="T22" i="9"/>
  <c r="T23" i="9" s="1"/>
  <c r="U22" i="9"/>
  <c r="V22" i="9"/>
  <c r="W22" i="9"/>
  <c r="X22" i="9"/>
  <c r="X23" i="9" s="1"/>
  <c r="Y22" i="9"/>
  <c r="Y23" i="9" s="1"/>
  <c r="Z22" i="9"/>
  <c r="Z23" i="9" s="1"/>
  <c r="AA22" i="9"/>
  <c r="AA23" i="9" s="1"/>
  <c r="AB22" i="9"/>
  <c r="AB23" i="9" s="1"/>
  <c r="AC22" i="9"/>
  <c r="AD22" i="9"/>
  <c r="AD23" i="9" s="1"/>
  <c r="AE22" i="9"/>
  <c r="AF22" i="9"/>
  <c r="AG22" i="9"/>
  <c r="AG23" i="9" s="1"/>
  <c r="AH22" i="9"/>
  <c r="AH23" i="9" s="1"/>
  <c r="AI22" i="9"/>
  <c r="AJ22" i="9"/>
  <c r="AK22" i="9"/>
  <c r="AK23" i="9" s="1"/>
  <c r="AL22" i="9"/>
  <c r="AM22" i="9"/>
  <c r="AN22" i="9"/>
  <c r="AO22" i="9"/>
  <c r="AP22" i="9"/>
  <c r="AQ22" i="9"/>
  <c r="AR22" i="9"/>
  <c r="AS22" i="9"/>
  <c r="AT22" i="9"/>
  <c r="AU22" i="9"/>
  <c r="C22" i="9"/>
  <c r="M40" i="8" l="1"/>
  <c r="M41" i="8"/>
  <c r="M42" i="8"/>
  <c r="M43" i="8"/>
  <c r="M44" i="8"/>
  <c r="M45" i="8"/>
  <c r="M46" i="8"/>
  <c r="M39" i="8"/>
  <c r="T38" i="8" l="1"/>
  <c r="AC38" i="8"/>
  <c r="AB38" i="8"/>
  <c r="AA38" i="8"/>
  <c r="S38" i="8"/>
  <c r="Z38" i="8"/>
  <c r="R38" i="8"/>
  <c r="U38" i="8"/>
  <c r="D127" i="3"/>
  <c r="E127" i="3" s="1"/>
  <c r="D126" i="3"/>
  <c r="E126" i="3" s="1"/>
  <c r="D125" i="3"/>
  <c r="E125" i="3" s="1"/>
  <c r="D124" i="3"/>
  <c r="E124" i="3" s="1"/>
  <c r="D123" i="3"/>
  <c r="E123" i="3" s="1"/>
  <c r="D26" i="9" l="1"/>
  <c r="E26" i="9"/>
  <c r="F26" i="9"/>
  <c r="G26" i="9"/>
  <c r="H26" i="9"/>
  <c r="I26" i="9"/>
  <c r="J26" i="9"/>
  <c r="K26" i="9"/>
  <c r="L26" i="9"/>
  <c r="M26" i="9"/>
  <c r="N26" i="9"/>
  <c r="O26" i="9"/>
  <c r="P26" i="9"/>
  <c r="Q26" i="9"/>
  <c r="R26" i="9"/>
  <c r="S26" i="9"/>
  <c r="T26" i="9"/>
  <c r="U26" i="9"/>
  <c r="V26" i="9"/>
  <c r="W26" i="9"/>
  <c r="X26" i="9"/>
  <c r="Y26" i="9"/>
  <c r="Z26" i="9"/>
  <c r="AA26" i="9"/>
  <c r="AB26" i="9"/>
  <c r="AC26" i="9"/>
  <c r="AD26" i="9"/>
  <c r="AE26" i="9"/>
  <c r="AF26" i="9"/>
  <c r="AG26" i="9"/>
  <c r="AH26" i="9"/>
  <c r="AI26" i="9"/>
  <c r="AJ26" i="9"/>
  <c r="AK26" i="9"/>
  <c r="AL26" i="9"/>
  <c r="AM26" i="9"/>
  <c r="AN26" i="9"/>
  <c r="AO26" i="9"/>
  <c r="AP26" i="9"/>
  <c r="AQ26" i="9"/>
  <c r="AR26" i="9"/>
  <c r="AS26" i="9"/>
  <c r="AT26" i="9"/>
  <c r="AU26" i="9"/>
  <c r="C26" i="9"/>
  <c r="AU7" i="10" l="1"/>
  <c r="AU9" i="10" s="1"/>
  <c r="AT7" i="10"/>
  <c r="AT9" i="10" s="1"/>
  <c r="AS7" i="10"/>
  <c r="AS9" i="10" s="1"/>
  <c r="AR7" i="10"/>
  <c r="AR8" i="10" s="1"/>
  <c r="AQ7" i="10"/>
  <c r="AQ8" i="10" s="1"/>
  <c r="AP7" i="10"/>
  <c r="AP8" i="10" s="1"/>
  <c r="AO7" i="10"/>
  <c r="AO8" i="10" s="1"/>
  <c r="AN7" i="10"/>
  <c r="AN8" i="10" s="1"/>
  <c r="AM7" i="10"/>
  <c r="AM8" i="10" s="1"/>
  <c r="AL7" i="10"/>
  <c r="AL8" i="10" s="1"/>
  <c r="AU6" i="10"/>
  <c r="AT6" i="10"/>
  <c r="AS6" i="10"/>
  <c r="AR6" i="10"/>
  <c r="AQ6" i="10"/>
  <c r="AP6" i="10"/>
  <c r="AO6" i="10"/>
  <c r="AN6" i="10"/>
  <c r="AM6" i="10"/>
  <c r="AL6" i="10"/>
  <c r="B3" i="10"/>
  <c r="AS8" i="10" l="1"/>
  <c r="AM9" i="10"/>
  <c r="AT8" i="10"/>
  <c r="AU8" i="10"/>
  <c r="AL9" i="10"/>
  <c r="AN9" i="10"/>
  <c r="AO9" i="10"/>
  <c r="AP9" i="10"/>
  <c r="AQ9" i="10"/>
  <c r="AR9" i="10"/>
  <c r="C101" i="3" l="1"/>
  <c r="C102" i="3"/>
  <c r="C103" i="3"/>
  <c r="E73" i="3" l="1"/>
  <c r="E69" i="3"/>
  <c r="E68" i="3"/>
  <c r="E67" i="3"/>
  <c r="B3" i="3"/>
  <c r="E6" i="3"/>
  <c r="F6" i="3"/>
  <c r="G6" i="3"/>
  <c r="H6" i="3"/>
  <c r="I6" i="3"/>
  <c r="J6" i="3"/>
  <c r="K6" i="3"/>
  <c r="L6" i="3"/>
  <c r="M6" i="3"/>
  <c r="N6" i="3"/>
  <c r="O6" i="3"/>
  <c r="P6" i="3"/>
  <c r="Q6" i="3"/>
  <c r="R6" i="3"/>
  <c r="S6" i="3"/>
  <c r="T6" i="3"/>
  <c r="U6" i="3"/>
  <c r="V6" i="3"/>
  <c r="W6" i="3"/>
  <c r="X6" i="3"/>
  <c r="Y6" i="3"/>
  <c r="Z6" i="3"/>
  <c r="AA6" i="3"/>
  <c r="AB6" i="3"/>
  <c r="AC6" i="3"/>
  <c r="AD6" i="3"/>
  <c r="AE6" i="3"/>
  <c r="AF6" i="3"/>
  <c r="AG6" i="3"/>
  <c r="AH6" i="3"/>
  <c r="AI6" i="3"/>
  <c r="AJ6" i="3"/>
  <c r="AK6" i="3"/>
  <c r="AL6" i="3"/>
  <c r="AM6" i="3"/>
  <c r="AN6" i="3"/>
  <c r="AO6" i="3"/>
  <c r="AP6" i="3"/>
  <c r="AQ6" i="3"/>
  <c r="AR6" i="3"/>
  <c r="AS6" i="3"/>
  <c r="AT6" i="3"/>
  <c r="AU6" i="3"/>
  <c r="D73" i="3"/>
  <c r="D72" i="3"/>
  <c r="D71" i="3"/>
  <c r="D70" i="3"/>
  <c r="D69" i="3"/>
  <c r="D68" i="3"/>
  <c r="D67" i="3"/>
  <c r="AU28" i="3" l="1"/>
  <c r="AT28" i="3"/>
  <c r="AS28" i="3"/>
  <c r="AR28" i="3"/>
  <c r="AQ28" i="3"/>
  <c r="AP28" i="3"/>
  <c r="AO28" i="3"/>
  <c r="AN28" i="3"/>
  <c r="AM28" i="3"/>
  <c r="AL28" i="3"/>
  <c r="AK28" i="3"/>
  <c r="AJ28" i="3"/>
  <c r="AI28" i="3"/>
  <c r="AH28" i="3"/>
  <c r="AG28" i="3"/>
  <c r="AF28" i="3"/>
  <c r="AE28" i="3"/>
  <c r="AD28" i="3"/>
  <c r="AC28" i="3"/>
  <c r="AB28" i="3"/>
  <c r="AA28" i="3"/>
  <c r="Z28" i="3"/>
  <c r="Y28" i="3"/>
  <c r="X28" i="3"/>
  <c r="W28" i="3"/>
  <c r="V28" i="3"/>
  <c r="U28" i="3"/>
  <c r="T28" i="3"/>
  <c r="S28" i="3"/>
  <c r="R28" i="3"/>
  <c r="Q28" i="3"/>
  <c r="P28" i="3"/>
  <c r="O28" i="3"/>
  <c r="N28" i="3"/>
  <c r="M28" i="3"/>
  <c r="L28" i="3"/>
  <c r="K28" i="3"/>
  <c r="J28" i="3"/>
  <c r="I28" i="3"/>
  <c r="H28" i="3"/>
  <c r="G28" i="3"/>
  <c r="F28" i="3"/>
  <c r="E28" i="3"/>
  <c r="D28" i="3"/>
  <c r="C28" i="3"/>
  <c r="AH41" i="7"/>
  <c r="AI41" i="7"/>
  <c r="AJ41" i="7"/>
  <c r="AK41" i="7"/>
  <c r="AL41" i="7"/>
  <c r="AM41" i="7"/>
  <c r="AN41" i="7"/>
  <c r="AO41" i="7"/>
  <c r="AP41" i="7"/>
  <c r="AQ41" i="7"/>
  <c r="AR41" i="7"/>
  <c r="AS41" i="7"/>
  <c r="AT41" i="7"/>
  <c r="AU41" i="7"/>
  <c r="AV41" i="7"/>
  <c r="AW41" i="7"/>
  <c r="AX41" i="7"/>
  <c r="AY41" i="7"/>
  <c r="AZ41" i="7"/>
  <c r="BA41" i="7"/>
  <c r="BB41" i="7"/>
  <c r="BC41" i="7"/>
  <c r="BD41" i="7"/>
  <c r="BE41" i="7"/>
  <c r="BF41" i="7"/>
  <c r="BG41" i="7"/>
  <c r="BH41" i="7"/>
  <c r="BI41" i="7"/>
  <c r="BJ41" i="7"/>
  <c r="BK41" i="7"/>
  <c r="BL41" i="7"/>
  <c r="BM41" i="7"/>
  <c r="BN41" i="7"/>
  <c r="BO41" i="7"/>
  <c r="BP41" i="7"/>
  <c r="BQ41" i="7"/>
  <c r="BR41" i="7"/>
  <c r="BS41" i="7"/>
  <c r="BT41" i="7"/>
  <c r="BU41" i="7"/>
  <c r="BW41" i="7"/>
  <c r="BX41" i="7"/>
  <c r="BY41" i="7"/>
  <c r="BZ41" i="7"/>
  <c r="CD41" i="7"/>
  <c r="CE41" i="7"/>
  <c r="CF41" i="7"/>
  <c r="CG41" i="7"/>
  <c r="CK41" i="7"/>
  <c r="CL41" i="7"/>
  <c r="CM41" i="7"/>
  <c r="CN41" i="7"/>
  <c r="CR41" i="7"/>
  <c r="CS41" i="7"/>
  <c r="CT41" i="7"/>
  <c r="CU41" i="7"/>
  <c r="CY41" i="7"/>
  <c r="CZ41" i="7"/>
  <c r="DA41" i="7"/>
  <c r="DB41" i="7"/>
  <c r="DF41" i="7"/>
  <c r="DG41" i="7"/>
  <c r="DK41" i="7"/>
  <c r="DL41" i="7"/>
  <c r="DP41" i="7"/>
  <c r="DQ41" i="7"/>
  <c r="DU41" i="7"/>
  <c r="DV41" i="7"/>
  <c r="DZ41" i="7"/>
  <c r="EA41" i="7"/>
  <c r="AH42" i="7"/>
  <c r="AI42" i="7"/>
  <c r="AJ42" i="7"/>
  <c r="AK42" i="7"/>
  <c r="AL42" i="7"/>
  <c r="AM42" i="7"/>
  <c r="AN42" i="7"/>
  <c r="AO42" i="7"/>
  <c r="AP42" i="7"/>
  <c r="AQ42" i="7"/>
  <c r="AR42" i="7"/>
  <c r="AS42" i="7"/>
  <c r="AT42" i="7"/>
  <c r="AU42" i="7"/>
  <c r="AV42" i="7"/>
  <c r="AW42" i="7"/>
  <c r="AX42" i="7"/>
  <c r="AY42" i="7"/>
  <c r="AZ42" i="7"/>
  <c r="BA42" i="7"/>
  <c r="BB42" i="7"/>
  <c r="BC42" i="7"/>
  <c r="BD42" i="7"/>
  <c r="BE42" i="7"/>
  <c r="BF42" i="7"/>
  <c r="BG42" i="7"/>
  <c r="BH42" i="7"/>
  <c r="BI42" i="7"/>
  <c r="BJ42" i="7"/>
  <c r="BK42" i="7"/>
  <c r="BL42" i="7"/>
  <c r="BM42" i="7"/>
  <c r="BN42" i="7"/>
  <c r="BO42" i="7"/>
  <c r="BP42" i="7"/>
  <c r="BQ42" i="7"/>
  <c r="BR42" i="7"/>
  <c r="BS42" i="7"/>
  <c r="BT42" i="7"/>
  <c r="BU42" i="7"/>
  <c r="BW42" i="7"/>
  <c r="BX42" i="7"/>
  <c r="BY42" i="7"/>
  <c r="BZ42" i="7"/>
  <c r="CD42" i="7"/>
  <c r="CE42" i="7"/>
  <c r="CF42" i="7"/>
  <c r="CG42" i="7"/>
  <c r="CK42" i="7"/>
  <c r="CL42" i="7"/>
  <c r="CM42" i="7"/>
  <c r="CN42" i="7"/>
  <c r="CR42" i="7"/>
  <c r="CS42" i="7"/>
  <c r="CT42" i="7"/>
  <c r="CU42" i="7"/>
  <c r="CY42" i="7"/>
  <c r="CZ42" i="7"/>
  <c r="DA42" i="7"/>
  <c r="DB42" i="7"/>
  <c r="DF42" i="7"/>
  <c r="DG42" i="7"/>
  <c r="DK42" i="7"/>
  <c r="DL42" i="7"/>
  <c r="DP42" i="7"/>
  <c r="DQ42" i="7"/>
  <c r="DU42" i="7"/>
  <c r="DV42" i="7"/>
  <c r="DZ42" i="7"/>
  <c r="EA42" i="7"/>
  <c r="AH43" i="7"/>
  <c r="AI43" i="7"/>
  <c r="AJ43" i="7"/>
  <c r="AK43" i="7"/>
  <c r="AL43" i="7"/>
  <c r="AM43" i="7"/>
  <c r="AN43" i="7"/>
  <c r="AO43" i="7"/>
  <c r="AP43" i="7"/>
  <c r="AQ43" i="7"/>
  <c r="AR43" i="7"/>
  <c r="AS43" i="7"/>
  <c r="AT43" i="7"/>
  <c r="AU43" i="7"/>
  <c r="AV43" i="7"/>
  <c r="AW43" i="7"/>
  <c r="AX43" i="7"/>
  <c r="AY43" i="7"/>
  <c r="AZ43" i="7"/>
  <c r="BA43" i="7"/>
  <c r="BB43" i="7"/>
  <c r="BC43" i="7"/>
  <c r="BD43" i="7"/>
  <c r="BE43" i="7"/>
  <c r="BF43" i="7"/>
  <c r="BG43" i="7"/>
  <c r="BH43" i="7"/>
  <c r="BI43" i="7"/>
  <c r="BJ43" i="7"/>
  <c r="BK43" i="7"/>
  <c r="BL43" i="7"/>
  <c r="BM43" i="7"/>
  <c r="BN43" i="7"/>
  <c r="BO43" i="7"/>
  <c r="BP43" i="7"/>
  <c r="BQ43" i="7"/>
  <c r="BR43" i="7"/>
  <c r="BS43" i="7"/>
  <c r="BT43" i="7"/>
  <c r="BU43" i="7"/>
  <c r="BW43" i="7"/>
  <c r="BX43" i="7"/>
  <c r="BY43" i="7"/>
  <c r="BZ43" i="7"/>
  <c r="CD43" i="7"/>
  <c r="CE43" i="7"/>
  <c r="CF43" i="7"/>
  <c r="CG43" i="7"/>
  <c r="CK43" i="7"/>
  <c r="CL43" i="7"/>
  <c r="CM43" i="7"/>
  <c r="CN43" i="7"/>
  <c r="CR43" i="7"/>
  <c r="CS43" i="7"/>
  <c r="CT43" i="7"/>
  <c r="CU43" i="7"/>
  <c r="CY43" i="7"/>
  <c r="CZ43" i="7"/>
  <c r="DA43" i="7"/>
  <c r="DB43" i="7"/>
  <c r="DF43" i="7"/>
  <c r="DG43" i="7"/>
  <c r="DK43" i="7"/>
  <c r="DL43" i="7"/>
  <c r="DP43" i="7"/>
  <c r="DQ43" i="7"/>
  <c r="DU43" i="7"/>
  <c r="DV43" i="7"/>
  <c r="DZ43" i="7"/>
  <c r="EA43" i="7"/>
  <c r="AH44" i="7"/>
  <c r="AI44" i="7"/>
  <c r="AJ44" i="7"/>
  <c r="AK44" i="7"/>
  <c r="AL44" i="7"/>
  <c r="AM44" i="7"/>
  <c r="AN44" i="7"/>
  <c r="AO44" i="7"/>
  <c r="AP44" i="7"/>
  <c r="AQ44" i="7"/>
  <c r="AR44" i="7"/>
  <c r="AS44" i="7"/>
  <c r="AT44" i="7"/>
  <c r="AU44" i="7"/>
  <c r="AV44" i="7"/>
  <c r="AW44" i="7"/>
  <c r="AX44" i="7"/>
  <c r="AY44" i="7"/>
  <c r="AZ44" i="7"/>
  <c r="BA44" i="7"/>
  <c r="BB44" i="7"/>
  <c r="BC44" i="7"/>
  <c r="BD44" i="7"/>
  <c r="BE44" i="7"/>
  <c r="BF44" i="7"/>
  <c r="BG44" i="7"/>
  <c r="BH44" i="7"/>
  <c r="BI44" i="7"/>
  <c r="BJ44" i="7"/>
  <c r="BK44" i="7"/>
  <c r="BL44" i="7"/>
  <c r="BM44" i="7"/>
  <c r="BN44" i="7"/>
  <c r="BO44" i="7"/>
  <c r="BP44" i="7"/>
  <c r="BQ44" i="7"/>
  <c r="BR44" i="7"/>
  <c r="BS44" i="7"/>
  <c r="BT44" i="7"/>
  <c r="BU44" i="7"/>
  <c r="BW44" i="7"/>
  <c r="BX44" i="7"/>
  <c r="BY44" i="7"/>
  <c r="BZ44" i="7"/>
  <c r="CD44" i="7"/>
  <c r="CE44" i="7"/>
  <c r="CF44" i="7"/>
  <c r="CG44" i="7"/>
  <c r="CK44" i="7"/>
  <c r="CL44" i="7"/>
  <c r="CM44" i="7"/>
  <c r="CN44" i="7"/>
  <c r="CR44" i="7"/>
  <c r="CS44" i="7"/>
  <c r="CT44" i="7"/>
  <c r="CU44" i="7"/>
  <c r="CY44" i="7"/>
  <c r="CZ44" i="7"/>
  <c r="DA44" i="7"/>
  <c r="DB44" i="7"/>
  <c r="DF44" i="7"/>
  <c r="DG44" i="7"/>
  <c r="DK44" i="7"/>
  <c r="DL44" i="7"/>
  <c r="DP44" i="7"/>
  <c r="DQ44" i="7"/>
  <c r="DU44" i="7"/>
  <c r="DV44" i="7"/>
  <c r="DZ44" i="7"/>
  <c r="EA44" i="7"/>
  <c r="AH45" i="7"/>
  <c r="AI45" i="7"/>
  <c r="AJ45" i="7"/>
  <c r="AK45" i="7"/>
  <c r="AL45" i="7"/>
  <c r="AM45" i="7"/>
  <c r="AN45" i="7"/>
  <c r="AO45" i="7"/>
  <c r="AP45" i="7"/>
  <c r="AQ45" i="7"/>
  <c r="AR45" i="7"/>
  <c r="AS45" i="7"/>
  <c r="AT45" i="7"/>
  <c r="AU45" i="7"/>
  <c r="AV45" i="7"/>
  <c r="AW45" i="7"/>
  <c r="AX45" i="7"/>
  <c r="AY45" i="7"/>
  <c r="AZ45" i="7"/>
  <c r="BA45" i="7"/>
  <c r="BB45" i="7"/>
  <c r="BC45" i="7"/>
  <c r="BD45" i="7"/>
  <c r="BE45" i="7"/>
  <c r="BF45" i="7"/>
  <c r="BG45" i="7"/>
  <c r="BH45" i="7"/>
  <c r="BI45" i="7"/>
  <c r="BJ45" i="7"/>
  <c r="BK45" i="7"/>
  <c r="BL45" i="7"/>
  <c r="BM45" i="7"/>
  <c r="BN45" i="7"/>
  <c r="BO45" i="7"/>
  <c r="BP45" i="7"/>
  <c r="BQ45" i="7"/>
  <c r="BR45" i="7"/>
  <c r="BS45" i="7"/>
  <c r="BT45" i="7"/>
  <c r="BU45" i="7"/>
  <c r="BW45" i="7"/>
  <c r="BX45" i="7"/>
  <c r="BY45" i="7"/>
  <c r="BZ45" i="7"/>
  <c r="CD45" i="7"/>
  <c r="CE45" i="7"/>
  <c r="CF45" i="7"/>
  <c r="CG45" i="7"/>
  <c r="CK45" i="7"/>
  <c r="CL45" i="7"/>
  <c r="CM45" i="7"/>
  <c r="CN45" i="7"/>
  <c r="CR45" i="7"/>
  <c r="CS45" i="7"/>
  <c r="CT45" i="7"/>
  <c r="CU45" i="7"/>
  <c r="CY45" i="7"/>
  <c r="CZ45" i="7"/>
  <c r="DA45" i="7"/>
  <c r="DB45" i="7"/>
  <c r="DF45" i="7"/>
  <c r="DG45" i="7"/>
  <c r="DK45" i="7"/>
  <c r="DL45" i="7"/>
  <c r="DP45" i="7"/>
  <c r="DQ45" i="7"/>
  <c r="DU45" i="7"/>
  <c r="DV45" i="7"/>
  <c r="DZ45" i="7"/>
  <c r="EA45" i="7"/>
  <c r="AH46" i="7"/>
  <c r="AI46" i="7"/>
  <c r="AJ46" i="7"/>
  <c r="AK46" i="7"/>
  <c r="AL46" i="7"/>
  <c r="AM46" i="7"/>
  <c r="AN46" i="7"/>
  <c r="AO46" i="7"/>
  <c r="AP46" i="7"/>
  <c r="AQ46" i="7"/>
  <c r="AR46" i="7"/>
  <c r="AS46" i="7"/>
  <c r="AT46" i="7"/>
  <c r="AU46" i="7"/>
  <c r="AV46" i="7"/>
  <c r="AW46" i="7"/>
  <c r="AX46" i="7"/>
  <c r="AY46" i="7"/>
  <c r="AZ46" i="7"/>
  <c r="BA46" i="7"/>
  <c r="BB46" i="7"/>
  <c r="BC46" i="7"/>
  <c r="BD46" i="7"/>
  <c r="BE46" i="7"/>
  <c r="BF46" i="7"/>
  <c r="BG46" i="7"/>
  <c r="BH46" i="7"/>
  <c r="BI46" i="7"/>
  <c r="BJ46" i="7"/>
  <c r="BK46" i="7"/>
  <c r="BL46" i="7"/>
  <c r="BM46" i="7"/>
  <c r="BN46" i="7"/>
  <c r="BO46" i="7"/>
  <c r="BP46" i="7"/>
  <c r="BQ46" i="7"/>
  <c r="BR46" i="7"/>
  <c r="BS46" i="7"/>
  <c r="BT46" i="7"/>
  <c r="BU46" i="7"/>
  <c r="BW46" i="7"/>
  <c r="BX46" i="7"/>
  <c r="BY46" i="7"/>
  <c r="BZ46" i="7"/>
  <c r="CD46" i="7"/>
  <c r="CE46" i="7"/>
  <c r="CF46" i="7"/>
  <c r="CG46" i="7"/>
  <c r="CK46" i="7"/>
  <c r="CL46" i="7"/>
  <c r="CM46" i="7"/>
  <c r="CN46" i="7"/>
  <c r="CR46" i="7"/>
  <c r="CS46" i="7"/>
  <c r="CT46" i="7"/>
  <c r="CU46" i="7"/>
  <c r="CY46" i="7"/>
  <c r="CZ46" i="7"/>
  <c r="DA46" i="7"/>
  <c r="DB46" i="7"/>
  <c r="DF46" i="7"/>
  <c r="DG46" i="7"/>
  <c r="DK46" i="7"/>
  <c r="DL46" i="7"/>
  <c r="DP46" i="7"/>
  <c r="DQ46" i="7"/>
  <c r="DU46" i="7"/>
  <c r="DV46" i="7"/>
  <c r="DZ46" i="7"/>
  <c r="EA46" i="7"/>
  <c r="AH47" i="7"/>
  <c r="AI47" i="7"/>
  <c r="AJ47" i="7"/>
  <c r="AK47" i="7"/>
  <c r="AL47" i="7"/>
  <c r="AM47" i="7"/>
  <c r="AN47" i="7"/>
  <c r="AO47" i="7"/>
  <c r="AP47" i="7"/>
  <c r="AQ47" i="7"/>
  <c r="AR47" i="7"/>
  <c r="AS47" i="7"/>
  <c r="AT47" i="7"/>
  <c r="AU47" i="7"/>
  <c r="AV47" i="7"/>
  <c r="AW47" i="7"/>
  <c r="AX47" i="7"/>
  <c r="AY47" i="7"/>
  <c r="AZ47" i="7"/>
  <c r="BA47" i="7"/>
  <c r="BB47" i="7"/>
  <c r="BC47" i="7"/>
  <c r="BD47" i="7"/>
  <c r="BE47" i="7"/>
  <c r="BF47" i="7"/>
  <c r="BG47" i="7"/>
  <c r="BH47" i="7"/>
  <c r="BI47" i="7"/>
  <c r="BJ47" i="7"/>
  <c r="BK47" i="7"/>
  <c r="BL47" i="7"/>
  <c r="BM47" i="7"/>
  <c r="BN47" i="7"/>
  <c r="BO47" i="7"/>
  <c r="BP47" i="7"/>
  <c r="BQ47" i="7"/>
  <c r="BR47" i="7"/>
  <c r="BS47" i="7"/>
  <c r="BT47" i="7"/>
  <c r="BU47" i="7"/>
  <c r="BW47" i="7"/>
  <c r="BX47" i="7"/>
  <c r="BY47" i="7"/>
  <c r="BZ47" i="7"/>
  <c r="CD47" i="7"/>
  <c r="CE47" i="7"/>
  <c r="CF47" i="7"/>
  <c r="CG47" i="7"/>
  <c r="CK47" i="7"/>
  <c r="CL47" i="7"/>
  <c r="CM47" i="7"/>
  <c r="CN47" i="7"/>
  <c r="CR47" i="7"/>
  <c r="CS47" i="7"/>
  <c r="CT47" i="7"/>
  <c r="CU47" i="7"/>
  <c r="CY47" i="7"/>
  <c r="CZ47" i="7"/>
  <c r="DA47" i="7"/>
  <c r="DB47" i="7"/>
  <c r="DF47" i="7"/>
  <c r="DG47" i="7"/>
  <c r="DK47" i="7"/>
  <c r="DL47" i="7"/>
  <c r="DP47" i="7"/>
  <c r="DQ47" i="7"/>
  <c r="DU47" i="7"/>
  <c r="DV47" i="7"/>
  <c r="DZ47" i="7"/>
  <c r="EA47" i="7"/>
  <c r="AH48" i="7"/>
  <c r="AI48" i="7"/>
  <c r="AJ48" i="7"/>
  <c r="AK48" i="7"/>
  <c r="AL48" i="7"/>
  <c r="AM48" i="7"/>
  <c r="AN48" i="7"/>
  <c r="AO48" i="7"/>
  <c r="AP48" i="7"/>
  <c r="AQ48" i="7"/>
  <c r="AR48" i="7"/>
  <c r="AS48" i="7"/>
  <c r="AT48" i="7"/>
  <c r="AU48" i="7"/>
  <c r="AV48" i="7"/>
  <c r="AW48" i="7"/>
  <c r="AX48" i="7"/>
  <c r="AY48" i="7"/>
  <c r="AZ48" i="7"/>
  <c r="BA48" i="7"/>
  <c r="BB48" i="7"/>
  <c r="BC48" i="7"/>
  <c r="BD48" i="7"/>
  <c r="BE48" i="7"/>
  <c r="BF48" i="7"/>
  <c r="BG48" i="7"/>
  <c r="BH48" i="7"/>
  <c r="BI48" i="7"/>
  <c r="BJ48" i="7"/>
  <c r="BK48" i="7"/>
  <c r="BL48" i="7"/>
  <c r="BM48" i="7"/>
  <c r="BN48" i="7"/>
  <c r="BO48" i="7"/>
  <c r="BP48" i="7"/>
  <c r="BQ48" i="7"/>
  <c r="BR48" i="7"/>
  <c r="BS48" i="7"/>
  <c r="BT48" i="7"/>
  <c r="BU48" i="7"/>
  <c r="BW48" i="7"/>
  <c r="BX48" i="7"/>
  <c r="BY48" i="7"/>
  <c r="BZ48" i="7"/>
  <c r="CD48" i="7"/>
  <c r="CE48" i="7"/>
  <c r="CF48" i="7"/>
  <c r="CG48" i="7"/>
  <c r="CK48" i="7"/>
  <c r="CL48" i="7"/>
  <c r="CM48" i="7"/>
  <c r="CN48" i="7"/>
  <c r="CR48" i="7"/>
  <c r="CS48" i="7"/>
  <c r="CT48" i="7"/>
  <c r="CU48" i="7"/>
  <c r="CY48" i="7"/>
  <c r="CZ48" i="7"/>
  <c r="DA48" i="7"/>
  <c r="DB48" i="7"/>
  <c r="DF48" i="7"/>
  <c r="DG48" i="7"/>
  <c r="DK48" i="7"/>
  <c r="DL48" i="7"/>
  <c r="DP48" i="7"/>
  <c r="DQ48" i="7"/>
  <c r="DU48" i="7"/>
  <c r="DV48" i="7"/>
  <c r="DZ48" i="7"/>
  <c r="EA48" i="7"/>
  <c r="AH49" i="7"/>
  <c r="AI49" i="7"/>
  <c r="AJ49" i="7"/>
  <c r="AK49" i="7"/>
  <c r="AL49" i="7"/>
  <c r="AM49" i="7"/>
  <c r="AN49" i="7"/>
  <c r="AO49" i="7"/>
  <c r="AP49" i="7"/>
  <c r="AQ49" i="7"/>
  <c r="AR49" i="7"/>
  <c r="AS49" i="7"/>
  <c r="AT49" i="7"/>
  <c r="AU49" i="7"/>
  <c r="AV49" i="7"/>
  <c r="AW49" i="7"/>
  <c r="AX49" i="7"/>
  <c r="AY49" i="7"/>
  <c r="AZ49" i="7"/>
  <c r="BA49" i="7"/>
  <c r="BB49" i="7"/>
  <c r="BC49" i="7"/>
  <c r="BD49" i="7"/>
  <c r="BE49" i="7"/>
  <c r="BF49" i="7"/>
  <c r="BG49" i="7"/>
  <c r="BH49" i="7"/>
  <c r="BI49" i="7"/>
  <c r="BJ49" i="7"/>
  <c r="BK49" i="7"/>
  <c r="BL49" i="7"/>
  <c r="BM49" i="7"/>
  <c r="BN49" i="7"/>
  <c r="BO49" i="7"/>
  <c r="BP49" i="7"/>
  <c r="BQ49" i="7"/>
  <c r="BR49" i="7"/>
  <c r="BS49" i="7"/>
  <c r="BT49" i="7"/>
  <c r="BU49" i="7"/>
  <c r="BW49" i="7"/>
  <c r="BX49" i="7"/>
  <c r="BY49" i="7"/>
  <c r="BZ49" i="7"/>
  <c r="CD49" i="7"/>
  <c r="CE49" i="7"/>
  <c r="CF49" i="7"/>
  <c r="CG49" i="7"/>
  <c r="CK49" i="7"/>
  <c r="CL49" i="7"/>
  <c r="CM49" i="7"/>
  <c r="CN49" i="7"/>
  <c r="CR49" i="7"/>
  <c r="CS49" i="7"/>
  <c r="CT49" i="7"/>
  <c r="CU49" i="7"/>
  <c r="CY49" i="7"/>
  <c r="CZ49" i="7"/>
  <c r="DA49" i="7"/>
  <c r="DB49" i="7"/>
  <c r="DF49" i="7"/>
  <c r="DG49" i="7"/>
  <c r="DK49" i="7"/>
  <c r="DL49" i="7"/>
  <c r="DP49" i="7"/>
  <c r="DQ49" i="7"/>
  <c r="DU49" i="7"/>
  <c r="DV49" i="7"/>
  <c r="DZ49" i="7"/>
  <c r="EA49" i="7"/>
  <c r="AH50" i="7"/>
  <c r="AI50" i="7"/>
  <c r="AJ50" i="7"/>
  <c r="AK50" i="7"/>
  <c r="AL50" i="7"/>
  <c r="AM50" i="7"/>
  <c r="AN50" i="7"/>
  <c r="AO50" i="7"/>
  <c r="AP50" i="7"/>
  <c r="AQ50" i="7"/>
  <c r="AR50" i="7"/>
  <c r="AS50" i="7"/>
  <c r="AT50" i="7"/>
  <c r="AU50" i="7"/>
  <c r="AV50" i="7"/>
  <c r="AW50" i="7"/>
  <c r="AX50" i="7"/>
  <c r="AY50" i="7"/>
  <c r="AZ50" i="7"/>
  <c r="BA50" i="7"/>
  <c r="BB50" i="7"/>
  <c r="BC50" i="7"/>
  <c r="BD50" i="7"/>
  <c r="BE50" i="7"/>
  <c r="BF50" i="7"/>
  <c r="BG50" i="7"/>
  <c r="BH50" i="7"/>
  <c r="BI50" i="7"/>
  <c r="BJ50" i="7"/>
  <c r="BK50" i="7"/>
  <c r="BL50" i="7"/>
  <c r="BM50" i="7"/>
  <c r="BN50" i="7"/>
  <c r="BO50" i="7"/>
  <c r="BP50" i="7"/>
  <c r="BQ50" i="7"/>
  <c r="BR50" i="7"/>
  <c r="BS50" i="7"/>
  <c r="BT50" i="7"/>
  <c r="BU50" i="7"/>
  <c r="BW50" i="7"/>
  <c r="BX50" i="7"/>
  <c r="BY50" i="7"/>
  <c r="BZ50" i="7"/>
  <c r="CD50" i="7"/>
  <c r="CE50" i="7"/>
  <c r="CF50" i="7"/>
  <c r="CG50" i="7"/>
  <c r="CK50" i="7"/>
  <c r="CL50" i="7"/>
  <c r="CM50" i="7"/>
  <c r="CN50" i="7"/>
  <c r="CR50" i="7"/>
  <c r="CS50" i="7"/>
  <c r="CT50" i="7"/>
  <c r="CU50" i="7"/>
  <c r="CY50" i="7"/>
  <c r="CZ50" i="7"/>
  <c r="DA50" i="7"/>
  <c r="DB50" i="7"/>
  <c r="DF50" i="7"/>
  <c r="DG50" i="7"/>
  <c r="DK50" i="7"/>
  <c r="DL50" i="7"/>
  <c r="DP50" i="7"/>
  <c r="DQ50" i="7"/>
  <c r="DU50" i="7"/>
  <c r="DV50" i="7"/>
  <c r="DZ50" i="7"/>
  <c r="EA50" i="7"/>
  <c r="AH51" i="7"/>
  <c r="AI51" i="7"/>
  <c r="AJ51" i="7"/>
  <c r="AK51" i="7"/>
  <c r="AL51" i="7"/>
  <c r="AM51" i="7"/>
  <c r="AN51" i="7"/>
  <c r="AO51" i="7"/>
  <c r="AP51" i="7"/>
  <c r="AQ51" i="7"/>
  <c r="AR51" i="7"/>
  <c r="AS51" i="7"/>
  <c r="AT51" i="7"/>
  <c r="AU51" i="7"/>
  <c r="AV51" i="7"/>
  <c r="AW51" i="7"/>
  <c r="AX51" i="7"/>
  <c r="AY51" i="7"/>
  <c r="AZ51" i="7"/>
  <c r="BA51" i="7"/>
  <c r="BB51" i="7"/>
  <c r="BC51" i="7"/>
  <c r="BD51" i="7"/>
  <c r="BE51" i="7"/>
  <c r="BF51" i="7"/>
  <c r="BG51" i="7"/>
  <c r="BH51" i="7"/>
  <c r="BI51" i="7"/>
  <c r="BJ51" i="7"/>
  <c r="BK51" i="7"/>
  <c r="BL51" i="7"/>
  <c r="BM51" i="7"/>
  <c r="BN51" i="7"/>
  <c r="BO51" i="7"/>
  <c r="BP51" i="7"/>
  <c r="BQ51" i="7"/>
  <c r="BR51" i="7"/>
  <c r="BS51" i="7"/>
  <c r="BT51" i="7"/>
  <c r="BU51" i="7"/>
  <c r="BW51" i="7"/>
  <c r="BX51" i="7"/>
  <c r="BY51" i="7"/>
  <c r="BZ51" i="7"/>
  <c r="CD51" i="7"/>
  <c r="CE51" i="7"/>
  <c r="CF51" i="7"/>
  <c r="CG51" i="7"/>
  <c r="CK51" i="7"/>
  <c r="CL51" i="7"/>
  <c r="CM51" i="7"/>
  <c r="CN51" i="7"/>
  <c r="CR51" i="7"/>
  <c r="CS51" i="7"/>
  <c r="CT51" i="7"/>
  <c r="CU51" i="7"/>
  <c r="CY51" i="7"/>
  <c r="CZ51" i="7"/>
  <c r="DA51" i="7"/>
  <c r="DB51" i="7"/>
  <c r="DF51" i="7"/>
  <c r="DG51" i="7"/>
  <c r="DK51" i="7"/>
  <c r="DL51" i="7"/>
  <c r="DP51" i="7"/>
  <c r="DQ51" i="7"/>
  <c r="DU51" i="7"/>
  <c r="DV51" i="7"/>
  <c r="DZ51" i="7"/>
  <c r="EA51" i="7"/>
  <c r="AH52" i="7"/>
  <c r="AI52" i="7"/>
  <c r="AJ52" i="7"/>
  <c r="AK52" i="7"/>
  <c r="AL52" i="7"/>
  <c r="AM52" i="7"/>
  <c r="AN52" i="7"/>
  <c r="AO52" i="7"/>
  <c r="AP52" i="7"/>
  <c r="AQ52" i="7"/>
  <c r="AR52" i="7"/>
  <c r="AS52" i="7"/>
  <c r="AT52" i="7"/>
  <c r="AU52" i="7"/>
  <c r="AV52" i="7"/>
  <c r="AW52" i="7"/>
  <c r="AX52" i="7"/>
  <c r="AY52" i="7"/>
  <c r="AZ52" i="7"/>
  <c r="BA52" i="7"/>
  <c r="BB52" i="7"/>
  <c r="BC52" i="7"/>
  <c r="BD52" i="7"/>
  <c r="BE52" i="7"/>
  <c r="BF52" i="7"/>
  <c r="BG52" i="7"/>
  <c r="BH52" i="7"/>
  <c r="BI52" i="7"/>
  <c r="BJ52" i="7"/>
  <c r="BK52" i="7"/>
  <c r="BL52" i="7"/>
  <c r="BM52" i="7"/>
  <c r="BN52" i="7"/>
  <c r="BO52" i="7"/>
  <c r="BP52" i="7"/>
  <c r="BQ52" i="7"/>
  <c r="BR52" i="7"/>
  <c r="BS52" i="7"/>
  <c r="BT52" i="7"/>
  <c r="BU52" i="7"/>
  <c r="BW52" i="7"/>
  <c r="BX52" i="7"/>
  <c r="BY52" i="7"/>
  <c r="BZ52" i="7"/>
  <c r="CD52" i="7"/>
  <c r="CE52" i="7"/>
  <c r="CF52" i="7"/>
  <c r="CG52" i="7"/>
  <c r="CK52" i="7"/>
  <c r="CL52" i="7"/>
  <c r="CM52" i="7"/>
  <c r="CN52" i="7"/>
  <c r="CR52" i="7"/>
  <c r="CS52" i="7"/>
  <c r="CT52" i="7"/>
  <c r="CU52" i="7"/>
  <c r="CY52" i="7"/>
  <c r="CZ52" i="7"/>
  <c r="DA52" i="7"/>
  <c r="DB52" i="7"/>
  <c r="DF52" i="7"/>
  <c r="DG52" i="7"/>
  <c r="DK52" i="7"/>
  <c r="DL52" i="7"/>
  <c r="DP52" i="7"/>
  <c r="DQ52" i="7"/>
  <c r="DU52" i="7"/>
  <c r="DV52" i="7"/>
  <c r="DZ52" i="7"/>
  <c r="EA52" i="7"/>
  <c r="E47" i="3"/>
  <c r="F63" i="3" s="1"/>
  <c r="D47" i="3"/>
  <c r="E63" i="3" s="1"/>
  <c r="C47" i="3"/>
  <c r="D63" i="3" s="1"/>
  <c r="E46" i="3"/>
  <c r="D46" i="3"/>
  <c r="C46" i="3"/>
  <c r="B47" i="3"/>
  <c r="C63" i="3" s="1"/>
  <c r="B46" i="3"/>
  <c r="CP49" i="7" l="1"/>
  <c r="DD49" i="7"/>
  <c r="CV49" i="7"/>
  <c r="DD51" i="7"/>
  <c r="DC46" i="7"/>
  <c r="DC47" i="7"/>
  <c r="CV50" i="7"/>
  <c r="CP51" i="7"/>
  <c r="CW52" i="7"/>
  <c r="CW46" i="7"/>
  <c r="CW48" i="7"/>
  <c r="CP47" i="7"/>
  <c r="CI52" i="7"/>
  <c r="CB49" i="7"/>
  <c r="CI46" i="7"/>
  <c r="CI48" i="7"/>
  <c r="CH50" i="7"/>
  <c r="CH49" i="7"/>
  <c r="CA52" i="7"/>
  <c r="CB51" i="7"/>
  <c r="CB45" i="7"/>
  <c r="CP45" i="7"/>
  <c r="DD45" i="7"/>
  <c r="CH44" i="7"/>
  <c r="CB43" i="7"/>
  <c r="CP43" i="7"/>
  <c r="DD43" i="7"/>
  <c r="CH43" i="7"/>
  <c r="CI42" i="7"/>
  <c r="CW42" i="7"/>
  <c r="CO41" i="7"/>
  <c r="DC41" i="7"/>
  <c r="CB41" i="7"/>
  <c r="CA50" i="7"/>
  <c r="CO51" i="7"/>
  <c r="CO50" i="7"/>
  <c r="CA45" i="7"/>
  <c r="CA44" i="7"/>
  <c r="CV42" i="7"/>
  <c r="CV41" i="7"/>
  <c r="CI50" i="7"/>
  <c r="CO49" i="7"/>
  <c r="CO48" i="7"/>
  <c r="DD47" i="7"/>
  <c r="CA43" i="7"/>
  <c r="CA42" i="7"/>
  <c r="CP41" i="7"/>
  <c r="CA46" i="7"/>
  <c r="CV44" i="7"/>
  <c r="DC52" i="7"/>
  <c r="CO47" i="7"/>
  <c r="CO46" i="7"/>
  <c r="CA41" i="7"/>
  <c r="CO52" i="7"/>
  <c r="CV43" i="7"/>
  <c r="DC51" i="7"/>
  <c r="DC50" i="7"/>
  <c r="CO45" i="7"/>
  <c r="CO44" i="7"/>
  <c r="CA47" i="7"/>
  <c r="CH52" i="7"/>
  <c r="CH51" i="7"/>
  <c r="CW50" i="7"/>
  <c r="DC49" i="7"/>
  <c r="DC48" i="7"/>
  <c r="CI44" i="7"/>
  <c r="CO43" i="7"/>
  <c r="CO42" i="7"/>
  <c r="DD41" i="7"/>
  <c r="CH48" i="7"/>
  <c r="CH47" i="7"/>
  <c r="DC45" i="7"/>
  <c r="DC44" i="7"/>
  <c r="CA51" i="7"/>
  <c r="CV52" i="7"/>
  <c r="CV51" i="7"/>
  <c r="CB47" i="7"/>
  <c r="CH46" i="7"/>
  <c r="CH45" i="7"/>
  <c r="CW44" i="7"/>
  <c r="DC43" i="7"/>
  <c r="DC42" i="7"/>
  <c r="CV48" i="7"/>
  <c r="CV47" i="7"/>
  <c r="CH42" i="7"/>
  <c r="CH41" i="7"/>
  <c r="CA49" i="7"/>
  <c r="CA48" i="7"/>
  <c r="CV46" i="7"/>
  <c r="CV45" i="7"/>
  <c r="DD52" i="7"/>
  <c r="CW51" i="7"/>
  <c r="CI51" i="7"/>
  <c r="DD50" i="7"/>
  <c r="CP50" i="7"/>
  <c r="CB50" i="7"/>
  <c r="CW49" i="7"/>
  <c r="CI49" i="7"/>
  <c r="DD48" i="7"/>
  <c r="CP48" i="7"/>
  <c r="CB48" i="7"/>
  <c r="CW47" i="7"/>
  <c r="CI47" i="7"/>
  <c r="DD46" i="7"/>
  <c r="CP46" i="7"/>
  <c r="CB46" i="7"/>
  <c r="CW45" i="7"/>
  <c r="CI45" i="7"/>
  <c r="DD44" i="7"/>
  <c r="CP44" i="7"/>
  <c r="CB44" i="7"/>
  <c r="CW43" i="7"/>
  <c r="CI43" i="7"/>
  <c r="DD42" i="7"/>
  <c r="CP42" i="7"/>
  <c r="CB42" i="7"/>
  <c r="CW41" i="7"/>
  <c r="CI41" i="7"/>
  <c r="CP52" i="7"/>
  <c r="CB52" i="7"/>
  <c r="AL7" i="3" l="1"/>
  <c r="AM7" i="3"/>
  <c r="AN7" i="3"/>
  <c r="AN37" i="9" s="1"/>
  <c r="AO7" i="3"/>
  <c r="AO37" i="9" s="1"/>
  <c r="AP7" i="3"/>
  <c r="AP37" i="9" s="1"/>
  <c r="AQ7" i="3"/>
  <c r="AQ37" i="9" s="1"/>
  <c r="AR7" i="3"/>
  <c r="AR37" i="9" s="1"/>
  <c r="AS7" i="3"/>
  <c r="AS37" i="9" s="1"/>
  <c r="AT7" i="3"/>
  <c r="AU7" i="3"/>
  <c r="X39" i="7"/>
  <c r="W39" i="7"/>
  <c r="U39" i="7"/>
  <c r="T39" i="7"/>
  <c r="R39" i="7"/>
  <c r="Q39" i="7"/>
  <c r="O39" i="7"/>
  <c r="N39" i="7"/>
  <c r="AN15" i="3"/>
  <c r="AN19" i="3" s="1"/>
  <c r="AS21" i="9" l="1"/>
  <c r="AS23" i="9"/>
  <c r="AR21" i="9"/>
  <c r="AR23" i="9"/>
  <c r="AN21" i="9"/>
  <c r="AN23" i="9"/>
  <c r="AO21" i="9"/>
  <c r="AO23" i="9"/>
  <c r="AQ21" i="9"/>
  <c r="AQ23" i="9"/>
  <c r="AP21" i="9"/>
  <c r="AP23" i="9"/>
  <c r="AT9" i="3"/>
  <c r="AT37" i="9"/>
  <c r="AS25" i="9"/>
  <c r="AS24" i="9"/>
  <c r="AQ25" i="9"/>
  <c r="AQ24" i="9"/>
  <c r="AO25" i="9"/>
  <c r="AO24" i="9"/>
  <c r="AM9" i="3"/>
  <c r="AM37" i="9"/>
  <c r="AU9" i="3"/>
  <c r="AU37" i="9"/>
  <c r="AR25" i="9"/>
  <c r="AR24" i="9"/>
  <c r="AP25" i="9"/>
  <c r="AP24" i="9"/>
  <c r="AN25" i="9"/>
  <c r="AN24" i="9"/>
  <c r="AL37" i="9"/>
  <c r="AU15" i="3"/>
  <c r="AU21" i="3" s="1"/>
  <c r="AT15" i="3"/>
  <c r="AT21" i="3" s="1"/>
  <c r="AS8" i="3"/>
  <c r="AS15" i="3"/>
  <c r="AS19" i="3" s="1"/>
  <c r="AN8" i="3"/>
  <c r="AO15" i="3"/>
  <c r="AO19" i="3" s="1"/>
  <c r="AR15" i="3"/>
  <c r="AR17" i="3" s="1"/>
  <c r="AR24" i="3" s="1"/>
  <c r="AQ15" i="3"/>
  <c r="AQ19" i="3" s="1"/>
  <c r="AR8" i="3"/>
  <c r="AQ8" i="3"/>
  <c r="AL15" i="3"/>
  <c r="AP8" i="3"/>
  <c r="AM15" i="3"/>
  <c r="AM17" i="3" s="1"/>
  <c r="AM24" i="3" s="1"/>
  <c r="AO8" i="3"/>
  <c r="AS9" i="3"/>
  <c r="AU8" i="3"/>
  <c r="AR9" i="3"/>
  <c r="AT8" i="3"/>
  <c r="AQ9" i="3"/>
  <c r="AP9" i="3"/>
  <c r="AP15" i="3"/>
  <c r="AP21" i="3" s="1"/>
  <c r="AO9" i="3"/>
  <c r="AN9" i="3"/>
  <c r="AL8" i="3"/>
  <c r="AM8" i="3"/>
  <c r="AN21" i="3"/>
  <c r="AN17" i="3"/>
  <c r="AN24" i="3" s="1"/>
  <c r="AN18" i="3"/>
  <c r="AN25" i="3" s="1"/>
  <c r="Y39" i="7"/>
  <c r="V39" i="7"/>
  <c r="S39" i="7"/>
  <c r="AA39" i="7"/>
  <c r="P39" i="7"/>
  <c r="Z39" i="7"/>
  <c r="AL21" i="9" l="1"/>
  <c r="AL23" i="9"/>
  <c r="AM21" i="9"/>
  <c r="AM23" i="9"/>
  <c r="AU21" i="9"/>
  <c r="AU23" i="9"/>
  <c r="AT21" i="9"/>
  <c r="AT23" i="9"/>
  <c r="AO28" i="9"/>
  <c r="AS28" i="9"/>
  <c r="AS21" i="3"/>
  <c r="AM18" i="3"/>
  <c r="AM25" i="3" s="1"/>
  <c r="AT17" i="3"/>
  <c r="AT24" i="3" s="1"/>
  <c r="AT19" i="3"/>
  <c r="AP28" i="9"/>
  <c r="AR28" i="9"/>
  <c r="AQ28" i="9"/>
  <c r="AN28" i="9"/>
  <c r="AT18" i="3"/>
  <c r="AT25" i="3" s="1"/>
  <c r="AU24" i="9"/>
  <c r="AU25" i="9"/>
  <c r="AL24" i="9"/>
  <c r="AL25" i="9"/>
  <c r="AT24" i="9"/>
  <c r="AT25" i="9"/>
  <c r="AM24" i="9"/>
  <c r="AM25" i="9"/>
  <c r="AU19" i="3"/>
  <c r="AU17" i="3"/>
  <c r="AU24" i="3" s="1"/>
  <c r="AU18" i="3"/>
  <c r="AU25" i="3" s="1"/>
  <c r="AS17" i="3"/>
  <c r="AS24" i="3" s="1"/>
  <c r="AS18" i="3"/>
  <c r="AS25" i="3" s="1"/>
  <c r="AO18" i="3"/>
  <c r="AO25" i="3" s="1"/>
  <c r="AP18" i="3"/>
  <c r="AP25" i="3" s="1"/>
  <c r="AO17" i="3"/>
  <c r="AO24" i="3" s="1"/>
  <c r="AQ18" i="3"/>
  <c r="AQ25" i="3" s="1"/>
  <c r="AR21" i="3"/>
  <c r="AO21" i="3"/>
  <c r="AQ21" i="3"/>
  <c r="AQ17" i="3"/>
  <c r="AQ24" i="3" s="1"/>
  <c r="AL19" i="3"/>
  <c r="AM19" i="3"/>
  <c r="AM21" i="3"/>
  <c r="AR19" i="3"/>
  <c r="AR18" i="3"/>
  <c r="AR25" i="3" s="1"/>
  <c r="AP19" i="3"/>
  <c r="AP17" i="3"/>
  <c r="AP24" i="3" s="1"/>
  <c r="AB39" i="7"/>
  <c r="DF113" i="7"/>
  <c r="DG113" i="7"/>
  <c r="DK113" i="7"/>
  <c r="DL113" i="7"/>
  <c r="DP113" i="7"/>
  <c r="DQ113" i="7"/>
  <c r="DU113" i="7"/>
  <c r="DV113" i="7"/>
  <c r="DZ113" i="7"/>
  <c r="EA113" i="7"/>
  <c r="DF114" i="7"/>
  <c r="DG114" i="7"/>
  <c r="DK114" i="7"/>
  <c r="DL114" i="7"/>
  <c r="DP114" i="7"/>
  <c r="DQ114" i="7"/>
  <c r="DU114" i="7"/>
  <c r="DV114" i="7"/>
  <c r="DZ114" i="7"/>
  <c r="EA114" i="7"/>
  <c r="DF115" i="7"/>
  <c r="DG115" i="7"/>
  <c r="DK115" i="7"/>
  <c r="DL115" i="7"/>
  <c r="DP115" i="7"/>
  <c r="DQ115" i="7"/>
  <c r="DU115" i="7"/>
  <c r="DV115" i="7"/>
  <c r="DZ115" i="7"/>
  <c r="EA115" i="7"/>
  <c r="DF116" i="7"/>
  <c r="DG116" i="7"/>
  <c r="DK116" i="7"/>
  <c r="DL116" i="7"/>
  <c r="DP116" i="7"/>
  <c r="DQ116" i="7"/>
  <c r="DU116" i="7"/>
  <c r="DV116" i="7"/>
  <c r="DZ116" i="7"/>
  <c r="EA116" i="7"/>
  <c r="DF117" i="7"/>
  <c r="DG117" i="7"/>
  <c r="DK117" i="7"/>
  <c r="DL117" i="7"/>
  <c r="DP117" i="7"/>
  <c r="DQ117" i="7"/>
  <c r="DU117" i="7"/>
  <c r="DV117" i="7"/>
  <c r="DZ117" i="7"/>
  <c r="EA117" i="7"/>
  <c r="DF118" i="7"/>
  <c r="DG118" i="7"/>
  <c r="DK118" i="7"/>
  <c r="DL118" i="7"/>
  <c r="DP118" i="7"/>
  <c r="DQ118" i="7"/>
  <c r="DU118" i="7"/>
  <c r="DV118" i="7"/>
  <c r="DZ118" i="7"/>
  <c r="EA118" i="7"/>
  <c r="DF119" i="7"/>
  <c r="DG119" i="7"/>
  <c r="DK119" i="7"/>
  <c r="DL119" i="7"/>
  <c r="DP119" i="7"/>
  <c r="DQ119" i="7"/>
  <c r="DU119" i="7"/>
  <c r="DV119" i="7"/>
  <c r="DZ119" i="7"/>
  <c r="EA119" i="7"/>
  <c r="DF120" i="7"/>
  <c r="DG120" i="7"/>
  <c r="DK120" i="7"/>
  <c r="DL120" i="7"/>
  <c r="DP120" i="7"/>
  <c r="DQ120" i="7"/>
  <c r="DU120" i="7"/>
  <c r="DV120" i="7"/>
  <c r="DZ120" i="7"/>
  <c r="EA120" i="7"/>
  <c r="DF121" i="7"/>
  <c r="DG121" i="7"/>
  <c r="DK121" i="7"/>
  <c r="DL121" i="7"/>
  <c r="DP121" i="7"/>
  <c r="DQ121" i="7"/>
  <c r="DU121" i="7"/>
  <c r="DV121" i="7"/>
  <c r="DZ121" i="7"/>
  <c r="EA121" i="7"/>
  <c r="DF122" i="7"/>
  <c r="DG122" i="7"/>
  <c r="DK122" i="7"/>
  <c r="DL122" i="7"/>
  <c r="DP122" i="7"/>
  <c r="DQ122" i="7"/>
  <c r="DU122" i="7"/>
  <c r="DV122" i="7"/>
  <c r="DZ122" i="7"/>
  <c r="EA122" i="7"/>
  <c r="DF123" i="7"/>
  <c r="DG123" i="7"/>
  <c r="DK123" i="7"/>
  <c r="DL123" i="7"/>
  <c r="DP123" i="7"/>
  <c r="DQ123" i="7"/>
  <c r="DU123" i="7"/>
  <c r="DV123" i="7"/>
  <c r="DZ123" i="7"/>
  <c r="EA123" i="7"/>
  <c r="DF124" i="7"/>
  <c r="DG124" i="7"/>
  <c r="DK124" i="7"/>
  <c r="DL124" i="7"/>
  <c r="DP124" i="7"/>
  <c r="DQ124" i="7"/>
  <c r="DU124" i="7"/>
  <c r="DV124" i="7"/>
  <c r="DZ124" i="7"/>
  <c r="EA124" i="7"/>
  <c r="DF125" i="7"/>
  <c r="DG125" i="7"/>
  <c r="DK125" i="7"/>
  <c r="DL125" i="7"/>
  <c r="DP125" i="7"/>
  <c r="DQ125" i="7"/>
  <c r="DU125" i="7"/>
  <c r="DV125" i="7"/>
  <c r="DZ125" i="7"/>
  <c r="EA125" i="7"/>
  <c r="DF126" i="7"/>
  <c r="DG126" i="7"/>
  <c r="DK126" i="7"/>
  <c r="DL126" i="7"/>
  <c r="DP126" i="7"/>
  <c r="DQ126" i="7"/>
  <c r="DU126" i="7"/>
  <c r="DV126" i="7"/>
  <c r="DZ126" i="7"/>
  <c r="EA126" i="7"/>
  <c r="DF127" i="7"/>
  <c r="DG127" i="7"/>
  <c r="DK127" i="7"/>
  <c r="DL127" i="7"/>
  <c r="DP127" i="7"/>
  <c r="DQ127" i="7"/>
  <c r="DU127" i="7"/>
  <c r="DV127" i="7"/>
  <c r="DZ127" i="7"/>
  <c r="EA127" i="7"/>
  <c r="DF128" i="7"/>
  <c r="DG128" i="7"/>
  <c r="DK128" i="7"/>
  <c r="DL128" i="7"/>
  <c r="DP128" i="7"/>
  <c r="DQ128" i="7"/>
  <c r="DU128" i="7"/>
  <c r="DV128" i="7"/>
  <c r="DZ128" i="7"/>
  <c r="EA128" i="7"/>
  <c r="DF129" i="7"/>
  <c r="DG129" i="7"/>
  <c r="DK129" i="7"/>
  <c r="DL129" i="7"/>
  <c r="DP129" i="7"/>
  <c r="DQ129" i="7"/>
  <c r="DU129" i="7"/>
  <c r="DV129" i="7"/>
  <c r="DZ129" i="7"/>
  <c r="EA129" i="7"/>
  <c r="DF130" i="7"/>
  <c r="DG130" i="7"/>
  <c r="DK130" i="7"/>
  <c r="DL130" i="7"/>
  <c r="DP130" i="7"/>
  <c r="DQ130" i="7"/>
  <c r="DU130" i="7"/>
  <c r="DV130" i="7"/>
  <c r="DZ130" i="7"/>
  <c r="EA130" i="7"/>
  <c r="DF131" i="7"/>
  <c r="DG131" i="7"/>
  <c r="DK131" i="7"/>
  <c r="DL131" i="7"/>
  <c r="DP131" i="7"/>
  <c r="DQ131" i="7"/>
  <c r="DU131" i="7"/>
  <c r="DV131" i="7"/>
  <c r="DZ131" i="7"/>
  <c r="EA131" i="7"/>
  <c r="DF132" i="7"/>
  <c r="DG132" i="7"/>
  <c r="DK132" i="7"/>
  <c r="DL132" i="7"/>
  <c r="DP132" i="7"/>
  <c r="DQ132" i="7"/>
  <c r="DU132" i="7"/>
  <c r="DV132" i="7"/>
  <c r="DZ132" i="7"/>
  <c r="EA132" i="7"/>
  <c r="DF133" i="7"/>
  <c r="DG133" i="7"/>
  <c r="DK133" i="7"/>
  <c r="DL133" i="7"/>
  <c r="DP133" i="7"/>
  <c r="DQ133" i="7"/>
  <c r="DU133" i="7"/>
  <c r="DV133" i="7"/>
  <c r="DZ133" i="7"/>
  <c r="EA133" i="7"/>
  <c r="DF134" i="7"/>
  <c r="DG134" i="7"/>
  <c r="DK134" i="7"/>
  <c r="DL134" i="7"/>
  <c r="DP134" i="7"/>
  <c r="DQ134" i="7"/>
  <c r="DU134" i="7"/>
  <c r="DV134" i="7"/>
  <c r="DZ134" i="7"/>
  <c r="EA134" i="7"/>
  <c r="DF135" i="7"/>
  <c r="DG135" i="7"/>
  <c r="DK135" i="7"/>
  <c r="DL135" i="7"/>
  <c r="DP135" i="7"/>
  <c r="DQ135" i="7"/>
  <c r="DU135" i="7"/>
  <c r="DV135" i="7"/>
  <c r="DZ135" i="7"/>
  <c r="EA135" i="7"/>
  <c r="DF136" i="7"/>
  <c r="DG136" i="7"/>
  <c r="DK136" i="7"/>
  <c r="DL136" i="7"/>
  <c r="DP136" i="7"/>
  <c r="DQ136" i="7"/>
  <c r="DU136" i="7"/>
  <c r="DV136" i="7"/>
  <c r="DZ136" i="7"/>
  <c r="EA136" i="7"/>
  <c r="DF137" i="7"/>
  <c r="DG137" i="7"/>
  <c r="DK137" i="7"/>
  <c r="DL137" i="7"/>
  <c r="DP137" i="7"/>
  <c r="DQ137" i="7"/>
  <c r="DU137" i="7"/>
  <c r="DV137" i="7"/>
  <c r="DZ137" i="7"/>
  <c r="EA137" i="7"/>
  <c r="DF138" i="7"/>
  <c r="DG138" i="7"/>
  <c r="DK138" i="7"/>
  <c r="DL138" i="7"/>
  <c r="DP138" i="7"/>
  <c r="DQ138" i="7"/>
  <c r="DU138" i="7"/>
  <c r="DV138" i="7"/>
  <c r="DZ138" i="7"/>
  <c r="EA138" i="7"/>
  <c r="DF139" i="7"/>
  <c r="DG139" i="7"/>
  <c r="DK139" i="7"/>
  <c r="DL139" i="7"/>
  <c r="DP139" i="7"/>
  <c r="DQ139" i="7"/>
  <c r="DU139" i="7"/>
  <c r="DV139" i="7"/>
  <c r="DZ139" i="7"/>
  <c r="EA139" i="7"/>
  <c r="DF140" i="7"/>
  <c r="DG140" i="7"/>
  <c r="DK140" i="7"/>
  <c r="DL140" i="7"/>
  <c r="DP140" i="7"/>
  <c r="DQ140" i="7"/>
  <c r="DU140" i="7"/>
  <c r="DV140" i="7"/>
  <c r="DZ140" i="7"/>
  <c r="EA140" i="7"/>
  <c r="DF141" i="7"/>
  <c r="DG141" i="7"/>
  <c r="DK141" i="7"/>
  <c r="DL141" i="7"/>
  <c r="DP141" i="7"/>
  <c r="DQ141" i="7"/>
  <c r="DU141" i="7"/>
  <c r="DV141" i="7"/>
  <c r="DZ141" i="7"/>
  <c r="EA141" i="7"/>
  <c r="DF142" i="7"/>
  <c r="DG142" i="7"/>
  <c r="DK142" i="7"/>
  <c r="DL142" i="7"/>
  <c r="DP142" i="7"/>
  <c r="DQ142" i="7"/>
  <c r="DU142" i="7"/>
  <c r="DV142" i="7"/>
  <c r="DZ142" i="7"/>
  <c r="EA142" i="7"/>
  <c r="DF143" i="7"/>
  <c r="DG143" i="7"/>
  <c r="DK143" i="7"/>
  <c r="DL143" i="7"/>
  <c r="DP143" i="7"/>
  <c r="DQ143" i="7"/>
  <c r="DU143" i="7"/>
  <c r="DV143" i="7"/>
  <c r="DZ143" i="7"/>
  <c r="EA143" i="7"/>
  <c r="DF144" i="7"/>
  <c r="DG144" i="7"/>
  <c r="DK144" i="7"/>
  <c r="DL144" i="7"/>
  <c r="DP144" i="7"/>
  <c r="DQ144" i="7"/>
  <c r="DU144" i="7"/>
  <c r="DV144" i="7"/>
  <c r="DZ144" i="7"/>
  <c r="EA144" i="7"/>
  <c r="DF145" i="7"/>
  <c r="DG145" i="7"/>
  <c r="DK145" i="7"/>
  <c r="DL145" i="7"/>
  <c r="DP145" i="7"/>
  <c r="DQ145" i="7"/>
  <c r="DU145" i="7"/>
  <c r="DV145" i="7"/>
  <c r="DZ145" i="7"/>
  <c r="EA145" i="7"/>
  <c r="DF146" i="7"/>
  <c r="DG146" i="7"/>
  <c r="DK146" i="7"/>
  <c r="DL146" i="7"/>
  <c r="DP146" i="7"/>
  <c r="DQ146" i="7"/>
  <c r="DU146" i="7"/>
  <c r="DV146" i="7"/>
  <c r="DZ146" i="7"/>
  <c r="EA146" i="7"/>
  <c r="DF147" i="7"/>
  <c r="DG147" i="7"/>
  <c r="DK147" i="7"/>
  <c r="DL147" i="7"/>
  <c r="DP147" i="7"/>
  <c r="DQ147" i="7"/>
  <c r="DU147" i="7"/>
  <c r="DV147" i="7"/>
  <c r="DZ147" i="7"/>
  <c r="EA147" i="7"/>
  <c r="DF148" i="7"/>
  <c r="DG148" i="7"/>
  <c r="DK148" i="7"/>
  <c r="DL148" i="7"/>
  <c r="DP148" i="7"/>
  <c r="DQ148" i="7"/>
  <c r="DU148" i="7"/>
  <c r="DV148" i="7"/>
  <c r="DZ148" i="7"/>
  <c r="EA148" i="7"/>
  <c r="DF149" i="7"/>
  <c r="DG149" i="7"/>
  <c r="DK149" i="7"/>
  <c r="DL149" i="7"/>
  <c r="DP149" i="7"/>
  <c r="DQ149" i="7"/>
  <c r="DU149" i="7"/>
  <c r="DV149" i="7"/>
  <c r="DZ149" i="7"/>
  <c r="EA149" i="7"/>
  <c r="DF150" i="7"/>
  <c r="DG150" i="7"/>
  <c r="DK150" i="7"/>
  <c r="DL150" i="7"/>
  <c r="DP150" i="7"/>
  <c r="DQ150" i="7"/>
  <c r="DU150" i="7"/>
  <c r="DV150" i="7"/>
  <c r="DZ150" i="7"/>
  <c r="EA150" i="7"/>
  <c r="DF151" i="7"/>
  <c r="DG151" i="7"/>
  <c r="DK151" i="7"/>
  <c r="DL151" i="7"/>
  <c r="DP151" i="7"/>
  <c r="DQ151" i="7"/>
  <c r="DU151" i="7"/>
  <c r="DV151" i="7"/>
  <c r="DZ151" i="7"/>
  <c r="EA151" i="7"/>
  <c r="DF152" i="7"/>
  <c r="DG152" i="7"/>
  <c r="DK152" i="7"/>
  <c r="DL152" i="7"/>
  <c r="DP152" i="7"/>
  <c r="DQ152" i="7"/>
  <c r="DU152" i="7"/>
  <c r="DV152" i="7"/>
  <c r="DZ152" i="7"/>
  <c r="EA152" i="7"/>
  <c r="DF153" i="7"/>
  <c r="DG153" i="7"/>
  <c r="DK153" i="7"/>
  <c r="DL153" i="7"/>
  <c r="DP153" i="7"/>
  <c r="DQ153" i="7"/>
  <c r="DU153" i="7"/>
  <c r="DV153" i="7"/>
  <c r="DZ153" i="7"/>
  <c r="EA153" i="7"/>
  <c r="DF154" i="7"/>
  <c r="DG154" i="7"/>
  <c r="DK154" i="7"/>
  <c r="DL154" i="7"/>
  <c r="DP154" i="7"/>
  <c r="DQ154" i="7"/>
  <c r="DU154" i="7"/>
  <c r="DV154" i="7"/>
  <c r="DZ154" i="7"/>
  <c r="EA154" i="7"/>
  <c r="DF155" i="7"/>
  <c r="DG155" i="7"/>
  <c r="DK155" i="7"/>
  <c r="DL155" i="7"/>
  <c r="DP155" i="7"/>
  <c r="DQ155" i="7"/>
  <c r="DU155" i="7"/>
  <c r="DV155" i="7"/>
  <c r="DZ155" i="7"/>
  <c r="EA155" i="7"/>
  <c r="DF156" i="7"/>
  <c r="DG156" i="7"/>
  <c r="DK156" i="7"/>
  <c r="DL156" i="7"/>
  <c r="DP156" i="7"/>
  <c r="DQ156" i="7"/>
  <c r="DU156" i="7"/>
  <c r="DV156" i="7"/>
  <c r="DZ156" i="7"/>
  <c r="EA156" i="7"/>
  <c r="DF157" i="7"/>
  <c r="DG157" i="7"/>
  <c r="DK157" i="7"/>
  <c r="DL157" i="7"/>
  <c r="DP157" i="7"/>
  <c r="DQ157" i="7"/>
  <c r="DU157" i="7"/>
  <c r="DV157" i="7"/>
  <c r="DZ157" i="7"/>
  <c r="EA157" i="7"/>
  <c r="DF158" i="7"/>
  <c r="DG158" i="7"/>
  <c r="DK158" i="7"/>
  <c r="DL158" i="7"/>
  <c r="DP158" i="7"/>
  <c r="DQ158" i="7"/>
  <c r="DU158" i="7"/>
  <c r="DV158" i="7"/>
  <c r="DZ158" i="7"/>
  <c r="EA158" i="7"/>
  <c r="DF159" i="7"/>
  <c r="DG159" i="7"/>
  <c r="DK159" i="7"/>
  <c r="DL159" i="7"/>
  <c r="DP159" i="7"/>
  <c r="DQ159" i="7"/>
  <c r="DU159" i="7"/>
  <c r="DV159" i="7"/>
  <c r="DZ159" i="7"/>
  <c r="EA159" i="7"/>
  <c r="DF160" i="7"/>
  <c r="DG160" i="7"/>
  <c r="DK160" i="7"/>
  <c r="DL160" i="7"/>
  <c r="DP160" i="7"/>
  <c r="DQ160" i="7"/>
  <c r="DU160" i="7"/>
  <c r="DV160" i="7"/>
  <c r="DZ160" i="7"/>
  <c r="EA160" i="7"/>
  <c r="DF161" i="7"/>
  <c r="DG161" i="7"/>
  <c r="DK161" i="7"/>
  <c r="DL161" i="7"/>
  <c r="DP161" i="7"/>
  <c r="DQ161" i="7"/>
  <c r="DU161" i="7"/>
  <c r="DV161" i="7"/>
  <c r="DZ161" i="7"/>
  <c r="EA161" i="7"/>
  <c r="DF162" i="7"/>
  <c r="DG162" i="7"/>
  <c r="DK162" i="7"/>
  <c r="DL162" i="7"/>
  <c r="DP162" i="7"/>
  <c r="DQ162" i="7"/>
  <c r="DU162" i="7"/>
  <c r="DV162" i="7"/>
  <c r="DZ162" i="7"/>
  <c r="EA162" i="7"/>
  <c r="DF163" i="7"/>
  <c r="DG163" i="7"/>
  <c r="DK163" i="7"/>
  <c r="DL163" i="7"/>
  <c r="DP163" i="7"/>
  <c r="DQ163" i="7"/>
  <c r="DU163" i="7"/>
  <c r="DV163" i="7"/>
  <c r="DZ163" i="7"/>
  <c r="EA163" i="7"/>
  <c r="DF164" i="7"/>
  <c r="DG164" i="7"/>
  <c r="DK164" i="7"/>
  <c r="DL164" i="7"/>
  <c r="DP164" i="7"/>
  <c r="DQ164" i="7"/>
  <c r="DU164" i="7"/>
  <c r="DV164" i="7"/>
  <c r="DZ164" i="7"/>
  <c r="EA164" i="7"/>
  <c r="DF165" i="7"/>
  <c r="DG165" i="7"/>
  <c r="DK165" i="7"/>
  <c r="DL165" i="7"/>
  <c r="DP165" i="7"/>
  <c r="DQ165" i="7"/>
  <c r="DU165" i="7"/>
  <c r="DV165" i="7"/>
  <c r="DZ165" i="7"/>
  <c r="EA165" i="7"/>
  <c r="DF166" i="7"/>
  <c r="DG166" i="7"/>
  <c r="DK166" i="7"/>
  <c r="DL166" i="7"/>
  <c r="DP166" i="7"/>
  <c r="DQ166" i="7"/>
  <c r="DU166" i="7"/>
  <c r="DV166" i="7"/>
  <c r="DZ166" i="7"/>
  <c r="EA166" i="7"/>
  <c r="DF167" i="7"/>
  <c r="DG167" i="7"/>
  <c r="DK167" i="7"/>
  <c r="DL167" i="7"/>
  <c r="DP167" i="7"/>
  <c r="DQ167" i="7"/>
  <c r="DU167" i="7"/>
  <c r="DV167" i="7"/>
  <c r="DZ167" i="7"/>
  <c r="EA167" i="7"/>
  <c r="DF168" i="7"/>
  <c r="DG168" i="7"/>
  <c r="DK168" i="7"/>
  <c r="DL168" i="7"/>
  <c r="DP168" i="7"/>
  <c r="DQ168" i="7"/>
  <c r="DU168" i="7"/>
  <c r="DV168" i="7"/>
  <c r="DZ168" i="7"/>
  <c r="EA168" i="7"/>
  <c r="DF169" i="7"/>
  <c r="DG169" i="7"/>
  <c r="DK169" i="7"/>
  <c r="DL169" i="7"/>
  <c r="DP169" i="7"/>
  <c r="DQ169" i="7"/>
  <c r="DU169" i="7"/>
  <c r="DV169" i="7"/>
  <c r="DZ169" i="7"/>
  <c r="EA169" i="7"/>
  <c r="DF170" i="7"/>
  <c r="DG170" i="7"/>
  <c r="DK170" i="7"/>
  <c r="DL170" i="7"/>
  <c r="DP170" i="7"/>
  <c r="DQ170" i="7"/>
  <c r="DU170" i="7"/>
  <c r="DV170" i="7"/>
  <c r="DZ170" i="7"/>
  <c r="EA170" i="7"/>
  <c r="DF171" i="7"/>
  <c r="DG171" i="7"/>
  <c r="DK171" i="7"/>
  <c r="DL171" i="7"/>
  <c r="DP171" i="7"/>
  <c r="DQ171" i="7"/>
  <c r="DU171" i="7"/>
  <c r="DV171" i="7"/>
  <c r="DZ171" i="7"/>
  <c r="EA171" i="7"/>
  <c r="DF172" i="7"/>
  <c r="DG172" i="7"/>
  <c r="DK172" i="7"/>
  <c r="DL172" i="7"/>
  <c r="DP172" i="7"/>
  <c r="DQ172" i="7"/>
  <c r="DU172" i="7"/>
  <c r="DV172" i="7"/>
  <c r="DZ172" i="7"/>
  <c r="EA172" i="7"/>
  <c r="DF173" i="7"/>
  <c r="DG173" i="7"/>
  <c r="DK173" i="7"/>
  <c r="DL173" i="7"/>
  <c r="DP173" i="7"/>
  <c r="DQ173" i="7"/>
  <c r="DU173" i="7"/>
  <c r="DV173" i="7"/>
  <c r="DZ173" i="7"/>
  <c r="EA173" i="7"/>
  <c r="DF174" i="7"/>
  <c r="DG174" i="7"/>
  <c r="DK174" i="7"/>
  <c r="DL174" i="7"/>
  <c r="DP174" i="7"/>
  <c r="DQ174" i="7"/>
  <c r="DU174" i="7"/>
  <c r="DV174" i="7"/>
  <c r="DZ174" i="7"/>
  <c r="EA174" i="7"/>
  <c r="DF175" i="7"/>
  <c r="DG175" i="7"/>
  <c r="DK175" i="7"/>
  <c r="DL175" i="7"/>
  <c r="DP175" i="7"/>
  <c r="DQ175" i="7"/>
  <c r="DU175" i="7"/>
  <c r="DV175" i="7"/>
  <c r="DZ175" i="7"/>
  <c r="EA175" i="7"/>
  <c r="DF176" i="7"/>
  <c r="DG176" i="7"/>
  <c r="DK176" i="7"/>
  <c r="DL176" i="7"/>
  <c r="DP176" i="7"/>
  <c r="DQ176" i="7"/>
  <c r="DU176" i="7"/>
  <c r="DV176" i="7"/>
  <c r="DZ176" i="7"/>
  <c r="EA176" i="7"/>
  <c r="DF177" i="7"/>
  <c r="DG177" i="7"/>
  <c r="DK177" i="7"/>
  <c r="DL177" i="7"/>
  <c r="DP177" i="7"/>
  <c r="DQ177" i="7"/>
  <c r="DU177" i="7"/>
  <c r="DV177" i="7"/>
  <c r="DZ177" i="7"/>
  <c r="EA177" i="7"/>
  <c r="DF178" i="7"/>
  <c r="DG178" i="7"/>
  <c r="DK178" i="7"/>
  <c r="DL178" i="7"/>
  <c r="DP178" i="7"/>
  <c r="DQ178" i="7"/>
  <c r="DU178" i="7"/>
  <c r="DV178" i="7"/>
  <c r="DZ178" i="7"/>
  <c r="EA178" i="7"/>
  <c r="DF179" i="7"/>
  <c r="DG179" i="7"/>
  <c r="DK179" i="7"/>
  <c r="DL179" i="7"/>
  <c r="DP179" i="7"/>
  <c r="DQ179" i="7"/>
  <c r="DU179" i="7"/>
  <c r="DV179" i="7"/>
  <c r="DZ179" i="7"/>
  <c r="EA179" i="7"/>
  <c r="DF180" i="7"/>
  <c r="DG180" i="7"/>
  <c r="DK180" i="7"/>
  <c r="DL180" i="7"/>
  <c r="DP180" i="7"/>
  <c r="DQ180" i="7"/>
  <c r="DU180" i="7"/>
  <c r="DV180" i="7"/>
  <c r="DZ180" i="7"/>
  <c r="EA180" i="7"/>
  <c r="DF181" i="7"/>
  <c r="DG181" i="7"/>
  <c r="DK181" i="7"/>
  <c r="DL181" i="7"/>
  <c r="DP181" i="7"/>
  <c r="DQ181" i="7"/>
  <c r="DU181" i="7"/>
  <c r="DV181" i="7"/>
  <c r="DZ181" i="7"/>
  <c r="EA181" i="7"/>
  <c r="DF182" i="7"/>
  <c r="DG182" i="7"/>
  <c r="DK182" i="7"/>
  <c r="DL182" i="7"/>
  <c r="DP182" i="7"/>
  <c r="DQ182" i="7"/>
  <c r="DU182" i="7"/>
  <c r="DV182" i="7"/>
  <c r="DZ182" i="7"/>
  <c r="EA182" i="7"/>
  <c r="DF183" i="7"/>
  <c r="DG183" i="7"/>
  <c r="DK183" i="7"/>
  <c r="DL183" i="7"/>
  <c r="DP183" i="7"/>
  <c r="DQ183" i="7"/>
  <c r="DU183" i="7"/>
  <c r="DV183" i="7"/>
  <c r="DZ183" i="7"/>
  <c r="EA183" i="7"/>
  <c r="DF184" i="7"/>
  <c r="DG184" i="7"/>
  <c r="DK184" i="7"/>
  <c r="DL184" i="7"/>
  <c r="DP184" i="7"/>
  <c r="DQ184" i="7"/>
  <c r="DU184" i="7"/>
  <c r="DV184" i="7"/>
  <c r="DZ184" i="7"/>
  <c r="EA184" i="7"/>
  <c r="DF185" i="7"/>
  <c r="DG185" i="7"/>
  <c r="DK185" i="7"/>
  <c r="DL185" i="7"/>
  <c r="DP185" i="7"/>
  <c r="DQ185" i="7"/>
  <c r="DU185" i="7"/>
  <c r="DV185" i="7"/>
  <c r="DZ185" i="7"/>
  <c r="EA185" i="7"/>
  <c r="DF186" i="7"/>
  <c r="DG186" i="7"/>
  <c r="DK186" i="7"/>
  <c r="DL186" i="7"/>
  <c r="DP186" i="7"/>
  <c r="DQ186" i="7"/>
  <c r="DU186" i="7"/>
  <c r="DV186" i="7"/>
  <c r="DZ186" i="7"/>
  <c r="EA186" i="7"/>
  <c r="DF187" i="7"/>
  <c r="DG187" i="7"/>
  <c r="DK187" i="7"/>
  <c r="DL187" i="7"/>
  <c r="DP187" i="7"/>
  <c r="DQ187" i="7"/>
  <c r="DU187" i="7"/>
  <c r="DV187" i="7"/>
  <c r="DZ187" i="7"/>
  <c r="EA187" i="7"/>
  <c r="DF188" i="7"/>
  <c r="DG188" i="7"/>
  <c r="DK188" i="7"/>
  <c r="DL188" i="7"/>
  <c r="DP188" i="7"/>
  <c r="DQ188" i="7"/>
  <c r="DU188" i="7"/>
  <c r="DV188" i="7"/>
  <c r="DZ188" i="7"/>
  <c r="EA188" i="7"/>
  <c r="DF189" i="7"/>
  <c r="DG189" i="7"/>
  <c r="DK189" i="7"/>
  <c r="DL189" i="7"/>
  <c r="DP189" i="7"/>
  <c r="DQ189" i="7"/>
  <c r="DU189" i="7"/>
  <c r="DV189" i="7"/>
  <c r="DZ189" i="7"/>
  <c r="EA189" i="7"/>
  <c r="DF190" i="7"/>
  <c r="DG190" i="7"/>
  <c r="DK190" i="7"/>
  <c r="DL190" i="7"/>
  <c r="DP190" i="7"/>
  <c r="DQ190" i="7"/>
  <c r="DU190" i="7"/>
  <c r="DV190" i="7"/>
  <c r="DZ190" i="7"/>
  <c r="EA190" i="7"/>
  <c r="DF191" i="7"/>
  <c r="DG191" i="7"/>
  <c r="DK191" i="7"/>
  <c r="DL191" i="7"/>
  <c r="DP191" i="7"/>
  <c r="DQ191" i="7"/>
  <c r="DU191" i="7"/>
  <c r="DV191" i="7"/>
  <c r="DZ191" i="7"/>
  <c r="EA191" i="7"/>
  <c r="DF192" i="7"/>
  <c r="DG192" i="7"/>
  <c r="DK192" i="7"/>
  <c r="DL192" i="7"/>
  <c r="DP192" i="7"/>
  <c r="DQ192" i="7"/>
  <c r="DU192" i="7"/>
  <c r="DV192" i="7"/>
  <c r="DZ192" i="7"/>
  <c r="EA192" i="7"/>
  <c r="DF193" i="7"/>
  <c r="DG193" i="7"/>
  <c r="DK193" i="7"/>
  <c r="DL193" i="7"/>
  <c r="DP193" i="7"/>
  <c r="DQ193" i="7"/>
  <c r="DU193" i="7"/>
  <c r="DV193" i="7"/>
  <c r="DZ193" i="7"/>
  <c r="EA193" i="7"/>
  <c r="DF194" i="7"/>
  <c r="DG194" i="7"/>
  <c r="DK194" i="7"/>
  <c r="DL194" i="7"/>
  <c r="DP194" i="7"/>
  <c r="DQ194" i="7"/>
  <c r="DU194" i="7"/>
  <c r="DV194" i="7"/>
  <c r="DZ194" i="7"/>
  <c r="EA194" i="7"/>
  <c r="DF195" i="7"/>
  <c r="DG195" i="7"/>
  <c r="DK195" i="7"/>
  <c r="DL195" i="7"/>
  <c r="DP195" i="7"/>
  <c r="DQ195" i="7"/>
  <c r="DU195" i="7"/>
  <c r="DV195" i="7"/>
  <c r="DZ195" i="7"/>
  <c r="EA195" i="7"/>
  <c r="DF196" i="7"/>
  <c r="DG196" i="7"/>
  <c r="DK196" i="7"/>
  <c r="DL196" i="7"/>
  <c r="DP196" i="7"/>
  <c r="DQ196" i="7"/>
  <c r="DU196" i="7"/>
  <c r="DV196" i="7"/>
  <c r="DZ196" i="7"/>
  <c r="EA196" i="7"/>
  <c r="DF197" i="7"/>
  <c r="DG197" i="7"/>
  <c r="DK197" i="7"/>
  <c r="DL197" i="7"/>
  <c r="DP197" i="7"/>
  <c r="DQ197" i="7"/>
  <c r="DU197" i="7"/>
  <c r="DV197" i="7"/>
  <c r="DZ197" i="7"/>
  <c r="EA197" i="7"/>
  <c r="DF198" i="7"/>
  <c r="DG198" i="7"/>
  <c r="DK198" i="7"/>
  <c r="DL198" i="7"/>
  <c r="DP198" i="7"/>
  <c r="DQ198" i="7"/>
  <c r="DU198" i="7"/>
  <c r="DV198" i="7"/>
  <c r="DZ198" i="7"/>
  <c r="EA198" i="7"/>
  <c r="DF199" i="7"/>
  <c r="DG199" i="7"/>
  <c r="DK199" i="7"/>
  <c r="DL199" i="7"/>
  <c r="DP199" i="7"/>
  <c r="DQ199" i="7"/>
  <c r="DU199" i="7"/>
  <c r="DV199" i="7"/>
  <c r="DZ199" i="7"/>
  <c r="EA199" i="7"/>
  <c r="DF200" i="7"/>
  <c r="DG200" i="7"/>
  <c r="DK200" i="7"/>
  <c r="DL200" i="7"/>
  <c r="DP200" i="7"/>
  <c r="DQ200" i="7"/>
  <c r="DU200" i="7"/>
  <c r="DV200" i="7"/>
  <c r="DZ200" i="7"/>
  <c r="EA200" i="7"/>
  <c r="DF201" i="7"/>
  <c r="DG201" i="7"/>
  <c r="DK201" i="7"/>
  <c r="DL201" i="7"/>
  <c r="DP201" i="7"/>
  <c r="DQ201" i="7"/>
  <c r="DU201" i="7"/>
  <c r="DV201" i="7"/>
  <c r="DZ201" i="7"/>
  <c r="EA201" i="7"/>
  <c r="DF202" i="7"/>
  <c r="DG202" i="7"/>
  <c r="DK202" i="7"/>
  <c r="DL202" i="7"/>
  <c r="DP202" i="7"/>
  <c r="DQ202" i="7"/>
  <c r="DU202" i="7"/>
  <c r="DV202" i="7"/>
  <c r="DZ202" i="7"/>
  <c r="EA202" i="7"/>
  <c r="DF203" i="7"/>
  <c r="DG203" i="7"/>
  <c r="DK203" i="7"/>
  <c r="DL203" i="7"/>
  <c r="DP203" i="7"/>
  <c r="DQ203" i="7"/>
  <c r="DU203" i="7"/>
  <c r="DV203" i="7"/>
  <c r="DZ203" i="7"/>
  <c r="EA203" i="7"/>
  <c r="DF204" i="7"/>
  <c r="DG204" i="7"/>
  <c r="DK204" i="7"/>
  <c r="DL204" i="7"/>
  <c r="DP204" i="7"/>
  <c r="DQ204" i="7"/>
  <c r="DU204" i="7"/>
  <c r="DV204" i="7"/>
  <c r="DZ204" i="7"/>
  <c r="EA204" i="7"/>
  <c r="DF205" i="7"/>
  <c r="DG205" i="7"/>
  <c r="DK205" i="7"/>
  <c r="DL205" i="7"/>
  <c r="DP205" i="7"/>
  <c r="DQ205" i="7"/>
  <c r="DU205" i="7"/>
  <c r="DV205" i="7"/>
  <c r="DZ205" i="7"/>
  <c r="EA205" i="7"/>
  <c r="DF206" i="7"/>
  <c r="DG206" i="7"/>
  <c r="DK206" i="7"/>
  <c r="DL206" i="7"/>
  <c r="DP206" i="7"/>
  <c r="DQ206" i="7"/>
  <c r="DU206" i="7"/>
  <c r="DV206" i="7"/>
  <c r="DZ206" i="7"/>
  <c r="EA206" i="7"/>
  <c r="DF207" i="7"/>
  <c r="DG207" i="7"/>
  <c r="DK207" i="7"/>
  <c r="DL207" i="7"/>
  <c r="DP207" i="7"/>
  <c r="DQ207" i="7"/>
  <c r="DU207" i="7"/>
  <c r="DV207" i="7"/>
  <c r="DZ207" i="7"/>
  <c r="EA207" i="7"/>
  <c r="DF208" i="7"/>
  <c r="DG208" i="7"/>
  <c r="DK208" i="7"/>
  <c r="DL208" i="7"/>
  <c r="DP208" i="7"/>
  <c r="DQ208" i="7"/>
  <c r="DU208" i="7"/>
  <c r="DV208" i="7"/>
  <c r="DZ208" i="7"/>
  <c r="EA208" i="7"/>
  <c r="DF209" i="7"/>
  <c r="DG209" i="7"/>
  <c r="DK209" i="7"/>
  <c r="DL209" i="7"/>
  <c r="DP209" i="7"/>
  <c r="DQ209" i="7"/>
  <c r="DU209" i="7"/>
  <c r="DV209" i="7"/>
  <c r="DZ209" i="7"/>
  <c r="EA209" i="7"/>
  <c r="DF210" i="7"/>
  <c r="DG210" i="7"/>
  <c r="DK210" i="7"/>
  <c r="DL210" i="7"/>
  <c r="DP210" i="7"/>
  <c r="DQ210" i="7"/>
  <c r="DU210" i="7"/>
  <c r="DV210" i="7"/>
  <c r="DZ210" i="7"/>
  <c r="EA210" i="7"/>
  <c r="DF211" i="7"/>
  <c r="DG211" i="7"/>
  <c r="DK211" i="7"/>
  <c r="DL211" i="7"/>
  <c r="DP211" i="7"/>
  <c r="DQ211" i="7"/>
  <c r="DU211" i="7"/>
  <c r="DV211" i="7"/>
  <c r="DZ211" i="7"/>
  <c r="EA211" i="7"/>
  <c r="DF212" i="7"/>
  <c r="DG212" i="7"/>
  <c r="DK212" i="7"/>
  <c r="DL212" i="7"/>
  <c r="DP212" i="7"/>
  <c r="DQ212" i="7"/>
  <c r="DU212" i="7"/>
  <c r="DV212" i="7"/>
  <c r="DZ212" i="7"/>
  <c r="EA212" i="7"/>
  <c r="BW113" i="7"/>
  <c r="BX113" i="7"/>
  <c r="BY113" i="7"/>
  <c r="BZ113" i="7"/>
  <c r="CD113" i="7"/>
  <c r="CE113" i="7"/>
  <c r="CF113" i="7"/>
  <c r="CG113" i="7"/>
  <c r="CK113" i="7"/>
  <c r="CL113" i="7"/>
  <c r="CM113" i="7"/>
  <c r="CN113" i="7"/>
  <c r="CR113" i="7"/>
  <c r="CS113" i="7"/>
  <c r="CT113" i="7"/>
  <c r="CU113" i="7"/>
  <c r="CY113" i="7"/>
  <c r="CZ113" i="7"/>
  <c r="DA113" i="7"/>
  <c r="DB113" i="7"/>
  <c r="BW114" i="7"/>
  <c r="BX114" i="7"/>
  <c r="BY114" i="7"/>
  <c r="BZ114" i="7"/>
  <c r="CD114" i="7"/>
  <c r="CE114" i="7"/>
  <c r="CF114" i="7"/>
  <c r="CG114" i="7"/>
  <c r="CK114" i="7"/>
  <c r="CL114" i="7"/>
  <c r="CM114" i="7"/>
  <c r="CN114" i="7"/>
  <c r="CR114" i="7"/>
  <c r="CS114" i="7"/>
  <c r="CT114" i="7"/>
  <c r="CU114" i="7"/>
  <c r="CY114" i="7"/>
  <c r="CZ114" i="7"/>
  <c r="DA114" i="7"/>
  <c r="DB114" i="7"/>
  <c r="BW115" i="7"/>
  <c r="BX115" i="7"/>
  <c r="BY115" i="7"/>
  <c r="BZ115" i="7"/>
  <c r="CD115" i="7"/>
  <c r="CE115" i="7"/>
  <c r="CF115" i="7"/>
  <c r="CG115" i="7"/>
  <c r="CK115" i="7"/>
  <c r="CL115" i="7"/>
  <c r="CM115" i="7"/>
  <c r="CN115" i="7"/>
  <c r="CR115" i="7"/>
  <c r="CS115" i="7"/>
  <c r="CT115" i="7"/>
  <c r="CU115" i="7"/>
  <c r="CY115" i="7"/>
  <c r="CZ115" i="7"/>
  <c r="DA115" i="7"/>
  <c r="DB115" i="7"/>
  <c r="BW116" i="7"/>
  <c r="BX116" i="7"/>
  <c r="BY116" i="7"/>
  <c r="BZ116" i="7"/>
  <c r="CD116" i="7"/>
  <c r="CE116" i="7"/>
  <c r="CF116" i="7"/>
  <c r="CG116" i="7"/>
  <c r="CK116" i="7"/>
  <c r="CL116" i="7"/>
  <c r="CM116" i="7"/>
  <c r="CN116" i="7"/>
  <c r="CR116" i="7"/>
  <c r="CS116" i="7"/>
  <c r="CT116" i="7"/>
  <c r="CU116" i="7"/>
  <c r="CY116" i="7"/>
  <c r="CZ116" i="7"/>
  <c r="DA116" i="7"/>
  <c r="DB116" i="7"/>
  <c r="BW117" i="7"/>
  <c r="BX117" i="7"/>
  <c r="BY117" i="7"/>
  <c r="BZ117" i="7"/>
  <c r="CD117" i="7"/>
  <c r="CE117" i="7"/>
  <c r="CF117" i="7"/>
  <c r="CG117" i="7"/>
  <c r="CK117" i="7"/>
  <c r="CL117" i="7"/>
  <c r="CM117" i="7"/>
  <c r="CN117" i="7"/>
  <c r="CR117" i="7"/>
  <c r="CS117" i="7"/>
  <c r="CT117" i="7"/>
  <c r="CU117" i="7"/>
  <c r="CY117" i="7"/>
  <c r="CZ117" i="7"/>
  <c r="DA117" i="7"/>
  <c r="DB117" i="7"/>
  <c r="BW118" i="7"/>
  <c r="BX118" i="7"/>
  <c r="BY118" i="7"/>
  <c r="BZ118" i="7"/>
  <c r="CD118" i="7"/>
  <c r="CE118" i="7"/>
  <c r="CF118" i="7"/>
  <c r="CG118" i="7"/>
  <c r="CK118" i="7"/>
  <c r="CL118" i="7"/>
  <c r="CM118" i="7"/>
  <c r="CN118" i="7"/>
  <c r="CR118" i="7"/>
  <c r="CS118" i="7"/>
  <c r="CT118" i="7"/>
  <c r="CU118" i="7"/>
  <c r="CY118" i="7"/>
  <c r="CZ118" i="7"/>
  <c r="DA118" i="7"/>
  <c r="DB118" i="7"/>
  <c r="BW119" i="7"/>
  <c r="BX119" i="7"/>
  <c r="BY119" i="7"/>
  <c r="BZ119" i="7"/>
  <c r="CD119" i="7"/>
  <c r="CE119" i="7"/>
  <c r="CF119" i="7"/>
  <c r="CG119" i="7"/>
  <c r="CK119" i="7"/>
  <c r="CL119" i="7"/>
  <c r="CM119" i="7"/>
  <c r="CN119" i="7"/>
  <c r="CR119" i="7"/>
  <c r="CS119" i="7"/>
  <c r="CT119" i="7"/>
  <c r="CU119" i="7"/>
  <c r="CY119" i="7"/>
  <c r="CZ119" i="7"/>
  <c r="DA119" i="7"/>
  <c r="DB119" i="7"/>
  <c r="BW120" i="7"/>
  <c r="BX120" i="7"/>
  <c r="BY120" i="7"/>
  <c r="BZ120" i="7"/>
  <c r="CD120" i="7"/>
  <c r="CE120" i="7"/>
  <c r="CF120" i="7"/>
  <c r="CG120" i="7"/>
  <c r="CK120" i="7"/>
  <c r="CL120" i="7"/>
  <c r="CM120" i="7"/>
  <c r="CN120" i="7"/>
  <c r="CR120" i="7"/>
  <c r="CS120" i="7"/>
  <c r="CT120" i="7"/>
  <c r="CU120" i="7"/>
  <c r="CY120" i="7"/>
  <c r="CZ120" i="7"/>
  <c r="DA120" i="7"/>
  <c r="DB120" i="7"/>
  <c r="BW121" i="7"/>
  <c r="BX121" i="7"/>
  <c r="BY121" i="7"/>
  <c r="BZ121" i="7"/>
  <c r="CD121" i="7"/>
  <c r="CE121" i="7"/>
  <c r="CF121" i="7"/>
  <c r="CG121" i="7"/>
  <c r="CK121" i="7"/>
  <c r="CL121" i="7"/>
  <c r="CM121" i="7"/>
  <c r="CN121" i="7"/>
  <c r="CR121" i="7"/>
  <c r="CS121" i="7"/>
  <c r="CT121" i="7"/>
  <c r="CU121" i="7"/>
  <c r="CY121" i="7"/>
  <c r="CZ121" i="7"/>
  <c r="DA121" i="7"/>
  <c r="DB121" i="7"/>
  <c r="BW122" i="7"/>
  <c r="BX122" i="7"/>
  <c r="BY122" i="7"/>
  <c r="BZ122" i="7"/>
  <c r="CD122" i="7"/>
  <c r="CE122" i="7"/>
  <c r="CF122" i="7"/>
  <c r="CG122" i="7"/>
  <c r="CK122" i="7"/>
  <c r="CL122" i="7"/>
  <c r="CM122" i="7"/>
  <c r="CN122" i="7"/>
  <c r="CR122" i="7"/>
  <c r="CS122" i="7"/>
  <c r="CT122" i="7"/>
  <c r="CU122" i="7"/>
  <c r="CY122" i="7"/>
  <c r="CZ122" i="7"/>
  <c r="DA122" i="7"/>
  <c r="DB122" i="7"/>
  <c r="BW123" i="7"/>
  <c r="BX123" i="7"/>
  <c r="BY123" i="7"/>
  <c r="BZ123" i="7"/>
  <c r="CD123" i="7"/>
  <c r="CE123" i="7"/>
  <c r="CF123" i="7"/>
  <c r="CG123" i="7"/>
  <c r="CK123" i="7"/>
  <c r="CL123" i="7"/>
  <c r="CM123" i="7"/>
  <c r="CN123" i="7"/>
  <c r="CR123" i="7"/>
  <c r="CS123" i="7"/>
  <c r="CT123" i="7"/>
  <c r="CU123" i="7"/>
  <c r="CY123" i="7"/>
  <c r="CZ123" i="7"/>
  <c r="DA123" i="7"/>
  <c r="DB123" i="7"/>
  <c r="BW124" i="7"/>
  <c r="BX124" i="7"/>
  <c r="BY124" i="7"/>
  <c r="BZ124" i="7"/>
  <c r="CD124" i="7"/>
  <c r="CE124" i="7"/>
  <c r="CF124" i="7"/>
  <c r="CG124" i="7"/>
  <c r="CK124" i="7"/>
  <c r="CL124" i="7"/>
  <c r="CM124" i="7"/>
  <c r="CN124" i="7"/>
  <c r="CR124" i="7"/>
  <c r="CS124" i="7"/>
  <c r="CT124" i="7"/>
  <c r="CU124" i="7"/>
  <c r="CY124" i="7"/>
  <c r="CZ124" i="7"/>
  <c r="DA124" i="7"/>
  <c r="DB124" i="7"/>
  <c r="BW125" i="7"/>
  <c r="BX125" i="7"/>
  <c r="BY125" i="7"/>
  <c r="BZ125" i="7"/>
  <c r="CD125" i="7"/>
  <c r="CE125" i="7"/>
  <c r="CF125" i="7"/>
  <c r="CG125" i="7"/>
  <c r="CK125" i="7"/>
  <c r="CL125" i="7"/>
  <c r="CM125" i="7"/>
  <c r="CN125" i="7"/>
  <c r="CR125" i="7"/>
  <c r="CS125" i="7"/>
  <c r="CT125" i="7"/>
  <c r="CU125" i="7"/>
  <c r="CY125" i="7"/>
  <c r="CZ125" i="7"/>
  <c r="DA125" i="7"/>
  <c r="DB125" i="7"/>
  <c r="BW126" i="7"/>
  <c r="BX126" i="7"/>
  <c r="BY126" i="7"/>
  <c r="BZ126" i="7"/>
  <c r="CD126" i="7"/>
  <c r="CE126" i="7"/>
  <c r="CF126" i="7"/>
  <c r="CG126" i="7"/>
  <c r="CK126" i="7"/>
  <c r="CL126" i="7"/>
  <c r="CM126" i="7"/>
  <c r="CN126" i="7"/>
  <c r="CR126" i="7"/>
  <c r="CS126" i="7"/>
  <c r="CT126" i="7"/>
  <c r="CU126" i="7"/>
  <c r="CY126" i="7"/>
  <c r="CZ126" i="7"/>
  <c r="DA126" i="7"/>
  <c r="DB126" i="7"/>
  <c r="BW127" i="7"/>
  <c r="BX127" i="7"/>
  <c r="BY127" i="7"/>
  <c r="BZ127" i="7"/>
  <c r="CD127" i="7"/>
  <c r="CE127" i="7"/>
  <c r="CF127" i="7"/>
  <c r="CG127" i="7"/>
  <c r="CK127" i="7"/>
  <c r="CL127" i="7"/>
  <c r="CM127" i="7"/>
  <c r="CN127" i="7"/>
  <c r="CR127" i="7"/>
  <c r="CS127" i="7"/>
  <c r="CT127" i="7"/>
  <c r="CU127" i="7"/>
  <c r="CY127" i="7"/>
  <c r="CZ127" i="7"/>
  <c r="DA127" i="7"/>
  <c r="DB127" i="7"/>
  <c r="BW128" i="7"/>
  <c r="BX128" i="7"/>
  <c r="BY128" i="7"/>
  <c r="BZ128" i="7"/>
  <c r="CD128" i="7"/>
  <c r="CE128" i="7"/>
  <c r="CF128" i="7"/>
  <c r="CG128" i="7"/>
  <c r="CK128" i="7"/>
  <c r="CL128" i="7"/>
  <c r="CM128" i="7"/>
  <c r="CN128" i="7"/>
  <c r="CR128" i="7"/>
  <c r="CS128" i="7"/>
  <c r="CT128" i="7"/>
  <c r="CU128" i="7"/>
  <c r="CY128" i="7"/>
  <c r="CZ128" i="7"/>
  <c r="DA128" i="7"/>
  <c r="DB128" i="7"/>
  <c r="BW129" i="7"/>
  <c r="BX129" i="7"/>
  <c r="BY129" i="7"/>
  <c r="BZ129" i="7"/>
  <c r="CD129" i="7"/>
  <c r="CE129" i="7"/>
  <c r="CF129" i="7"/>
  <c r="CG129" i="7"/>
  <c r="CK129" i="7"/>
  <c r="CL129" i="7"/>
  <c r="CM129" i="7"/>
  <c r="CN129" i="7"/>
  <c r="CR129" i="7"/>
  <c r="CS129" i="7"/>
  <c r="CT129" i="7"/>
  <c r="CU129" i="7"/>
  <c r="CY129" i="7"/>
  <c r="CZ129" i="7"/>
  <c r="DA129" i="7"/>
  <c r="DB129" i="7"/>
  <c r="BW130" i="7"/>
  <c r="BX130" i="7"/>
  <c r="BY130" i="7"/>
  <c r="BZ130" i="7"/>
  <c r="CD130" i="7"/>
  <c r="CE130" i="7"/>
  <c r="CF130" i="7"/>
  <c r="CG130" i="7"/>
  <c r="CK130" i="7"/>
  <c r="CL130" i="7"/>
  <c r="CM130" i="7"/>
  <c r="CN130" i="7"/>
  <c r="CR130" i="7"/>
  <c r="CS130" i="7"/>
  <c r="CT130" i="7"/>
  <c r="CU130" i="7"/>
  <c r="CY130" i="7"/>
  <c r="CZ130" i="7"/>
  <c r="DA130" i="7"/>
  <c r="DB130" i="7"/>
  <c r="BW131" i="7"/>
  <c r="BX131" i="7"/>
  <c r="BY131" i="7"/>
  <c r="BZ131" i="7"/>
  <c r="CD131" i="7"/>
  <c r="CE131" i="7"/>
  <c r="CF131" i="7"/>
  <c r="CG131" i="7"/>
  <c r="CK131" i="7"/>
  <c r="CL131" i="7"/>
  <c r="CM131" i="7"/>
  <c r="CN131" i="7"/>
  <c r="CR131" i="7"/>
  <c r="CS131" i="7"/>
  <c r="CT131" i="7"/>
  <c r="CU131" i="7"/>
  <c r="CY131" i="7"/>
  <c r="CZ131" i="7"/>
  <c r="DA131" i="7"/>
  <c r="DB131" i="7"/>
  <c r="BW132" i="7"/>
  <c r="BX132" i="7"/>
  <c r="BY132" i="7"/>
  <c r="BZ132" i="7"/>
  <c r="CD132" i="7"/>
  <c r="CE132" i="7"/>
  <c r="CF132" i="7"/>
  <c r="CG132" i="7"/>
  <c r="CK132" i="7"/>
  <c r="CL132" i="7"/>
  <c r="CM132" i="7"/>
  <c r="CN132" i="7"/>
  <c r="CR132" i="7"/>
  <c r="CS132" i="7"/>
  <c r="CT132" i="7"/>
  <c r="CU132" i="7"/>
  <c r="CY132" i="7"/>
  <c r="CZ132" i="7"/>
  <c r="DA132" i="7"/>
  <c r="DB132" i="7"/>
  <c r="BW133" i="7"/>
  <c r="BX133" i="7"/>
  <c r="BY133" i="7"/>
  <c r="BZ133" i="7"/>
  <c r="CD133" i="7"/>
  <c r="CE133" i="7"/>
  <c r="CF133" i="7"/>
  <c r="CG133" i="7"/>
  <c r="CK133" i="7"/>
  <c r="CL133" i="7"/>
  <c r="CM133" i="7"/>
  <c r="CN133" i="7"/>
  <c r="CR133" i="7"/>
  <c r="CS133" i="7"/>
  <c r="CT133" i="7"/>
  <c r="CU133" i="7"/>
  <c r="CY133" i="7"/>
  <c r="CZ133" i="7"/>
  <c r="DA133" i="7"/>
  <c r="DB133" i="7"/>
  <c r="BW134" i="7"/>
  <c r="BX134" i="7"/>
  <c r="BY134" i="7"/>
  <c r="BZ134" i="7"/>
  <c r="CD134" i="7"/>
  <c r="CE134" i="7"/>
  <c r="CF134" i="7"/>
  <c r="CG134" i="7"/>
  <c r="CK134" i="7"/>
  <c r="CL134" i="7"/>
  <c r="CM134" i="7"/>
  <c r="CN134" i="7"/>
  <c r="CR134" i="7"/>
  <c r="CS134" i="7"/>
  <c r="CT134" i="7"/>
  <c r="CU134" i="7"/>
  <c r="CY134" i="7"/>
  <c r="CZ134" i="7"/>
  <c r="DA134" i="7"/>
  <c r="DB134" i="7"/>
  <c r="BW135" i="7"/>
  <c r="BX135" i="7"/>
  <c r="BY135" i="7"/>
  <c r="BZ135" i="7"/>
  <c r="CD135" i="7"/>
  <c r="CE135" i="7"/>
  <c r="CF135" i="7"/>
  <c r="CG135" i="7"/>
  <c r="CK135" i="7"/>
  <c r="CL135" i="7"/>
  <c r="CM135" i="7"/>
  <c r="CN135" i="7"/>
  <c r="CR135" i="7"/>
  <c r="CS135" i="7"/>
  <c r="CT135" i="7"/>
  <c r="CU135" i="7"/>
  <c r="CY135" i="7"/>
  <c r="CZ135" i="7"/>
  <c r="DA135" i="7"/>
  <c r="DB135" i="7"/>
  <c r="BW136" i="7"/>
  <c r="BX136" i="7"/>
  <c r="BY136" i="7"/>
  <c r="BZ136" i="7"/>
  <c r="CD136" i="7"/>
  <c r="CE136" i="7"/>
  <c r="CF136" i="7"/>
  <c r="CG136" i="7"/>
  <c r="CK136" i="7"/>
  <c r="CL136" i="7"/>
  <c r="CM136" i="7"/>
  <c r="CN136" i="7"/>
  <c r="CR136" i="7"/>
  <c r="CS136" i="7"/>
  <c r="CT136" i="7"/>
  <c r="CU136" i="7"/>
  <c r="CY136" i="7"/>
  <c r="CZ136" i="7"/>
  <c r="DA136" i="7"/>
  <c r="DB136" i="7"/>
  <c r="BW137" i="7"/>
  <c r="BX137" i="7"/>
  <c r="BY137" i="7"/>
  <c r="BZ137" i="7"/>
  <c r="CD137" i="7"/>
  <c r="CE137" i="7"/>
  <c r="CF137" i="7"/>
  <c r="CG137" i="7"/>
  <c r="CK137" i="7"/>
  <c r="CL137" i="7"/>
  <c r="CM137" i="7"/>
  <c r="CN137" i="7"/>
  <c r="CR137" i="7"/>
  <c r="CS137" i="7"/>
  <c r="CT137" i="7"/>
  <c r="CU137" i="7"/>
  <c r="CY137" i="7"/>
  <c r="CZ137" i="7"/>
  <c r="DA137" i="7"/>
  <c r="DB137" i="7"/>
  <c r="BW138" i="7"/>
  <c r="BX138" i="7"/>
  <c r="BY138" i="7"/>
  <c r="BZ138" i="7"/>
  <c r="CD138" i="7"/>
  <c r="CE138" i="7"/>
  <c r="CF138" i="7"/>
  <c r="CG138" i="7"/>
  <c r="CK138" i="7"/>
  <c r="CL138" i="7"/>
  <c r="CM138" i="7"/>
  <c r="CN138" i="7"/>
  <c r="CR138" i="7"/>
  <c r="CS138" i="7"/>
  <c r="CT138" i="7"/>
  <c r="CU138" i="7"/>
  <c r="CY138" i="7"/>
  <c r="CZ138" i="7"/>
  <c r="DA138" i="7"/>
  <c r="DB138" i="7"/>
  <c r="BW139" i="7"/>
  <c r="BX139" i="7"/>
  <c r="BY139" i="7"/>
  <c r="BZ139" i="7"/>
  <c r="CD139" i="7"/>
  <c r="CE139" i="7"/>
  <c r="CF139" i="7"/>
  <c r="CG139" i="7"/>
  <c r="CK139" i="7"/>
  <c r="CL139" i="7"/>
  <c r="CM139" i="7"/>
  <c r="CN139" i="7"/>
  <c r="CR139" i="7"/>
  <c r="CS139" i="7"/>
  <c r="CT139" i="7"/>
  <c r="CU139" i="7"/>
  <c r="CY139" i="7"/>
  <c r="CZ139" i="7"/>
  <c r="DA139" i="7"/>
  <c r="DB139" i="7"/>
  <c r="BW140" i="7"/>
  <c r="BX140" i="7"/>
  <c r="BY140" i="7"/>
  <c r="BZ140" i="7"/>
  <c r="CD140" i="7"/>
  <c r="CE140" i="7"/>
  <c r="CF140" i="7"/>
  <c r="CG140" i="7"/>
  <c r="CK140" i="7"/>
  <c r="CL140" i="7"/>
  <c r="CM140" i="7"/>
  <c r="CN140" i="7"/>
  <c r="CR140" i="7"/>
  <c r="CS140" i="7"/>
  <c r="CT140" i="7"/>
  <c r="CU140" i="7"/>
  <c r="CY140" i="7"/>
  <c r="CZ140" i="7"/>
  <c r="DA140" i="7"/>
  <c r="DB140" i="7"/>
  <c r="BW141" i="7"/>
  <c r="BX141" i="7"/>
  <c r="BY141" i="7"/>
  <c r="BZ141" i="7"/>
  <c r="CD141" i="7"/>
  <c r="CE141" i="7"/>
  <c r="CF141" i="7"/>
  <c r="CG141" i="7"/>
  <c r="CK141" i="7"/>
  <c r="CL141" i="7"/>
  <c r="CM141" i="7"/>
  <c r="CN141" i="7"/>
  <c r="CR141" i="7"/>
  <c r="CS141" i="7"/>
  <c r="CT141" i="7"/>
  <c r="CU141" i="7"/>
  <c r="CY141" i="7"/>
  <c r="CZ141" i="7"/>
  <c r="DA141" i="7"/>
  <c r="DB141" i="7"/>
  <c r="BW142" i="7"/>
  <c r="BX142" i="7"/>
  <c r="BY142" i="7"/>
  <c r="BZ142" i="7"/>
  <c r="CD142" i="7"/>
  <c r="CE142" i="7"/>
  <c r="CF142" i="7"/>
  <c r="CG142" i="7"/>
  <c r="CK142" i="7"/>
  <c r="CL142" i="7"/>
  <c r="CM142" i="7"/>
  <c r="CN142" i="7"/>
  <c r="CR142" i="7"/>
  <c r="CS142" i="7"/>
  <c r="CT142" i="7"/>
  <c r="CU142" i="7"/>
  <c r="CY142" i="7"/>
  <c r="CZ142" i="7"/>
  <c r="DA142" i="7"/>
  <c r="DB142" i="7"/>
  <c r="BW143" i="7"/>
  <c r="BX143" i="7"/>
  <c r="BY143" i="7"/>
  <c r="BZ143" i="7"/>
  <c r="CD143" i="7"/>
  <c r="CE143" i="7"/>
  <c r="CF143" i="7"/>
  <c r="CG143" i="7"/>
  <c r="CK143" i="7"/>
  <c r="CL143" i="7"/>
  <c r="CM143" i="7"/>
  <c r="CN143" i="7"/>
  <c r="CR143" i="7"/>
  <c r="CS143" i="7"/>
  <c r="CT143" i="7"/>
  <c r="CU143" i="7"/>
  <c r="CY143" i="7"/>
  <c r="CZ143" i="7"/>
  <c r="DA143" i="7"/>
  <c r="DB143" i="7"/>
  <c r="BW144" i="7"/>
  <c r="BX144" i="7"/>
  <c r="BY144" i="7"/>
  <c r="BZ144" i="7"/>
  <c r="CD144" i="7"/>
  <c r="CE144" i="7"/>
  <c r="CF144" i="7"/>
  <c r="CG144" i="7"/>
  <c r="CK144" i="7"/>
  <c r="CL144" i="7"/>
  <c r="CM144" i="7"/>
  <c r="CN144" i="7"/>
  <c r="CR144" i="7"/>
  <c r="CS144" i="7"/>
  <c r="CT144" i="7"/>
  <c r="CU144" i="7"/>
  <c r="CY144" i="7"/>
  <c r="CZ144" i="7"/>
  <c r="DA144" i="7"/>
  <c r="DB144" i="7"/>
  <c r="BW145" i="7"/>
  <c r="BX145" i="7"/>
  <c r="BY145" i="7"/>
  <c r="BZ145" i="7"/>
  <c r="CD145" i="7"/>
  <c r="CE145" i="7"/>
  <c r="CF145" i="7"/>
  <c r="CG145" i="7"/>
  <c r="CK145" i="7"/>
  <c r="CL145" i="7"/>
  <c r="CM145" i="7"/>
  <c r="CN145" i="7"/>
  <c r="CR145" i="7"/>
  <c r="CS145" i="7"/>
  <c r="CT145" i="7"/>
  <c r="CU145" i="7"/>
  <c r="CY145" i="7"/>
  <c r="CZ145" i="7"/>
  <c r="DA145" i="7"/>
  <c r="DB145" i="7"/>
  <c r="BW146" i="7"/>
  <c r="BX146" i="7"/>
  <c r="BY146" i="7"/>
  <c r="BZ146" i="7"/>
  <c r="CD146" i="7"/>
  <c r="CE146" i="7"/>
  <c r="CF146" i="7"/>
  <c r="CG146" i="7"/>
  <c r="CK146" i="7"/>
  <c r="CL146" i="7"/>
  <c r="CM146" i="7"/>
  <c r="CN146" i="7"/>
  <c r="CR146" i="7"/>
  <c r="CS146" i="7"/>
  <c r="CT146" i="7"/>
  <c r="CU146" i="7"/>
  <c r="CY146" i="7"/>
  <c r="CZ146" i="7"/>
  <c r="DA146" i="7"/>
  <c r="DB146" i="7"/>
  <c r="BW147" i="7"/>
  <c r="BX147" i="7"/>
  <c r="BY147" i="7"/>
  <c r="BZ147" i="7"/>
  <c r="CD147" i="7"/>
  <c r="CE147" i="7"/>
  <c r="CF147" i="7"/>
  <c r="CG147" i="7"/>
  <c r="CK147" i="7"/>
  <c r="CL147" i="7"/>
  <c r="CM147" i="7"/>
  <c r="CN147" i="7"/>
  <c r="CR147" i="7"/>
  <c r="CS147" i="7"/>
  <c r="CT147" i="7"/>
  <c r="CU147" i="7"/>
  <c r="CY147" i="7"/>
  <c r="CZ147" i="7"/>
  <c r="DA147" i="7"/>
  <c r="DB147" i="7"/>
  <c r="BW148" i="7"/>
  <c r="BX148" i="7"/>
  <c r="BY148" i="7"/>
  <c r="BZ148" i="7"/>
  <c r="CD148" i="7"/>
  <c r="CE148" i="7"/>
  <c r="CF148" i="7"/>
  <c r="CG148" i="7"/>
  <c r="CK148" i="7"/>
  <c r="CL148" i="7"/>
  <c r="CM148" i="7"/>
  <c r="CN148" i="7"/>
  <c r="CR148" i="7"/>
  <c r="CS148" i="7"/>
  <c r="CT148" i="7"/>
  <c r="CU148" i="7"/>
  <c r="CY148" i="7"/>
  <c r="CZ148" i="7"/>
  <c r="DA148" i="7"/>
  <c r="DB148" i="7"/>
  <c r="BW149" i="7"/>
  <c r="BX149" i="7"/>
  <c r="BY149" i="7"/>
  <c r="BZ149" i="7"/>
  <c r="CD149" i="7"/>
  <c r="CE149" i="7"/>
  <c r="CF149" i="7"/>
  <c r="CG149" i="7"/>
  <c r="CK149" i="7"/>
  <c r="CL149" i="7"/>
  <c r="CM149" i="7"/>
  <c r="CN149" i="7"/>
  <c r="CR149" i="7"/>
  <c r="CS149" i="7"/>
  <c r="CT149" i="7"/>
  <c r="CU149" i="7"/>
  <c r="CY149" i="7"/>
  <c r="CZ149" i="7"/>
  <c r="DA149" i="7"/>
  <c r="DB149" i="7"/>
  <c r="BW150" i="7"/>
  <c r="BX150" i="7"/>
  <c r="BY150" i="7"/>
  <c r="BZ150" i="7"/>
  <c r="CD150" i="7"/>
  <c r="CE150" i="7"/>
  <c r="CF150" i="7"/>
  <c r="CG150" i="7"/>
  <c r="CK150" i="7"/>
  <c r="CL150" i="7"/>
  <c r="CM150" i="7"/>
  <c r="CN150" i="7"/>
  <c r="CR150" i="7"/>
  <c r="CS150" i="7"/>
  <c r="CT150" i="7"/>
  <c r="CU150" i="7"/>
  <c r="CY150" i="7"/>
  <c r="CZ150" i="7"/>
  <c r="DA150" i="7"/>
  <c r="DB150" i="7"/>
  <c r="BW151" i="7"/>
  <c r="BX151" i="7"/>
  <c r="BY151" i="7"/>
  <c r="BZ151" i="7"/>
  <c r="CD151" i="7"/>
  <c r="CE151" i="7"/>
  <c r="CF151" i="7"/>
  <c r="CG151" i="7"/>
  <c r="CK151" i="7"/>
  <c r="CL151" i="7"/>
  <c r="CM151" i="7"/>
  <c r="CN151" i="7"/>
  <c r="CR151" i="7"/>
  <c r="CS151" i="7"/>
  <c r="CT151" i="7"/>
  <c r="CU151" i="7"/>
  <c r="CY151" i="7"/>
  <c r="CZ151" i="7"/>
  <c r="DA151" i="7"/>
  <c r="DB151" i="7"/>
  <c r="BW152" i="7"/>
  <c r="BX152" i="7"/>
  <c r="BY152" i="7"/>
  <c r="BZ152" i="7"/>
  <c r="CD152" i="7"/>
  <c r="CE152" i="7"/>
  <c r="CF152" i="7"/>
  <c r="CG152" i="7"/>
  <c r="CK152" i="7"/>
  <c r="CL152" i="7"/>
  <c r="CM152" i="7"/>
  <c r="CN152" i="7"/>
  <c r="CR152" i="7"/>
  <c r="CS152" i="7"/>
  <c r="CT152" i="7"/>
  <c r="CU152" i="7"/>
  <c r="CY152" i="7"/>
  <c r="CZ152" i="7"/>
  <c r="DA152" i="7"/>
  <c r="DB152" i="7"/>
  <c r="BW153" i="7"/>
  <c r="BX153" i="7"/>
  <c r="BY153" i="7"/>
  <c r="BZ153" i="7"/>
  <c r="CD153" i="7"/>
  <c r="CE153" i="7"/>
  <c r="CF153" i="7"/>
  <c r="CG153" i="7"/>
  <c r="CK153" i="7"/>
  <c r="CL153" i="7"/>
  <c r="CM153" i="7"/>
  <c r="CN153" i="7"/>
  <c r="CR153" i="7"/>
  <c r="CS153" i="7"/>
  <c r="CT153" i="7"/>
  <c r="CU153" i="7"/>
  <c r="CY153" i="7"/>
  <c r="CZ153" i="7"/>
  <c r="DA153" i="7"/>
  <c r="DB153" i="7"/>
  <c r="BW154" i="7"/>
  <c r="BX154" i="7"/>
  <c r="BY154" i="7"/>
  <c r="BZ154" i="7"/>
  <c r="CD154" i="7"/>
  <c r="CE154" i="7"/>
  <c r="CF154" i="7"/>
  <c r="CG154" i="7"/>
  <c r="CK154" i="7"/>
  <c r="CL154" i="7"/>
  <c r="CM154" i="7"/>
  <c r="CN154" i="7"/>
  <c r="CR154" i="7"/>
  <c r="CS154" i="7"/>
  <c r="CT154" i="7"/>
  <c r="CU154" i="7"/>
  <c r="CY154" i="7"/>
  <c r="CZ154" i="7"/>
  <c r="DA154" i="7"/>
  <c r="DB154" i="7"/>
  <c r="BW155" i="7"/>
  <c r="BX155" i="7"/>
  <c r="BY155" i="7"/>
  <c r="BZ155" i="7"/>
  <c r="CD155" i="7"/>
  <c r="CE155" i="7"/>
  <c r="CF155" i="7"/>
  <c r="CG155" i="7"/>
  <c r="CK155" i="7"/>
  <c r="CL155" i="7"/>
  <c r="CM155" i="7"/>
  <c r="CN155" i="7"/>
  <c r="CR155" i="7"/>
  <c r="CS155" i="7"/>
  <c r="CT155" i="7"/>
  <c r="CU155" i="7"/>
  <c r="CY155" i="7"/>
  <c r="CZ155" i="7"/>
  <c r="DA155" i="7"/>
  <c r="DB155" i="7"/>
  <c r="BW156" i="7"/>
  <c r="BX156" i="7"/>
  <c r="BY156" i="7"/>
  <c r="BZ156" i="7"/>
  <c r="CD156" i="7"/>
  <c r="CE156" i="7"/>
  <c r="CF156" i="7"/>
  <c r="CG156" i="7"/>
  <c r="CK156" i="7"/>
  <c r="CL156" i="7"/>
  <c r="CM156" i="7"/>
  <c r="CN156" i="7"/>
  <c r="CR156" i="7"/>
  <c r="CS156" i="7"/>
  <c r="CT156" i="7"/>
  <c r="CU156" i="7"/>
  <c r="CY156" i="7"/>
  <c r="CZ156" i="7"/>
  <c r="DA156" i="7"/>
  <c r="DB156" i="7"/>
  <c r="BW157" i="7"/>
  <c r="BX157" i="7"/>
  <c r="BY157" i="7"/>
  <c r="BZ157" i="7"/>
  <c r="CD157" i="7"/>
  <c r="CE157" i="7"/>
  <c r="CF157" i="7"/>
  <c r="CG157" i="7"/>
  <c r="CK157" i="7"/>
  <c r="CL157" i="7"/>
  <c r="CM157" i="7"/>
  <c r="CN157" i="7"/>
  <c r="CR157" i="7"/>
  <c r="CS157" i="7"/>
  <c r="CT157" i="7"/>
  <c r="CU157" i="7"/>
  <c r="CY157" i="7"/>
  <c r="CZ157" i="7"/>
  <c r="DA157" i="7"/>
  <c r="DB157" i="7"/>
  <c r="BW158" i="7"/>
  <c r="BX158" i="7"/>
  <c r="BY158" i="7"/>
  <c r="BZ158" i="7"/>
  <c r="CD158" i="7"/>
  <c r="CE158" i="7"/>
  <c r="CF158" i="7"/>
  <c r="CG158" i="7"/>
  <c r="CK158" i="7"/>
  <c r="CL158" i="7"/>
  <c r="CM158" i="7"/>
  <c r="CN158" i="7"/>
  <c r="CR158" i="7"/>
  <c r="CS158" i="7"/>
  <c r="CT158" i="7"/>
  <c r="CU158" i="7"/>
  <c r="CY158" i="7"/>
  <c r="CZ158" i="7"/>
  <c r="DA158" i="7"/>
  <c r="DB158" i="7"/>
  <c r="BW159" i="7"/>
  <c r="BX159" i="7"/>
  <c r="BY159" i="7"/>
  <c r="BZ159" i="7"/>
  <c r="CD159" i="7"/>
  <c r="CE159" i="7"/>
  <c r="CF159" i="7"/>
  <c r="CG159" i="7"/>
  <c r="CK159" i="7"/>
  <c r="CL159" i="7"/>
  <c r="CM159" i="7"/>
  <c r="CN159" i="7"/>
  <c r="CR159" i="7"/>
  <c r="CS159" i="7"/>
  <c r="CT159" i="7"/>
  <c r="CU159" i="7"/>
  <c r="CY159" i="7"/>
  <c r="CZ159" i="7"/>
  <c r="DA159" i="7"/>
  <c r="DB159" i="7"/>
  <c r="BW160" i="7"/>
  <c r="BX160" i="7"/>
  <c r="BY160" i="7"/>
  <c r="BZ160" i="7"/>
  <c r="CD160" i="7"/>
  <c r="CE160" i="7"/>
  <c r="CF160" i="7"/>
  <c r="CG160" i="7"/>
  <c r="CK160" i="7"/>
  <c r="CL160" i="7"/>
  <c r="CM160" i="7"/>
  <c r="CN160" i="7"/>
  <c r="CR160" i="7"/>
  <c r="CS160" i="7"/>
  <c r="CT160" i="7"/>
  <c r="CU160" i="7"/>
  <c r="CY160" i="7"/>
  <c r="CZ160" i="7"/>
  <c r="DA160" i="7"/>
  <c r="DB160" i="7"/>
  <c r="BW161" i="7"/>
  <c r="BX161" i="7"/>
  <c r="BY161" i="7"/>
  <c r="BZ161" i="7"/>
  <c r="CD161" i="7"/>
  <c r="CE161" i="7"/>
  <c r="CF161" i="7"/>
  <c r="CG161" i="7"/>
  <c r="CK161" i="7"/>
  <c r="CL161" i="7"/>
  <c r="CM161" i="7"/>
  <c r="CN161" i="7"/>
  <c r="CR161" i="7"/>
  <c r="CS161" i="7"/>
  <c r="CT161" i="7"/>
  <c r="CU161" i="7"/>
  <c r="CY161" i="7"/>
  <c r="CZ161" i="7"/>
  <c r="DA161" i="7"/>
  <c r="DB161" i="7"/>
  <c r="BW162" i="7"/>
  <c r="BX162" i="7"/>
  <c r="BY162" i="7"/>
  <c r="BZ162" i="7"/>
  <c r="CD162" i="7"/>
  <c r="CE162" i="7"/>
  <c r="CF162" i="7"/>
  <c r="CG162" i="7"/>
  <c r="CK162" i="7"/>
  <c r="CL162" i="7"/>
  <c r="CM162" i="7"/>
  <c r="CN162" i="7"/>
  <c r="CR162" i="7"/>
  <c r="CS162" i="7"/>
  <c r="CT162" i="7"/>
  <c r="CU162" i="7"/>
  <c r="CY162" i="7"/>
  <c r="CZ162" i="7"/>
  <c r="DA162" i="7"/>
  <c r="DB162" i="7"/>
  <c r="BW163" i="7"/>
  <c r="BX163" i="7"/>
  <c r="BY163" i="7"/>
  <c r="BZ163" i="7"/>
  <c r="CD163" i="7"/>
  <c r="CE163" i="7"/>
  <c r="CF163" i="7"/>
  <c r="CG163" i="7"/>
  <c r="CK163" i="7"/>
  <c r="CL163" i="7"/>
  <c r="CM163" i="7"/>
  <c r="CN163" i="7"/>
  <c r="CR163" i="7"/>
  <c r="CS163" i="7"/>
  <c r="CT163" i="7"/>
  <c r="CU163" i="7"/>
  <c r="CY163" i="7"/>
  <c r="CZ163" i="7"/>
  <c r="DA163" i="7"/>
  <c r="DB163" i="7"/>
  <c r="BW164" i="7"/>
  <c r="BX164" i="7"/>
  <c r="BY164" i="7"/>
  <c r="BZ164" i="7"/>
  <c r="CD164" i="7"/>
  <c r="CE164" i="7"/>
  <c r="CF164" i="7"/>
  <c r="CG164" i="7"/>
  <c r="CK164" i="7"/>
  <c r="CL164" i="7"/>
  <c r="CM164" i="7"/>
  <c r="CN164" i="7"/>
  <c r="CR164" i="7"/>
  <c r="CS164" i="7"/>
  <c r="CT164" i="7"/>
  <c r="CU164" i="7"/>
  <c r="CY164" i="7"/>
  <c r="CZ164" i="7"/>
  <c r="DA164" i="7"/>
  <c r="DB164" i="7"/>
  <c r="BW165" i="7"/>
  <c r="BX165" i="7"/>
  <c r="BY165" i="7"/>
  <c r="BZ165" i="7"/>
  <c r="CD165" i="7"/>
  <c r="CE165" i="7"/>
  <c r="CF165" i="7"/>
  <c r="CG165" i="7"/>
  <c r="CK165" i="7"/>
  <c r="CL165" i="7"/>
  <c r="CM165" i="7"/>
  <c r="CN165" i="7"/>
  <c r="CR165" i="7"/>
  <c r="CS165" i="7"/>
  <c r="CT165" i="7"/>
  <c r="CU165" i="7"/>
  <c r="CY165" i="7"/>
  <c r="CZ165" i="7"/>
  <c r="DA165" i="7"/>
  <c r="DB165" i="7"/>
  <c r="BW166" i="7"/>
  <c r="BX166" i="7"/>
  <c r="BY166" i="7"/>
  <c r="BZ166" i="7"/>
  <c r="CD166" i="7"/>
  <c r="CE166" i="7"/>
  <c r="CF166" i="7"/>
  <c r="CG166" i="7"/>
  <c r="CK166" i="7"/>
  <c r="CL166" i="7"/>
  <c r="CM166" i="7"/>
  <c r="CN166" i="7"/>
  <c r="CR166" i="7"/>
  <c r="CS166" i="7"/>
  <c r="CT166" i="7"/>
  <c r="CU166" i="7"/>
  <c r="CY166" i="7"/>
  <c r="CZ166" i="7"/>
  <c r="DA166" i="7"/>
  <c r="DB166" i="7"/>
  <c r="BW167" i="7"/>
  <c r="BX167" i="7"/>
  <c r="BY167" i="7"/>
  <c r="BZ167" i="7"/>
  <c r="CD167" i="7"/>
  <c r="CE167" i="7"/>
  <c r="CF167" i="7"/>
  <c r="CG167" i="7"/>
  <c r="CK167" i="7"/>
  <c r="CL167" i="7"/>
  <c r="CM167" i="7"/>
  <c r="CN167" i="7"/>
  <c r="CR167" i="7"/>
  <c r="CS167" i="7"/>
  <c r="CT167" i="7"/>
  <c r="CU167" i="7"/>
  <c r="CY167" i="7"/>
  <c r="CZ167" i="7"/>
  <c r="DA167" i="7"/>
  <c r="DB167" i="7"/>
  <c r="BW168" i="7"/>
  <c r="BX168" i="7"/>
  <c r="BY168" i="7"/>
  <c r="BZ168" i="7"/>
  <c r="CD168" i="7"/>
  <c r="CE168" i="7"/>
  <c r="CF168" i="7"/>
  <c r="CG168" i="7"/>
  <c r="CK168" i="7"/>
  <c r="CL168" i="7"/>
  <c r="CM168" i="7"/>
  <c r="CN168" i="7"/>
  <c r="CR168" i="7"/>
  <c r="CS168" i="7"/>
  <c r="CT168" i="7"/>
  <c r="CU168" i="7"/>
  <c r="CY168" i="7"/>
  <c r="CZ168" i="7"/>
  <c r="DA168" i="7"/>
  <c r="DB168" i="7"/>
  <c r="BW169" i="7"/>
  <c r="BX169" i="7"/>
  <c r="BY169" i="7"/>
  <c r="BZ169" i="7"/>
  <c r="CD169" i="7"/>
  <c r="CE169" i="7"/>
  <c r="CF169" i="7"/>
  <c r="CG169" i="7"/>
  <c r="CK169" i="7"/>
  <c r="CL169" i="7"/>
  <c r="CM169" i="7"/>
  <c r="CN169" i="7"/>
  <c r="CR169" i="7"/>
  <c r="CS169" i="7"/>
  <c r="CT169" i="7"/>
  <c r="CU169" i="7"/>
  <c r="CY169" i="7"/>
  <c r="CZ169" i="7"/>
  <c r="DA169" i="7"/>
  <c r="DB169" i="7"/>
  <c r="BW170" i="7"/>
  <c r="BX170" i="7"/>
  <c r="BY170" i="7"/>
  <c r="BZ170" i="7"/>
  <c r="CD170" i="7"/>
  <c r="CE170" i="7"/>
  <c r="CF170" i="7"/>
  <c r="CG170" i="7"/>
  <c r="CK170" i="7"/>
  <c r="CL170" i="7"/>
  <c r="CM170" i="7"/>
  <c r="CN170" i="7"/>
  <c r="CR170" i="7"/>
  <c r="CS170" i="7"/>
  <c r="CT170" i="7"/>
  <c r="CU170" i="7"/>
  <c r="CY170" i="7"/>
  <c r="CZ170" i="7"/>
  <c r="DA170" i="7"/>
  <c r="DB170" i="7"/>
  <c r="BW171" i="7"/>
  <c r="BX171" i="7"/>
  <c r="BY171" i="7"/>
  <c r="BZ171" i="7"/>
  <c r="CD171" i="7"/>
  <c r="CE171" i="7"/>
  <c r="CF171" i="7"/>
  <c r="CG171" i="7"/>
  <c r="CK171" i="7"/>
  <c r="CL171" i="7"/>
  <c r="CM171" i="7"/>
  <c r="CN171" i="7"/>
  <c r="CR171" i="7"/>
  <c r="CS171" i="7"/>
  <c r="CT171" i="7"/>
  <c r="CU171" i="7"/>
  <c r="CY171" i="7"/>
  <c r="CZ171" i="7"/>
  <c r="DA171" i="7"/>
  <c r="DB171" i="7"/>
  <c r="BW172" i="7"/>
  <c r="BX172" i="7"/>
  <c r="BY172" i="7"/>
  <c r="BZ172" i="7"/>
  <c r="CD172" i="7"/>
  <c r="CE172" i="7"/>
  <c r="CF172" i="7"/>
  <c r="CG172" i="7"/>
  <c r="CK172" i="7"/>
  <c r="CL172" i="7"/>
  <c r="CM172" i="7"/>
  <c r="CN172" i="7"/>
  <c r="CR172" i="7"/>
  <c r="CS172" i="7"/>
  <c r="CT172" i="7"/>
  <c r="CU172" i="7"/>
  <c r="CY172" i="7"/>
  <c r="CZ172" i="7"/>
  <c r="DA172" i="7"/>
  <c r="DB172" i="7"/>
  <c r="BW173" i="7"/>
  <c r="BX173" i="7"/>
  <c r="BY173" i="7"/>
  <c r="BZ173" i="7"/>
  <c r="CD173" i="7"/>
  <c r="CE173" i="7"/>
  <c r="CF173" i="7"/>
  <c r="CG173" i="7"/>
  <c r="CK173" i="7"/>
  <c r="CL173" i="7"/>
  <c r="CM173" i="7"/>
  <c r="CN173" i="7"/>
  <c r="CR173" i="7"/>
  <c r="CS173" i="7"/>
  <c r="CT173" i="7"/>
  <c r="CU173" i="7"/>
  <c r="CY173" i="7"/>
  <c r="CZ173" i="7"/>
  <c r="DA173" i="7"/>
  <c r="DB173" i="7"/>
  <c r="BW174" i="7"/>
  <c r="BX174" i="7"/>
  <c r="BY174" i="7"/>
  <c r="BZ174" i="7"/>
  <c r="CD174" i="7"/>
  <c r="CE174" i="7"/>
  <c r="CF174" i="7"/>
  <c r="CG174" i="7"/>
  <c r="CK174" i="7"/>
  <c r="CL174" i="7"/>
  <c r="CM174" i="7"/>
  <c r="CN174" i="7"/>
  <c r="CR174" i="7"/>
  <c r="CS174" i="7"/>
  <c r="CT174" i="7"/>
  <c r="CU174" i="7"/>
  <c r="CY174" i="7"/>
  <c r="CZ174" i="7"/>
  <c r="DA174" i="7"/>
  <c r="DB174" i="7"/>
  <c r="BW175" i="7"/>
  <c r="BX175" i="7"/>
  <c r="BY175" i="7"/>
  <c r="BZ175" i="7"/>
  <c r="CD175" i="7"/>
  <c r="CE175" i="7"/>
  <c r="CF175" i="7"/>
  <c r="CG175" i="7"/>
  <c r="CK175" i="7"/>
  <c r="CL175" i="7"/>
  <c r="CM175" i="7"/>
  <c r="CN175" i="7"/>
  <c r="CR175" i="7"/>
  <c r="CS175" i="7"/>
  <c r="CT175" i="7"/>
  <c r="CU175" i="7"/>
  <c r="CY175" i="7"/>
  <c r="CZ175" i="7"/>
  <c r="DA175" i="7"/>
  <c r="DB175" i="7"/>
  <c r="BW176" i="7"/>
  <c r="BX176" i="7"/>
  <c r="BY176" i="7"/>
  <c r="BZ176" i="7"/>
  <c r="CD176" i="7"/>
  <c r="CE176" i="7"/>
  <c r="CF176" i="7"/>
  <c r="CG176" i="7"/>
  <c r="CK176" i="7"/>
  <c r="CL176" i="7"/>
  <c r="CM176" i="7"/>
  <c r="CN176" i="7"/>
  <c r="CR176" i="7"/>
  <c r="CS176" i="7"/>
  <c r="CT176" i="7"/>
  <c r="CU176" i="7"/>
  <c r="CY176" i="7"/>
  <c r="CZ176" i="7"/>
  <c r="DA176" i="7"/>
  <c r="DB176" i="7"/>
  <c r="BW177" i="7"/>
  <c r="BX177" i="7"/>
  <c r="BY177" i="7"/>
  <c r="BZ177" i="7"/>
  <c r="CD177" i="7"/>
  <c r="CE177" i="7"/>
  <c r="CF177" i="7"/>
  <c r="CG177" i="7"/>
  <c r="CK177" i="7"/>
  <c r="CL177" i="7"/>
  <c r="CM177" i="7"/>
  <c r="CN177" i="7"/>
  <c r="CR177" i="7"/>
  <c r="CS177" i="7"/>
  <c r="CT177" i="7"/>
  <c r="CU177" i="7"/>
  <c r="CY177" i="7"/>
  <c r="CZ177" i="7"/>
  <c r="DA177" i="7"/>
  <c r="DB177" i="7"/>
  <c r="BW178" i="7"/>
  <c r="BX178" i="7"/>
  <c r="BY178" i="7"/>
  <c r="BZ178" i="7"/>
  <c r="CD178" i="7"/>
  <c r="CE178" i="7"/>
  <c r="CF178" i="7"/>
  <c r="CG178" i="7"/>
  <c r="CK178" i="7"/>
  <c r="CL178" i="7"/>
  <c r="CM178" i="7"/>
  <c r="CN178" i="7"/>
  <c r="CR178" i="7"/>
  <c r="CS178" i="7"/>
  <c r="CT178" i="7"/>
  <c r="CU178" i="7"/>
  <c r="CY178" i="7"/>
  <c r="CZ178" i="7"/>
  <c r="DA178" i="7"/>
  <c r="DB178" i="7"/>
  <c r="BW179" i="7"/>
  <c r="BX179" i="7"/>
  <c r="BY179" i="7"/>
  <c r="BZ179" i="7"/>
  <c r="CD179" i="7"/>
  <c r="CE179" i="7"/>
  <c r="CF179" i="7"/>
  <c r="CG179" i="7"/>
  <c r="CK179" i="7"/>
  <c r="CL179" i="7"/>
  <c r="CM179" i="7"/>
  <c r="CN179" i="7"/>
  <c r="CR179" i="7"/>
  <c r="CS179" i="7"/>
  <c r="CT179" i="7"/>
  <c r="CU179" i="7"/>
  <c r="CY179" i="7"/>
  <c r="CZ179" i="7"/>
  <c r="DA179" i="7"/>
  <c r="DB179" i="7"/>
  <c r="BW180" i="7"/>
  <c r="BX180" i="7"/>
  <c r="BY180" i="7"/>
  <c r="BZ180" i="7"/>
  <c r="CD180" i="7"/>
  <c r="CE180" i="7"/>
  <c r="CF180" i="7"/>
  <c r="CG180" i="7"/>
  <c r="CK180" i="7"/>
  <c r="CL180" i="7"/>
  <c r="CM180" i="7"/>
  <c r="CN180" i="7"/>
  <c r="CR180" i="7"/>
  <c r="CS180" i="7"/>
  <c r="CT180" i="7"/>
  <c r="CU180" i="7"/>
  <c r="CY180" i="7"/>
  <c r="CZ180" i="7"/>
  <c r="DA180" i="7"/>
  <c r="DB180" i="7"/>
  <c r="BW181" i="7"/>
  <c r="BX181" i="7"/>
  <c r="BY181" i="7"/>
  <c r="BZ181" i="7"/>
  <c r="CD181" i="7"/>
  <c r="CE181" i="7"/>
  <c r="CF181" i="7"/>
  <c r="CG181" i="7"/>
  <c r="CK181" i="7"/>
  <c r="CL181" i="7"/>
  <c r="CM181" i="7"/>
  <c r="CN181" i="7"/>
  <c r="CR181" i="7"/>
  <c r="CS181" i="7"/>
  <c r="CT181" i="7"/>
  <c r="CU181" i="7"/>
  <c r="CY181" i="7"/>
  <c r="CZ181" i="7"/>
  <c r="DA181" i="7"/>
  <c r="DB181" i="7"/>
  <c r="BW182" i="7"/>
  <c r="BX182" i="7"/>
  <c r="BY182" i="7"/>
  <c r="BZ182" i="7"/>
  <c r="CD182" i="7"/>
  <c r="CE182" i="7"/>
  <c r="CF182" i="7"/>
  <c r="CG182" i="7"/>
  <c r="CK182" i="7"/>
  <c r="CL182" i="7"/>
  <c r="CM182" i="7"/>
  <c r="CN182" i="7"/>
  <c r="CR182" i="7"/>
  <c r="CS182" i="7"/>
  <c r="CT182" i="7"/>
  <c r="CU182" i="7"/>
  <c r="CY182" i="7"/>
  <c r="CZ182" i="7"/>
  <c r="DA182" i="7"/>
  <c r="DB182" i="7"/>
  <c r="BW183" i="7"/>
  <c r="BX183" i="7"/>
  <c r="BY183" i="7"/>
  <c r="BZ183" i="7"/>
  <c r="CD183" i="7"/>
  <c r="CE183" i="7"/>
  <c r="CF183" i="7"/>
  <c r="CG183" i="7"/>
  <c r="CK183" i="7"/>
  <c r="CL183" i="7"/>
  <c r="CM183" i="7"/>
  <c r="CN183" i="7"/>
  <c r="CR183" i="7"/>
  <c r="CS183" i="7"/>
  <c r="CT183" i="7"/>
  <c r="CU183" i="7"/>
  <c r="CY183" i="7"/>
  <c r="CZ183" i="7"/>
  <c r="DA183" i="7"/>
  <c r="DB183" i="7"/>
  <c r="BW184" i="7"/>
  <c r="BX184" i="7"/>
  <c r="BY184" i="7"/>
  <c r="BZ184" i="7"/>
  <c r="CD184" i="7"/>
  <c r="CE184" i="7"/>
  <c r="CF184" i="7"/>
  <c r="CG184" i="7"/>
  <c r="CK184" i="7"/>
  <c r="CL184" i="7"/>
  <c r="CM184" i="7"/>
  <c r="CN184" i="7"/>
  <c r="CR184" i="7"/>
  <c r="CS184" i="7"/>
  <c r="CT184" i="7"/>
  <c r="CU184" i="7"/>
  <c r="CY184" i="7"/>
  <c r="CZ184" i="7"/>
  <c r="DA184" i="7"/>
  <c r="DB184" i="7"/>
  <c r="BW185" i="7"/>
  <c r="BX185" i="7"/>
  <c r="BY185" i="7"/>
  <c r="BZ185" i="7"/>
  <c r="CD185" i="7"/>
  <c r="CE185" i="7"/>
  <c r="CF185" i="7"/>
  <c r="CG185" i="7"/>
  <c r="CK185" i="7"/>
  <c r="CL185" i="7"/>
  <c r="CM185" i="7"/>
  <c r="CN185" i="7"/>
  <c r="CR185" i="7"/>
  <c r="CS185" i="7"/>
  <c r="CT185" i="7"/>
  <c r="CU185" i="7"/>
  <c r="CY185" i="7"/>
  <c r="CZ185" i="7"/>
  <c r="DA185" i="7"/>
  <c r="DB185" i="7"/>
  <c r="BW186" i="7"/>
  <c r="BX186" i="7"/>
  <c r="BY186" i="7"/>
  <c r="BZ186" i="7"/>
  <c r="CD186" i="7"/>
  <c r="CE186" i="7"/>
  <c r="CF186" i="7"/>
  <c r="CG186" i="7"/>
  <c r="CK186" i="7"/>
  <c r="CL186" i="7"/>
  <c r="CM186" i="7"/>
  <c r="CN186" i="7"/>
  <c r="CR186" i="7"/>
  <c r="CS186" i="7"/>
  <c r="CT186" i="7"/>
  <c r="CU186" i="7"/>
  <c r="CY186" i="7"/>
  <c r="CZ186" i="7"/>
  <c r="DA186" i="7"/>
  <c r="DB186" i="7"/>
  <c r="BW187" i="7"/>
  <c r="BX187" i="7"/>
  <c r="BY187" i="7"/>
  <c r="BZ187" i="7"/>
  <c r="CD187" i="7"/>
  <c r="CE187" i="7"/>
  <c r="CF187" i="7"/>
  <c r="CG187" i="7"/>
  <c r="CK187" i="7"/>
  <c r="CL187" i="7"/>
  <c r="CM187" i="7"/>
  <c r="CN187" i="7"/>
  <c r="CR187" i="7"/>
  <c r="CS187" i="7"/>
  <c r="CT187" i="7"/>
  <c r="CU187" i="7"/>
  <c r="CY187" i="7"/>
  <c r="CZ187" i="7"/>
  <c r="DA187" i="7"/>
  <c r="DB187" i="7"/>
  <c r="BW188" i="7"/>
  <c r="BX188" i="7"/>
  <c r="BY188" i="7"/>
  <c r="BZ188" i="7"/>
  <c r="CD188" i="7"/>
  <c r="CE188" i="7"/>
  <c r="CF188" i="7"/>
  <c r="CG188" i="7"/>
  <c r="CK188" i="7"/>
  <c r="CL188" i="7"/>
  <c r="CM188" i="7"/>
  <c r="CN188" i="7"/>
  <c r="CR188" i="7"/>
  <c r="CS188" i="7"/>
  <c r="CT188" i="7"/>
  <c r="CU188" i="7"/>
  <c r="CY188" i="7"/>
  <c r="CZ188" i="7"/>
  <c r="DA188" i="7"/>
  <c r="DB188" i="7"/>
  <c r="BW189" i="7"/>
  <c r="BX189" i="7"/>
  <c r="BY189" i="7"/>
  <c r="BZ189" i="7"/>
  <c r="CD189" i="7"/>
  <c r="CE189" i="7"/>
  <c r="CF189" i="7"/>
  <c r="CG189" i="7"/>
  <c r="CK189" i="7"/>
  <c r="CL189" i="7"/>
  <c r="CM189" i="7"/>
  <c r="CN189" i="7"/>
  <c r="CR189" i="7"/>
  <c r="CS189" i="7"/>
  <c r="CT189" i="7"/>
  <c r="CU189" i="7"/>
  <c r="CY189" i="7"/>
  <c r="CZ189" i="7"/>
  <c r="DA189" i="7"/>
  <c r="DB189" i="7"/>
  <c r="BW190" i="7"/>
  <c r="BX190" i="7"/>
  <c r="BY190" i="7"/>
  <c r="BZ190" i="7"/>
  <c r="CD190" i="7"/>
  <c r="CE190" i="7"/>
  <c r="CF190" i="7"/>
  <c r="CG190" i="7"/>
  <c r="CK190" i="7"/>
  <c r="CL190" i="7"/>
  <c r="CM190" i="7"/>
  <c r="CN190" i="7"/>
  <c r="CR190" i="7"/>
  <c r="CS190" i="7"/>
  <c r="CT190" i="7"/>
  <c r="CU190" i="7"/>
  <c r="CY190" i="7"/>
  <c r="CZ190" i="7"/>
  <c r="DA190" i="7"/>
  <c r="DB190" i="7"/>
  <c r="BW191" i="7"/>
  <c r="BX191" i="7"/>
  <c r="BY191" i="7"/>
  <c r="BZ191" i="7"/>
  <c r="CD191" i="7"/>
  <c r="CE191" i="7"/>
  <c r="CF191" i="7"/>
  <c r="CG191" i="7"/>
  <c r="CK191" i="7"/>
  <c r="CL191" i="7"/>
  <c r="CM191" i="7"/>
  <c r="CN191" i="7"/>
  <c r="CR191" i="7"/>
  <c r="CS191" i="7"/>
  <c r="CT191" i="7"/>
  <c r="CU191" i="7"/>
  <c r="CY191" i="7"/>
  <c r="CZ191" i="7"/>
  <c r="DA191" i="7"/>
  <c r="DB191" i="7"/>
  <c r="BW192" i="7"/>
  <c r="BX192" i="7"/>
  <c r="BY192" i="7"/>
  <c r="BZ192" i="7"/>
  <c r="CD192" i="7"/>
  <c r="CE192" i="7"/>
  <c r="CF192" i="7"/>
  <c r="CG192" i="7"/>
  <c r="CK192" i="7"/>
  <c r="CL192" i="7"/>
  <c r="CM192" i="7"/>
  <c r="CN192" i="7"/>
  <c r="CR192" i="7"/>
  <c r="CS192" i="7"/>
  <c r="CT192" i="7"/>
  <c r="CU192" i="7"/>
  <c r="CY192" i="7"/>
  <c r="CZ192" i="7"/>
  <c r="DA192" i="7"/>
  <c r="DB192" i="7"/>
  <c r="BW193" i="7"/>
  <c r="BX193" i="7"/>
  <c r="BY193" i="7"/>
  <c r="BZ193" i="7"/>
  <c r="CD193" i="7"/>
  <c r="CE193" i="7"/>
  <c r="CF193" i="7"/>
  <c r="CG193" i="7"/>
  <c r="CK193" i="7"/>
  <c r="CL193" i="7"/>
  <c r="CM193" i="7"/>
  <c r="CN193" i="7"/>
  <c r="CR193" i="7"/>
  <c r="CS193" i="7"/>
  <c r="CT193" i="7"/>
  <c r="CU193" i="7"/>
  <c r="CY193" i="7"/>
  <c r="CZ193" i="7"/>
  <c r="DA193" i="7"/>
  <c r="DB193" i="7"/>
  <c r="BW194" i="7"/>
  <c r="BX194" i="7"/>
  <c r="BY194" i="7"/>
  <c r="BZ194" i="7"/>
  <c r="CD194" i="7"/>
  <c r="CE194" i="7"/>
  <c r="CF194" i="7"/>
  <c r="CG194" i="7"/>
  <c r="CK194" i="7"/>
  <c r="CL194" i="7"/>
  <c r="CM194" i="7"/>
  <c r="CN194" i="7"/>
  <c r="CR194" i="7"/>
  <c r="CS194" i="7"/>
  <c r="CT194" i="7"/>
  <c r="CU194" i="7"/>
  <c r="CY194" i="7"/>
  <c r="CZ194" i="7"/>
  <c r="DA194" i="7"/>
  <c r="DB194" i="7"/>
  <c r="BW195" i="7"/>
  <c r="BX195" i="7"/>
  <c r="BY195" i="7"/>
  <c r="BZ195" i="7"/>
  <c r="CD195" i="7"/>
  <c r="CE195" i="7"/>
  <c r="CF195" i="7"/>
  <c r="CG195" i="7"/>
  <c r="CK195" i="7"/>
  <c r="CL195" i="7"/>
  <c r="CM195" i="7"/>
  <c r="CN195" i="7"/>
  <c r="CR195" i="7"/>
  <c r="CS195" i="7"/>
  <c r="CT195" i="7"/>
  <c r="CU195" i="7"/>
  <c r="CY195" i="7"/>
  <c r="CZ195" i="7"/>
  <c r="DA195" i="7"/>
  <c r="DB195" i="7"/>
  <c r="BW196" i="7"/>
  <c r="BX196" i="7"/>
  <c r="BY196" i="7"/>
  <c r="BZ196" i="7"/>
  <c r="CD196" i="7"/>
  <c r="CE196" i="7"/>
  <c r="CF196" i="7"/>
  <c r="CG196" i="7"/>
  <c r="CK196" i="7"/>
  <c r="CL196" i="7"/>
  <c r="CM196" i="7"/>
  <c r="CN196" i="7"/>
  <c r="CR196" i="7"/>
  <c r="CS196" i="7"/>
  <c r="CT196" i="7"/>
  <c r="CU196" i="7"/>
  <c r="CY196" i="7"/>
  <c r="CZ196" i="7"/>
  <c r="DA196" i="7"/>
  <c r="DB196" i="7"/>
  <c r="BW197" i="7"/>
  <c r="BX197" i="7"/>
  <c r="BY197" i="7"/>
  <c r="BZ197" i="7"/>
  <c r="CD197" i="7"/>
  <c r="CE197" i="7"/>
  <c r="CF197" i="7"/>
  <c r="CG197" i="7"/>
  <c r="CK197" i="7"/>
  <c r="CL197" i="7"/>
  <c r="CM197" i="7"/>
  <c r="CN197" i="7"/>
  <c r="CR197" i="7"/>
  <c r="CS197" i="7"/>
  <c r="CT197" i="7"/>
  <c r="CU197" i="7"/>
  <c r="CY197" i="7"/>
  <c r="CZ197" i="7"/>
  <c r="DA197" i="7"/>
  <c r="DB197" i="7"/>
  <c r="BW198" i="7"/>
  <c r="BX198" i="7"/>
  <c r="BY198" i="7"/>
  <c r="BZ198" i="7"/>
  <c r="CD198" i="7"/>
  <c r="CE198" i="7"/>
  <c r="CF198" i="7"/>
  <c r="CG198" i="7"/>
  <c r="CK198" i="7"/>
  <c r="CL198" i="7"/>
  <c r="CM198" i="7"/>
  <c r="CN198" i="7"/>
  <c r="CR198" i="7"/>
  <c r="CS198" i="7"/>
  <c r="CT198" i="7"/>
  <c r="CU198" i="7"/>
  <c r="CY198" i="7"/>
  <c r="CZ198" i="7"/>
  <c r="DA198" i="7"/>
  <c r="DB198" i="7"/>
  <c r="BW199" i="7"/>
  <c r="BX199" i="7"/>
  <c r="BY199" i="7"/>
  <c r="BZ199" i="7"/>
  <c r="CD199" i="7"/>
  <c r="CE199" i="7"/>
  <c r="CF199" i="7"/>
  <c r="CG199" i="7"/>
  <c r="CK199" i="7"/>
  <c r="CL199" i="7"/>
  <c r="CM199" i="7"/>
  <c r="CN199" i="7"/>
  <c r="CR199" i="7"/>
  <c r="CS199" i="7"/>
  <c r="CT199" i="7"/>
  <c r="CU199" i="7"/>
  <c r="CY199" i="7"/>
  <c r="CZ199" i="7"/>
  <c r="DA199" i="7"/>
  <c r="DB199" i="7"/>
  <c r="BW200" i="7"/>
  <c r="BX200" i="7"/>
  <c r="BY200" i="7"/>
  <c r="BZ200" i="7"/>
  <c r="CD200" i="7"/>
  <c r="CE200" i="7"/>
  <c r="CF200" i="7"/>
  <c r="CG200" i="7"/>
  <c r="CK200" i="7"/>
  <c r="CL200" i="7"/>
  <c r="CM200" i="7"/>
  <c r="CN200" i="7"/>
  <c r="CR200" i="7"/>
  <c r="CS200" i="7"/>
  <c r="CT200" i="7"/>
  <c r="CU200" i="7"/>
  <c r="CY200" i="7"/>
  <c r="CZ200" i="7"/>
  <c r="DA200" i="7"/>
  <c r="DB200" i="7"/>
  <c r="BW201" i="7"/>
  <c r="BX201" i="7"/>
  <c r="BY201" i="7"/>
  <c r="BZ201" i="7"/>
  <c r="CD201" i="7"/>
  <c r="CE201" i="7"/>
  <c r="CF201" i="7"/>
  <c r="CG201" i="7"/>
  <c r="CK201" i="7"/>
  <c r="CL201" i="7"/>
  <c r="CM201" i="7"/>
  <c r="CN201" i="7"/>
  <c r="CR201" i="7"/>
  <c r="CS201" i="7"/>
  <c r="CT201" i="7"/>
  <c r="CU201" i="7"/>
  <c r="CY201" i="7"/>
  <c r="CZ201" i="7"/>
  <c r="DA201" i="7"/>
  <c r="DB201" i="7"/>
  <c r="BW202" i="7"/>
  <c r="BX202" i="7"/>
  <c r="BY202" i="7"/>
  <c r="BZ202" i="7"/>
  <c r="CD202" i="7"/>
  <c r="CE202" i="7"/>
  <c r="CF202" i="7"/>
  <c r="CG202" i="7"/>
  <c r="CK202" i="7"/>
  <c r="CL202" i="7"/>
  <c r="CM202" i="7"/>
  <c r="CN202" i="7"/>
  <c r="CR202" i="7"/>
  <c r="CS202" i="7"/>
  <c r="CT202" i="7"/>
  <c r="CU202" i="7"/>
  <c r="CY202" i="7"/>
  <c r="CZ202" i="7"/>
  <c r="DA202" i="7"/>
  <c r="DB202" i="7"/>
  <c r="BW203" i="7"/>
  <c r="BX203" i="7"/>
  <c r="BY203" i="7"/>
  <c r="BZ203" i="7"/>
  <c r="CD203" i="7"/>
  <c r="CE203" i="7"/>
  <c r="CF203" i="7"/>
  <c r="CG203" i="7"/>
  <c r="CK203" i="7"/>
  <c r="CL203" i="7"/>
  <c r="CM203" i="7"/>
  <c r="CN203" i="7"/>
  <c r="CR203" i="7"/>
  <c r="CS203" i="7"/>
  <c r="CT203" i="7"/>
  <c r="CU203" i="7"/>
  <c r="CY203" i="7"/>
  <c r="CZ203" i="7"/>
  <c r="DA203" i="7"/>
  <c r="DB203" i="7"/>
  <c r="BW204" i="7"/>
  <c r="BX204" i="7"/>
  <c r="BY204" i="7"/>
  <c r="BZ204" i="7"/>
  <c r="CD204" i="7"/>
  <c r="CE204" i="7"/>
  <c r="CF204" i="7"/>
  <c r="CG204" i="7"/>
  <c r="CK204" i="7"/>
  <c r="CL204" i="7"/>
  <c r="CM204" i="7"/>
  <c r="CN204" i="7"/>
  <c r="CR204" i="7"/>
  <c r="CS204" i="7"/>
  <c r="CT204" i="7"/>
  <c r="CU204" i="7"/>
  <c r="CY204" i="7"/>
  <c r="CZ204" i="7"/>
  <c r="DA204" i="7"/>
  <c r="DB204" i="7"/>
  <c r="BW205" i="7"/>
  <c r="BX205" i="7"/>
  <c r="BY205" i="7"/>
  <c r="BZ205" i="7"/>
  <c r="CD205" i="7"/>
  <c r="CE205" i="7"/>
  <c r="CF205" i="7"/>
  <c r="CG205" i="7"/>
  <c r="CK205" i="7"/>
  <c r="CL205" i="7"/>
  <c r="CM205" i="7"/>
  <c r="CN205" i="7"/>
  <c r="CR205" i="7"/>
  <c r="CS205" i="7"/>
  <c r="CT205" i="7"/>
  <c r="CU205" i="7"/>
  <c r="CY205" i="7"/>
  <c r="CZ205" i="7"/>
  <c r="DA205" i="7"/>
  <c r="DB205" i="7"/>
  <c r="BW206" i="7"/>
  <c r="BX206" i="7"/>
  <c r="BY206" i="7"/>
  <c r="BZ206" i="7"/>
  <c r="CD206" i="7"/>
  <c r="CE206" i="7"/>
  <c r="CF206" i="7"/>
  <c r="CG206" i="7"/>
  <c r="CK206" i="7"/>
  <c r="CL206" i="7"/>
  <c r="CM206" i="7"/>
  <c r="CN206" i="7"/>
  <c r="CR206" i="7"/>
  <c r="CS206" i="7"/>
  <c r="CT206" i="7"/>
  <c r="CU206" i="7"/>
  <c r="CY206" i="7"/>
  <c r="CZ206" i="7"/>
  <c r="DA206" i="7"/>
  <c r="DB206" i="7"/>
  <c r="BW207" i="7"/>
  <c r="BX207" i="7"/>
  <c r="BY207" i="7"/>
  <c r="BZ207" i="7"/>
  <c r="CD207" i="7"/>
  <c r="CE207" i="7"/>
  <c r="CF207" i="7"/>
  <c r="CG207" i="7"/>
  <c r="CK207" i="7"/>
  <c r="CL207" i="7"/>
  <c r="CM207" i="7"/>
  <c r="CN207" i="7"/>
  <c r="CR207" i="7"/>
  <c r="CS207" i="7"/>
  <c r="CT207" i="7"/>
  <c r="CU207" i="7"/>
  <c r="CY207" i="7"/>
  <c r="CZ207" i="7"/>
  <c r="DA207" i="7"/>
  <c r="DB207" i="7"/>
  <c r="BW208" i="7"/>
  <c r="BX208" i="7"/>
  <c r="BY208" i="7"/>
  <c r="BZ208" i="7"/>
  <c r="CD208" i="7"/>
  <c r="CE208" i="7"/>
  <c r="CF208" i="7"/>
  <c r="CG208" i="7"/>
  <c r="CK208" i="7"/>
  <c r="CL208" i="7"/>
  <c r="CM208" i="7"/>
  <c r="CN208" i="7"/>
  <c r="CR208" i="7"/>
  <c r="CS208" i="7"/>
  <c r="CT208" i="7"/>
  <c r="CU208" i="7"/>
  <c r="CY208" i="7"/>
  <c r="CZ208" i="7"/>
  <c r="DA208" i="7"/>
  <c r="DB208" i="7"/>
  <c r="BW209" i="7"/>
  <c r="BX209" i="7"/>
  <c r="BY209" i="7"/>
  <c r="BZ209" i="7"/>
  <c r="CD209" i="7"/>
  <c r="CE209" i="7"/>
  <c r="CF209" i="7"/>
  <c r="CG209" i="7"/>
  <c r="CK209" i="7"/>
  <c r="CL209" i="7"/>
  <c r="CM209" i="7"/>
  <c r="CN209" i="7"/>
  <c r="CR209" i="7"/>
  <c r="CS209" i="7"/>
  <c r="CT209" i="7"/>
  <c r="CU209" i="7"/>
  <c r="CY209" i="7"/>
  <c r="CZ209" i="7"/>
  <c r="DA209" i="7"/>
  <c r="DB209" i="7"/>
  <c r="BW210" i="7"/>
  <c r="BX210" i="7"/>
  <c r="BY210" i="7"/>
  <c r="BZ210" i="7"/>
  <c r="CD210" i="7"/>
  <c r="CE210" i="7"/>
  <c r="CF210" i="7"/>
  <c r="CG210" i="7"/>
  <c r="CK210" i="7"/>
  <c r="CL210" i="7"/>
  <c r="CM210" i="7"/>
  <c r="CN210" i="7"/>
  <c r="CR210" i="7"/>
  <c r="CS210" i="7"/>
  <c r="CT210" i="7"/>
  <c r="CU210" i="7"/>
  <c r="CY210" i="7"/>
  <c r="CZ210" i="7"/>
  <c r="DA210" i="7"/>
  <c r="DB210" i="7"/>
  <c r="BW211" i="7"/>
  <c r="BX211" i="7"/>
  <c r="BY211" i="7"/>
  <c r="BZ211" i="7"/>
  <c r="CD211" i="7"/>
  <c r="CE211" i="7"/>
  <c r="CF211" i="7"/>
  <c r="CG211" i="7"/>
  <c r="CK211" i="7"/>
  <c r="CL211" i="7"/>
  <c r="CM211" i="7"/>
  <c r="CN211" i="7"/>
  <c r="CR211" i="7"/>
  <c r="CS211" i="7"/>
  <c r="CT211" i="7"/>
  <c r="CU211" i="7"/>
  <c r="CY211" i="7"/>
  <c r="CZ211" i="7"/>
  <c r="DA211" i="7"/>
  <c r="DB211" i="7"/>
  <c r="BW212" i="7"/>
  <c r="BX212" i="7"/>
  <c r="BY212" i="7"/>
  <c r="BZ212" i="7"/>
  <c r="CD212" i="7"/>
  <c r="CE212" i="7"/>
  <c r="CF212" i="7"/>
  <c r="CG212" i="7"/>
  <c r="CK212" i="7"/>
  <c r="CL212" i="7"/>
  <c r="CM212" i="7"/>
  <c r="CN212" i="7"/>
  <c r="CR212" i="7"/>
  <c r="CS212" i="7"/>
  <c r="CT212" i="7"/>
  <c r="CU212" i="7"/>
  <c r="CY212" i="7"/>
  <c r="CZ212" i="7"/>
  <c r="DA212" i="7"/>
  <c r="DB212" i="7"/>
  <c r="AH113" i="7"/>
  <c r="AI113" i="7"/>
  <c r="AJ113" i="7"/>
  <c r="AK113" i="7"/>
  <c r="AL113" i="7"/>
  <c r="AM113" i="7"/>
  <c r="AN113" i="7"/>
  <c r="AO113" i="7"/>
  <c r="AP113" i="7"/>
  <c r="AQ113" i="7"/>
  <c r="AR113" i="7"/>
  <c r="AS113" i="7"/>
  <c r="AT113" i="7"/>
  <c r="AU113" i="7"/>
  <c r="AV113" i="7"/>
  <c r="AW113" i="7"/>
  <c r="AX113" i="7"/>
  <c r="AY113" i="7"/>
  <c r="AZ113" i="7"/>
  <c r="BA113" i="7"/>
  <c r="BB113" i="7"/>
  <c r="BC113" i="7"/>
  <c r="BD113" i="7"/>
  <c r="BE113" i="7"/>
  <c r="BF113" i="7"/>
  <c r="BG113" i="7"/>
  <c r="BH113" i="7"/>
  <c r="BI113" i="7"/>
  <c r="BJ113" i="7"/>
  <c r="BK113" i="7"/>
  <c r="BL113" i="7"/>
  <c r="BM113" i="7"/>
  <c r="BN113" i="7"/>
  <c r="BO113" i="7"/>
  <c r="BP113" i="7"/>
  <c r="BQ113" i="7"/>
  <c r="BR113" i="7"/>
  <c r="BS113" i="7"/>
  <c r="BT113" i="7"/>
  <c r="BU113" i="7"/>
  <c r="AH114" i="7"/>
  <c r="AI114" i="7"/>
  <c r="AJ114" i="7"/>
  <c r="AK114" i="7"/>
  <c r="AL114" i="7"/>
  <c r="AM114" i="7"/>
  <c r="AN114" i="7"/>
  <c r="AO114" i="7"/>
  <c r="AP114" i="7"/>
  <c r="AQ114" i="7"/>
  <c r="AR114" i="7"/>
  <c r="AS114" i="7"/>
  <c r="AT114" i="7"/>
  <c r="AU114" i="7"/>
  <c r="AV114" i="7"/>
  <c r="AW114" i="7"/>
  <c r="AX114" i="7"/>
  <c r="AY114" i="7"/>
  <c r="AZ114" i="7"/>
  <c r="BA114" i="7"/>
  <c r="BB114" i="7"/>
  <c r="BC114" i="7"/>
  <c r="BD114" i="7"/>
  <c r="BE114" i="7"/>
  <c r="BF114" i="7"/>
  <c r="BG114" i="7"/>
  <c r="BH114" i="7"/>
  <c r="BI114" i="7"/>
  <c r="BJ114" i="7"/>
  <c r="BK114" i="7"/>
  <c r="BL114" i="7"/>
  <c r="BM114" i="7"/>
  <c r="BN114" i="7"/>
  <c r="BO114" i="7"/>
  <c r="BP114" i="7"/>
  <c r="BQ114" i="7"/>
  <c r="BR114" i="7"/>
  <c r="BS114" i="7"/>
  <c r="BT114" i="7"/>
  <c r="BU114" i="7"/>
  <c r="AH115" i="7"/>
  <c r="AI115" i="7"/>
  <c r="AJ115" i="7"/>
  <c r="AK115" i="7"/>
  <c r="AL115" i="7"/>
  <c r="AM115" i="7"/>
  <c r="AN115" i="7"/>
  <c r="AO115" i="7"/>
  <c r="AP115" i="7"/>
  <c r="AQ115" i="7"/>
  <c r="AR115" i="7"/>
  <c r="AS115" i="7"/>
  <c r="AT115" i="7"/>
  <c r="AU115" i="7"/>
  <c r="AV115" i="7"/>
  <c r="AW115" i="7"/>
  <c r="AX115" i="7"/>
  <c r="AY115" i="7"/>
  <c r="AZ115" i="7"/>
  <c r="BA115" i="7"/>
  <c r="BB115" i="7"/>
  <c r="BC115" i="7"/>
  <c r="BD115" i="7"/>
  <c r="BE115" i="7"/>
  <c r="BF115" i="7"/>
  <c r="BG115" i="7"/>
  <c r="BH115" i="7"/>
  <c r="BI115" i="7"/>
  <c r="BJ115" i="7"/>
  <c r="BK115" i="7"/>
  <c r="BL115" i="7"/>
  <c r="BM115" i="7"/>
  <c r="BN115" i="7"/>
  <c r="BO115" i="7"/>
  <c r="BP115" i="7"/>
  <c r="BQ115" i="7"/>
  <c r="BR115" i="7"/>
  <c r="BS115" i="7"/>
  <c r="BT115" i="7"/>
  <c r="BU115" i="7"/>
  <c r="AH116" i="7"/>
  <c r="AI116" i="7"/>
  <c r="AJ116" i="7"/>
  <c r="AK116" i="7"/>
  <c r="AL116" i="7"/>
  <c r="AM116" i="7"/>
  <c r="AN116" i="7"/>
  <c r="AO116" i="7"/>
  <c r="AP116" i="7"/>
  <c r="AQ116" i="7"/>
  <c r="AR116" i="7"/>
  <c r="AS116" i="7"/>
  <c r="AT116" i="7"/>
  <c r="AU116" i="7"/>
  <c r="AV116" i="7"/>
  <c r="AW116" i="7"/>
  <c r="AX116" i="7"/>
  <c r="AY116" i="7"/>
  <c r="AZ116" i="7"/>
  <c r="BA116" i="7"/>
  <c r="BB116" i="7"/>
  <c r="BC116" i="7"/>
  <c r="BD116" i="7"/>
  <c r="BE116" i="7"/>
  <c r="BF116" i="7"/>
  <c r="BG116" i="7"/>
  <c r="BH116" i="7"/>
  <c r="BI116" i="7"/>
  <c r="BJ116" i="7"/>
  <c r="BK116" i="7"/>
  <c r="BL116" i="7"/>
  <c r="BM116" i="7"/>
  <c r="BN116" i="7"/>
  <c r="BO116" i="7"/>
  <c r="BP116" i="7"/>
  <c r="BQ116" i="7"/>
  <c r="BR116" i="7"/>
  <c r="BS116" i="7"/>
  <c r="BT116" i="7"/>
  <c r="BU116" i="7"/>
  <c r="AH117" i="7"/>
  <c r="AI117" i="7"/>
  <c r="AJ117" i="7"/>
  <c r="AK117" i="7"/>
  <c r="AL117" i="7"/>
  <c r="AM117" i="7"/>
  <c r="AN117" i="7"/>
  <c r="AO117" i="7"/>
  <c r="AP117" i="7"/>
  <c r="AQ117" i="7"/>
  <c r="AR117" i="7"/>
  <c r="AS117" i="7"/>
  <c r="AT117" i="7"/>
  <c r="AU117" i="7"/>
  <c r="AV117" i="7"/>
  <c r="AW117" i="7"/>
  <c r="AX117" i="7"/>
  <c r="AY117" i="7"/>
  <c r="AZ117" i="7"/>
  <c r="BA117" i="7"/>
  <c r="BB117" i="7"/>
  <c r="BC117" i="7"/>
  <c r="BD117" i="7"/>
  <c r="BE117" i="7"/>
  <c r="BF117" i="7"/>
  <c r="BG117" i="7"/>
  <c r="BH117" i="7"/>
  <c r="BI117" i="7"/>
  <c r="BJ117" i="7"/>
  <c r="BK117" i="7"/>
  <c r="BL117" i="7"/>
  <c r="BM117" i="7"/>
  <c r="BN117" i="7"/>
  <c r="BO117" i="7"/>
  <c r="BP117" i="7"/>
  <c r="BQ117" i="7"/>
  <c r="BR117" i="7"/>
  <c r="BS117" i="7"/>
  <c r="BT117" i="7"/>
  <c r="BU117" i="7"/>
  <c r="AH118" i="7"/>
  <c r="AI118" i="7"/>
  <c r="AJ118" i="7"/>
  <c r="AK118" i="7"/>
  <c r="AL118" i="7"/>
  <c r="AM118" i="7"/>
  <c r="AN118" i="7"/>
  <c r="AO118" i="7"/>
  <c r="AP118" i="7"/>
  <c r="AQ118" i="7"/>
  <c r="AR118" i="7"/>
  <c r="AS118" i="7"/>
  <c r="AT118" i="7"/>
  <c r="AU118" i="7"/>
  <c r="AV118" i="7"/>
  <c r="AW118" i="7"/>
  <c r="AX118" i="7"/>
  <c r="AY118" i="7"/>
  <c r="AZ118" i="7"/>
  <c r="BA118" i="7"/>
  <c r="BB118" i="7"/>
  <c r="BC118" i="7"/>
  <c r="BD118" i="7"/>
  <c r="BE118" i="7"/>
  <c r="BF118" i="7"/>
  <c r="BG118" i="7"/>
  <c r="BH118" i="7"/>
  <c r="BI118" i="7"/>
  <c r="BJ118" i="7"/>
  <c r="BK118" i="7"/>
  <c r="BL118" i="7"/>
  <c r="BM118" i="7"/>
  <c r="BN118" i="7"/>
  <c r="BO118" i="7"/>
  <c r="BP118" i="7"/>
  <c r="BQ118" i="7"/>
  <c r="BR118" i="7"/>
  <c r="BS118" i="7"/>
  <c r="BT118" i="7"/>
  <c r="BU118" i="7"/>
  <c r="AH119" i="7"/>
  <c r="AI119" i="7"/>
  <c r="AJ119" i="7"/>
  <c r="AK119" i="7"/>
  <c r="AL119" i="7"/>
  <c r="AM119" i="7"/>
  <c r="AN119" i="7"/>
  <c r="AO119" i="7"/>
  <c r="AP119" i="7"/>
  <c r="AQ119" i="7"/>
  <c r="AR119" i="7"/>
  <c r="AS119" i="7"/>
  <c r="AT119" i="7"/>
  <c r="AU119" i="7"/>
  <c r="AV119" i="7"/>
  <c r="AW119" i="7"/>
  <c r="AX119" i="7"/>
  <c r="AY119" i="7"/>
  <c r="AZ119" i="7"/>
  <c r="BA119" i="7"/>
  <c r="BB119" i="7"/>
  <c r="BC119" i="7"/>
  <c r="BD119" i="7"/>
  <c r="BE119" i="7"/>
  <c r="BF119" i="7"/>
  <c r="BG119" i="7"/>
  <c r="BH119" i="7"/>
  <c r="BI119" i="7"/>
  <c r="BJ119" i="7"/>
  <c r="BK119" i="7"/>
  <c r="BL119" i="7"/>
  <c r="BM119" i="7"/>
  <c r="BN119" i="7"/>
  <c r="BO119" i="7"/>
  <c r="BP119" i="7"/>
  <c r="BQ119" i="7"/>
  <c r="BR119" i="7"/>
  <c r="BS119" i="7"/>
  <c r="BT119" i="7"/>
  <c r="BU119" i="7"/>
  <c r="AH120" i="7"/>
  <c r="AI120" i="7"/>
  <c r="AJ120" i="7"/>
  <c r="AK120" i="7"/>
  <c r="AL120" i="7"/>
  <c r="AM120" i="7"/>
  <c r="AN120" i="7"/>
  <c r="AO120" i="7"/>
  <c r="AP120" i="7"/>
  <c r="AQ120" i="7"/>
  <c r="AR120" i="7"/>
  <c r="AS120" i="7"/>
  <c r="AT120" i="7"/>
  <c r="AU120" i="7"/>
  <c r="AV120" i="7"/>
  <c r="AW120" i="7"/>
  <c r="AX120" i="7"/>
  <c r="AY120" i="7"/>
  <c r="AZ120" i="7"/>
  <c r="BA120" i="7"/>
  <c r="BB120" i="7"/>
  <c r="BC120" i="7"/>
  <c r="BD120" i="7"/>
  <c r="BE120" i="7"/>
  <c r="BF120" i="7"/>
  <c r="BG120" i="7"/>
  <c r="BH120" i="7"/>
  <c r="BI120" i="7"/>
  <c r="BJ120" i="7"/>
  <c r="BK120" i="7"/>
  <c r="BL120" i="7"/>
  <c r="BM120" i="7"/>
  <c r="BN120" i="7"/>
  <c r="BO120" i="7"/>
  <c r="BP120" i="7"/>
  <c r="BQ120" i="7"/>
  <c r="BR120" i="7"/>
  <c r="BS120" i="7"/>
  <c r="BT120" i="7"/>
  <c r="BU120" i="7"/>
  <c r="AH121" i="7"/>
  <c r="AI121" i="7"/>
  <c r="AJ121" i="7"/>
  <c r="AK121" i="7"/>
  <c r="AL121" i="7"/>
  <c r="AM121" i="7"/>
  <c r="AN121" i="7"/>
  <c r="AO121" i="7"/>
  <c r="AP121" i="7"/>
  <c r="AQ121" i="7"/>
  <c r="AR121" i="7"/>
  <c r="AS121" i="7"/>
  <c r="AT121" i="7"/>
  <c r="AU121" i="7"/>
  <c r="AV121" i="7"/>
  <c r="AW121" i="7"/>
  <c r="AX121" i="7"/>
  <c r="AY121" i="7"/>
  <c r="AZ121" i="7"/>
  <c r="BA121" i="7"/>
  <c r="BB121" i="7"/>
  <c r="BC121" i="7"/>
  <c r="BD121" i="7"/>
  <c r="BE121" i="7"/>
  <c r="BF121" i="7"/>
  <c r="BG121" i="7"/>
  <c r="BH121" i="7"/>
  <c r="BI121" i="7"/>
  <c r="BJ121" i="7"/>
  <c r="BK121" i="7"/>
  <c r="BL121" i="7"/>
  <c r="BM121" i="7"/>
  <c r="BN121" i="7"/>
  <c r="BO121" i="7"/>
  <c r="BP121" i="7"/>
  <c r="BQ121" i="7"/>
  <c r="BR121" i="7"/>
  <c r="BS121" i="7"/>
  <c r="BT121" i="7"/>
  <c r="BU121" i="7"/>
  <c r="AH122" i="7"/>
  <c r="AI122" i="7"/>
  <c r="AJ122" i="7"/>
  <c r="AK122" i="7"/>
  <c r="AL122" i="7"/>
  <c r="AM122" i="7"/>
  <c r="AN122" i="7"/>
  <c r="AO122" i="7"/>
  <c r="AP122" i="7"/>
  <c r="AQ122" i="7"/>
  <c r="AR122" i="7"/>
  <c r="AS122" i="7"/>
  <c r="AT122" i="7"/>
  <c r="AU122" i="7"/>
  <c r="AV122" i="7"/>
  <c r="AW122" i="7"/>
  <c r="AX122" i="7"/>
  <c r="AY122" i="7"/>
  <c r="AZ122" i="7"/>
  <c r="BA122" i="7"/>
  <c r="BB122" i="7"/>
  <c r="BC122" i="7"/>
  <c r="BD122" i="7"/>
  <c r="BE122" i="7"/>
  <c r="BF122" i="7"/>
  <c r="BG122" i="7"/>
  <c r="BH122" i="7"/>
  <c r="BI122" i="7"/>
  <c r="BJ122" i="7"/>
  <c r="BK122" i="7"/>
  <c r="BL122" i="7"/>
  <c r="BM122" i="7"/>
  <c r="BN122" i="7"/>
  <c r="BO122" i="7"/>
  <c r="BP122" i="7"/>
  <c r="BQ122" i="7"/>
  <c r="BR122" i="7"/>
  <c r="BS122" i="7"/>
  <c r="BT122" i="7"/>
  <c r="BU122" i="7"/>
  <c r="AH123" i="7"/>
  <c r="AI123" i="7"/>
  <c r="AJ123" i="7"/>
  <c r="AK123" i="7"/>
  <c r="AL123" i="7"/>
  <c r="AM123" i="7"/>
  <c r="AN123" i="7"/>
  <c r="AO123" i="7"/>
  <c r="AP123" i="7"/>
  <c r="AQ123" i="7"/>
  <c r="AR123" i="7"/>
  <c r="AS123" i="7"/>
  <c r="AT123" i="7"/>
  <c r="AU123" i="7"/>
  <c r="AV123" i="7"/>
  <c r="AW123" i="7"/>
  <c r="AX123" i="7"/>
  <c r="AY123" i="7"/>
  <c r="AZ123" i="7"/>
  <c r="BA123" i="7"/>
  <c r="BB123" i="7"/>
  <c r="BC123" i="7"/>
  <c r="BD123" i="7"/>
  <c r="BE123" i="7"/>
  <c r="BF123" i="7"/>
  <c r="BG123" i="7"/>
  <c r="BH123" i="7"/>
  <c r="BI123" i="7"/>
  <c r="BJ123" i="7"/>
  <c r="BK123" i="7"/>
  <c r="BL123" i="7"/>
  <c r="BM123" i="7"/>
  <c r="BN123" i="7"/>
  <c r="BO123" i="7"/>
  <c r="BP123" i="7"/>
  <c r="BQ123" i="7"/>
  <c r="BR123" i="7"/>
  <c r="BS123" i="7"/>
  <c r="BT123" i="7"/>
  <c r="BU123" i="7"/>
  <c r="AH124" i="7"/>
  <c r="AI124" i="7"/>
  <c r="AJ124" i="7"/>
  <c r="AK124" i="7"/>
  <c r="AL124" i="7"/>
  <c r="AM124" i="7"/>
  <c r="AN124" i="7"/>
  <c r="AO124" i="7"/>
  <c r="AP124" i="7"/>
  <c r="AQ124" i="7"/>
  <c r="AR124" i="7"/>
  <c r="AS124" i="7"/>
  <c r="AT124" i="7"/>
  <c r="AU124" i="7"/>
  <c r="AV124" i="7"/>
  <c r="AW124" i="7"/>
  <c r="AX124" i="7"/>
  <c r="AY124" i="7"/>
  <c r="AZ124" i="7"/>
  <c r="BA124" i="7"/>
  <c r="BB124" i="7"/>
  <c r="BC124" i="7"/>
  <c r="BD124" i="7"/>
  <c r="BE124" i="7"/>
  <c r="BF124" i="7"/>
  <c r="BG124" i="7"/>
  <c r="BH124" i="7"/>
  <c r="BI124" i="7"/>
  <c r="BJ124" i="7"/>
  <c r="BK124" i="7"/>
  <c r="BL124" i="7"/>
  <c r="BM124" i="7"/>
  <c r="BN124" i="7"/>
  <c r="BO124" i="7"/>
  <c r="BP124" i="7"/>
  <c r="BQ124" i="7"/>
  <c r="BR124" i="7"/>
  <c r="BS124" i="7"/>
  <c r="BT124" i="7"/>
  <c r="BU124" i="7"/>
  <c r="AH125" i="7"/>
  <c r="AI125" i="7"/>
  <c r="AJ125" i="7"/>
  <c r="AK125" i="7"/>
  <c r="AL125" i="7"/>
  <c r="AM125" i="7"/>
  <c r="AN125" i="7"/>
  <c r="AO125" i="7"/>
  <c r="AP125" i="7"/>
  <c r="AQ125" i="7"/>
  <c r="AR125" i="7"/>
  <c r="AS125" i="7"/>
  <c r="AT125" i="7"/>
  <c r="AU125" i="7"/>
  <c r="AV125" i="7"/>
  <c r="AW125" i="7"/>
  <c r="AX125" i="7"/>
  <c r="AY125" i="7"/>
  <c r="AZ125" i="7"/>
  <c r="BA125" i="7"/>
  <c r="BB125" i="7"/>
  <c r="BC125" i="7"/>
  <c r="BD125" i="7"/>
  <c r="BE125" i="7"/>
  <c r="BF125" i="7"/>
  <c r="BG125" i="7"/>
  <c r="BH125" i="7"/>
  <c r="BI125" i="7"/>
  <c r="BJ125" i="7"/>
  <c r="BK125" i="7"/>
  <c r="BL125" i="7"/>
  <c r="BM125" i="7"/>
  <c r="BN125" i="7"/>
  <c r="BO125" i="7"/>
  <c r="BP125" i="7"/>
  <c r="BQ125" i="7"/>
  <c r="BR125" i="7"/>
  <c r="BS125" i="7"/>
  <c r="BT125" i="7"/>
  <c r="BU125" i="7"/>
  <c r="AH126" i="7"/>
  <c r="AI126" i="7"/>
  <c r="AJ126" i="7"/>
  <c r="AK126" i="7"/>
  <c r="AL126" i="7"/>
  <c r="AM126" i="7"/>
  <c r="AN126" i="7"/>
  <c r="AO126" i="7"/>
  <c r="AP126" i="7"/>
  <c r="AQ126" i="7"/>
  <c r="AR126" i="7"/>
  <c r="AS126" i="7"/>
  <c r="AT126" i="7"/>
  <c r="AU126" i="7"/>
  <c r="AV126" i="7"/>
  <c r="AW126" i="7"/>
  <c r="AX126" i="7"/>
  <c r="AY126" i="7"/>
  <c r="AZ126" i="7"/>
  <c r="BA126" i="7"/>
  <c r="BB126" i="7"/>
  <c r="BC126" i="7"/>
  <c r="BD126" i="7"/>
  <c r="BE126" i="7"/>
  <c r="BF126" i="7"/>
  <c r="BG126" i="7"/>
  <c r="BH126" i="7"/>
  <c r="BI126" i="7"/>
  <c r="BJ126" i="7"/>
  <c r="BK126" i="7"/>
  <c r="BL126" i="7"/>
  <c r="BM126" i="7"/>
  <c r="BN126" i="7"/>
  <c r="BO126" i="7"/>
  <c r="BP126" i="7"/>
  <c r="BQ126" i="7"/>
  <c r="BR126" i="7"/>
  <c r="BS126" i="7"/>
  <c r="BT126" i="7"/>
  <c r="BU126" i="7"/>
  <c r="AH127" i="7"/>
  <c r="AI127" i="7"/>
  <c r="AJ127" i="7"/>
  <c r="AK127" i="7"/>
  <c r="AL127" i="7"/>
  <c r="AM127" i="7"/>
  <c r="AN127" i="7"/>
  <c r="AO127" i="7"/>
  <c r="AP127" i="7"/>
  <c r="AQ127" i="7"/>
  <c r="AR127" i="7"/>
  <c r="AS127" i="7"/>
  <c r="AT127" i="7"/>
  <c r="AU127" i="7"/>
  <c r="AV127" i="7"/>
  <c r="AW127" i="7"/>
  <c r="AX127" i="7"/>
  <c r="AY127" i="7"/>
  <c r="AZ127" i="7"/>
  <c r="BA127" i="7"/>
  <c r="BB127" i="7"/>
  <c r="BC127" i="7"/>
  <c r="BD127" i="7"/>
  <c r="BE127" i="7"/>
  <c r="BF127" i="7"/>
  <c r="BG127" i="7"/>
  <c r="BH127" i="7"/>
  <c r="BI127" i="7"/>
  <c r="BJ127" i="7"/>
  <c r="BK127" i="7"/>
  <c r="BL127" i="7"/>
  <c r="BM127" i="7"/>
  <c r="BN127" i="7"/>
  <c r="BO127" i="7"/>
  <c r="BP127" i="7"/>
  <c r="BQ127" i="7"/>
  <c r="BR127" i="7"/>
  <c r="BS127" i="7"/>
  <c r="BT127" i="7"/>
  <c r="BU127" i="7"/>
  <c r="AH128" i="7"/>
  <c r="AI128" i="7"/>
  <c r="AJ128" i="7"/>
  <c r="AK128" i="7"/>
  <c r="AL128" i="7"/>
  <c r="AM128" i="7"/>
  <c r="AN128" i="7"/>
  <c r="AO128" i="7"/>
  <c r="AP128" i="7"/>
  <c r="AQ128" i="7"/>
  <c r="AR128" i="7"/>
  <c r="AS128" i="7"/>
  <c r="AT128" i="7"/>
  <c r="AU128" i="7"/>
  <c r="AV128" i="7"/>
  <c r="AW128" i="7"/>
  <c r="AX128" i="7"/>
  <c r="AY128" i="7"/>
  <c r="AZ128" i="7"/>
  <c r="BA128" i="7"/>
  <c r="BB128" i="7"/>
  <c r="BC128" i="7"/>
  <c r="BD128" i="7"/>
  <c r="BE128" i="7"/>
  <c r="BF128" i="7"/>
  <c r="BG128" i="7"/>
  <c r="BH128" i="7"/>
  <c r="BI128" i="7"/>
  <c r="BJ128" i="7"/>
  <c r="BK128" i="7"/>
  <c r="BL128" i="7"/>
  <c r="BM128" i="7"/>
  <c r="BN128" i="7"/>
  <c r="BO128" i="7"/>
  <c r="BP128" i="7"/>
  <c r="BQ128" i="7"/>
  <c r="BR128" i="7"/>
  <c r="BS128" i="7"/>
  <c r="BT128" i="7"/>
  <c r="BU128" i="7"/>
  <c r="AH129" i="7"/>
  <c r="AI129" i="7"/>
  <c r="AJ129" i="7"/>
  <c r="AK129" i="7"/>
  <c r="AL129" i="7"/>
  <c r="AM129" i="7"/>
  <c r="AN129" i="7"/>
  <c r="AO129" i="7"/>
  <c r="AP129" i="7"/>
  <c r="AQ129" i="7"/>
  <c r="AR129" i="7"/>
  <c r="AS129" i="7"/>
  <c r="AT129" i="7"/>
  <c r="AU129" i="7"/>
  <c r="AV129" i="7"/>
  <c r="AW129" i="7"/>
  <c r="AX129" i="7"/>
  <c r="AY129" i="7"/>
  <c r="AZ129" i="7"/>
  <c r="BA129" i="7"/>
  <c r="BB129" i="7"/>
  <c r="BC129" i="7"/>
  <c r="BD129" i="7"/>
  <c r="BE129" i="7"/>
  <c r="BF129" i="7"/>
  <c r="BG129" i="7"/>
  <c r="BH129" i="7"/>
  <c r="BI129" i="7"/>
  <c r="BJ129" i="7"/>
  <c r="BK129" i="7"/>
  <c r="BL129" i="7"/>
  <c r="BM129" i="7"/>
  <c r="BN129" i="7"/>
  <c r="BO129" i="7"/>
  <c r="BP129" i="7"/>
  <c r="BQ129" i="7"/>
  <c r="BR129" i="7"/>
  <c r="BS129" i="7"/>
  <c r="BT129" i="7"/>
  <c r="BU129" i="7"/>
  <c r="AH130" i="7"/>
  <c r="AI130" i="7"/>
  <c r="AJ130" i="7"/>
  <c r="AK130" i="7"/>
  <c r="AL130" i="7"/>
  <c r="AM130" i="7"/>
  <c r="AN130" i="7"/>
  <c r="AO130" i="7"/>
  <c r="AP130" i="7"/>
  <c r="AQ130" i="7"/>
  <c r="AR130" i="7"/>
  <c r="AS130" i="7"/>
  <c r="AT130" i="7"/>
  <c r="AU130" i="7"/>
  <c r="AV130" i="7"/>
  <c r="AW130" i="7"/>
  <c r="AX130" i="7"/>
  <c r="AY130" i="7"/>
  <c r="AZ130" i="7"/>
  <c r="BA130" i="7"/>
  <c r="BB130" i="7"/>
  <c r="BC130" i="7"/>
  <c r="BD130" i="7"/>
  <c r="BE130" i="7"/>
  <c r="BF130" i="7"/>
  <c r="BG130" i="7"/>
  <c r="BH130" i="7"/>
  <c r="BI130" i="7"/>
  <c r="BJ130" i="7"/>
  <c r="BK130" i="7"/>
  <c r="BL130" i="7"/>
  <c r="BM130" i="7"/>
  <c r="BN130" i="7"/>
  <c r="BO130" i="7"/>
  <c r="BP130" i="7"/>
  <c r="BQ130" i="7"/>
  <c r="BR130" i="7"/>
  <c r="BS130" i="7"/>
  <c r="BT130" i="7"/>
  <c r="BU130" i="7"/>
  <c r="AH131" i="7"/>
  <c r="AI131" i="7"/>
  <c r="AJ131" i="7"/>
  <c r="AK131" i="7"/>
  <c r="AL131" i="7"/>
  <c r="AM131" i="7"/>
  <c r="AN131" i="7"/>
  <c r="AO131" i="7"/>
  <c r="AP131" i="7"/>
  <c r="AQ131" i="7"/>
  <c r="AR131" i="7"/>
  <c r="AS131" i="7"/>
  <c r="AT131" i="7"/>
  <c r="AU131" i="7"/>
  <c r="AV131" i="7"/>
  <c r="AW131" i="7"/>
  <c r="AX131" i="7"/>
  <c r="AY131" i="7"/>
  <c r="AZ131" i="7"/>
  <c r="BA131" i="7"/>
  <c r="BB131" i="7"/>
  <c r="BC131" i="7"/>
  <c r="BD131" i="7"/>
  <c r="BE131" i="7"/>
  <c r="BF131" i="7"/>
  <c r="BG131" i="7"/>
  <c r="BH131" i="7"/>
  <c r="BI131" i="7"/>
  <c r="BJ131" i="7"/>
  <c r="BK131" i="7"/>
  <c r="BL131" i="7"/>
  <c r="BM131" i="7"/>
  <c r="BN131" i="7"/>
  <c r="BO131" i="7"/>
  <c r="BP131" i="7"/>
  <c r="BQ131" i="7"/>
  <c r="BR131" i="7"/>
  <c r="BS131" i="7"/>
  <c r="BT131" i="7"/>
  <c r="BU131" i="7"/>
  <c r="AH132" i="7"/>
  <c r="AI132" i="7"/>
  <c r="AJ132" i="7"/>
  <c r="AK132" i="7"/>
  <c r="AL132" i="7"/>
  <c r="AM132" i="7"/>
  <c r="AN132" i="7"/>
  <c r="AO132" i="7"/>
  <c r="AP132" i="7"/>
  <c r="AQ132" i="7"/>
  <c r="AR132" i="7"/>
  <c r="AS132" i="7"/>
  <c r="AT132" i="7"/>
  <c r="AU132" i="7"/>
  <c r="AV132" i="7"/>
  <c r="AW132" i="7"/>
  <c r="AX132" i="7"/>
  <c r="AY132" i="7"/>
  <c r="AZ132" i="7"/>
  <c r="BA132" i="7"/>
  <c r="BB132" i="7"/>
  <c r="BC132" i="7"/>
  <c r="BD132" i="7"/>
  <c r="BE132" i="7"/>
  <c r="BF132" i="7"/>
  <c r="BG132" i="7"/>
  <c r="BH132" i="7"/>
  <c r="BI132" i="7"/>
  <c r="BJ132" i="7"/>
  <c r="BK132" i="7"/>
  <c r="BL132" i="7"/>
  <c r="BM132" i="7"/>
  <c r="BN132" i="7"/>
  <c r="BO132" i="7"/>
  <c r="BP132" i="7"/>
  <c r="BQ132" i="7"/>
  <c r="BR132" i="7"/>
  <c r="BS132" i="7"/>
  <c r="BT132" i="7"/>
  <c r="BU132" i="7"/>
  <c r="AH133" i="7"/>
  <c r="AI133" i="7"/>
  <c r="AJ133" i="7"/>
  <c r="AK133" i="7"/>
  <c r="AL133" i="7"/>
  <c r="AM133" i="7"/>
  <c r="AN133" i="7"/>
  <c r="AO133" i="7"/>
  <c r="AP133" i="7"/>
  <c r="AQ133" i="7"/>
  <c r="AR133" i="7"/>
  <c r="AS133" i="7"/>
  <c r="AT133" i="7"/>
  <c r="AU133" i="7"/>
  <c r="AV133" i="7"/>
  <c r="AW133" i="7"/>
  <c r="AX133" i="7"/>
  <c r="AY133" i="7"/>
  <c r="AZ133" i="7"/>
  <c r="BA133" i="7"/>
  <c r="BB133" i="7"/>
  <c r="BC133" i="7"/>
  <c r="BD133" i="7"/>
  <c r="BE133" i="7"/>
  <c r="BF133" i="7"/>
  <c r="BG133" i="7"/>
  <c r="BH133" i="7"/>
  <c r="BI133" i="7"/>
  <c r="BJ133" i="7"/>
  <c r="BK133" i="7"/>
  <c r="BL133" i="7"/>
  <c r="BM133" i="7"/>
  <c r="BN133" i="7"/>
  <c r="BO133" i="7"/>
  <c r="BP133" i="7"/>
  <c r="BQ133" i="7"/>
  <c r="BR133" i="7"/>
  <c r="BS133" i="7"/>
  <c r="BT133" i="7"/>
  <c r="BU133" i="7"/>
  <c r="AH134" i="7"/>
  <c r="AI134" i="7"/>
  <c r="AJ134" i="7"/>
  <c r="AK134" i="7"/>
  <c r="AL134" i="7"/>
  <c r="AM134" i="7"/>
  <c r="AN134" i="7"/>
  <c r="AO134" i="7"/>
  <c r="AP134" i="7"/>
  <c r="AQ134" i="7"/>
  <c r="AR134" i="7"/>
  <c r="AS134" i="7"/>
  <c r="AT134" i="7"/>
  <c r="AU134" i="7"/>
  <c r="AV134" i="7"/>
  <c r="AW134" i="7"/>
  <c r="AX134" i="7"/>
  <c r="AY134" i="7"/>
  <c r="AZ134" i="7"/>
  <c r="BA134" i="7"/>
  <c r="BB134" i="7"/>
  <c r="BC134" i="7"/>
  <c r="BD134" i="7"/>
  <c r="BE134" i="7"/>
  <c r="BF134" i="7"/>
  <c r="BG134" i="7"/>
  <c r="BH134" i="7"/>
  <c r="BI134" i="7"/>
  <c r="BJ134" i="7"/>
  <c r="BK134" i="7"/>
  <c r="BL134" i="7"/>
  <c r="BM134" i="7"/>
  <c r="BN134" i="7"/>
  <c r="BO134" i="7"/>
  <c r="BP134" i="7"/>
  <c r="BQ134" i="7"/>
  <c r="BR134" i="7"/>
  <c r="BS134" i="7"/>
  <c r="BT134" i="7"/>
  <c r="BU134" i="7"/>
  <c r="AH135" i="7"/>
  <c r="AI135" i="7"/>
  <c r="AJ135" i="7"/>
  <c r="AK135" i="7"/>
  <c r="AL135" i="7"/>
  <c r="AM135" i="7"/>
  <c r="AN135" i="7"/>
  <c r="AO135" i="7"/>
  <c r="AP135" i="7"/>
  <c r="AQ135" i="7"/>
  <c r="AR135" i="7"/>
  <c r="AS135" i="7"/>
  <c r="AT135" i="7"/>
  <c r="AU135" i="7"/>
  <c r="AV135" i="7"/>
  <c r="AW135" i="7"/>
  <c r="AX135" i="7"/>
  <c r="AY135" i="7"/>
  <c r="AZ135" i="7"/>
  <c r="BA135" i="7"/>
  <c r="BB135" i="7"/>
  <c r="BC135" i="7"/>
  <c r="BD135" i="7"/>
  <c r="BE135" i="7"/>
  <c r="BF135" i="7"/>
  <c r="BG135" i="7"/>
  <c r="BH135" i="7"/>
  <c r="BI135" i="7"/>
  <c r="BJ135" i="7"/>
  <c r="BK135" i="7"/>
  <c r="BL135" i="7"/>
  <c r="BM135" i="7"/>
  <c r="BN135" i="7"/>
  <c r="BO135" i="7"/>
  <c r="BP135" i="7"/>
  <c r="BQ135" i="7"/>
  <c r="BR135" i="7"/>
  <c r="BS135" i="7"/>
  <c r="BT135" i="7"/>
  <c r="BU135" i="7"/>
  <c r="AH136" i="7"/>
  <c r="AI136" i="7"/>
  <c r="AJ136" i="7"/>
  <c r="AK136" i="7"/>
  <c r="AL136" i="7"/>
  <c r="AM136" i="7"/>
  <c r="AN136" i="7"/>
  <c r="AO136" i="7"/>
  <c r="AP136" i="7"/>
  <c r="AQ136" i="7"/>
  <c r="AR136" i="7"/>
  <c r="AS136" i="7"/>
  <c r="AT136" i="7"/>
  <c r="AU136" i="7"/>
  <c r="AV136" i="7"/>
  <c r="AW136" i="7"/>
  <c r="AX136" i="7"/>
  <c r="AY136" i="7"/>
  <c r="AZ136" i="7"/>
  <c r="BA136" i="7"/>
  <c r="BB136" i="7"/>
  <c r="BC136" i="7"/>
  <c r="BD136" i="7"/>
  <c r="BE136" i="7"/>
  <c r="BF136" i="7"/>
  <c r="BG136" i="7"/>
  <c r="BH136" i="7"/>
  <c r="BI136" i="7"/>
  <c r="BJ136" i="7"/>
  <c r="BK136" i="7"/>
  <c r="BL136" i="7"/>
  <c r="BM136" i="7"/>
  <c r="BN136" i="7"/>
  <c r="BO136" i="7"/>
  <c r="BP136" i="7"/>
  <c r="BQ136" i="7"/>
  <c r="BR136" i="7"/>
  <c r="BS136" i="7"/>
  <c r="BT136" i="7"/>
  <c r="BU136" i="7"/>
  <c r="AH137" i="7"/>
  <c r="AI137" i="7"/>
  <c r="AJ137" i="7"/>
  <c r="AK137" i="7"/>
  <c r="AL137" i="7"/>
  <c r="AM137" i="7"/>
  <c r="AN137" i="7"/>
  <c r="AO137" i="7"/>
  <c r="AP137" i="7"/>
  <c r="AQ137" i="7"/>
  <c r="AR137" i="7"/>
  <c r="AS137" i="7"/>
  <c r="AT137" i="7"/>
  <c r="AU137" i="7"/>
  <c r="AV137" i="7"/>
  <c r="AW137" i="7"/>
  <c r="AX137" i="7"/>
  <c r="AY137" i="7"/>
  <c r="AZ137" i="7"/>
  <c r="BA137" i="7"/>
  <c r="BB137" i="7"/>
  <c r="BC137" i="7"/>
  <c r="BD137" i="7"/>
  <c r="BE137" i="7"/>
  <c r="BF137" i="7"/>
  <c r="BG137" i="7"/>
  <c r="BH137" i="7"/>
  <c r="BI137" i="7"/>
  <c r="BJ137" i="7"/>
  <c r="BK137" i="7"/>
  <c r="BL137" i="7"/>
  <c r="BM137" i="7"/>
  <c r="BN137" i="7"/>
  <c r="BO137" i="7"/>
  <c r="BP137" i="7"/>
  <c r="BQ137" i="7"/>
  <c r="BR137" i="7"/>
  <c r="BS137" i="7"/>
  <c r="BT137" i="7"/>
  <c r="BU137" i="7"/>
  <c r="AH138" i="7"/>
  <c r="AI138" i="7"/>
  <c r="AJ138" i="7"/>
  <c r="AK138" i="7"/>
  <c r="AL138" i="7"/>
  <c r="AM138" i="7"/>
  <c r="AN138" i="7"/>
  <c r="AO138" i="7"/>
  <c r="AP138" i="7"/>
  <c r="AQ138" i="7"/>
  <c r="AR138" i="7"/>
  <c r="AS138" i="7"/>
  <c r="AT138" i="7"/>
  <c r="AU138" i="7"/>
  <c r="AV138" i="7"/>
  <c r="AW138" i="7"/>
  <c r="AX138" i="7"/>
  <c r="AY138" i="7"/>
  <c r="AZ138" i="7"/>
  <c r="BA138" i="7"/>
  <c r="BB138" i="7"/>
  <c r="BC138" i="7"/>
  <c r="BD138" i="7"/>
  <c r="BE138" i="7"/>
  <c r="BF138" i="7"/>
  <c r="BG138" i="7"/>
  <c r="BH138" i="7"/>
  <c r="BI138" i="7"/>
  <c r="BJ138" i="7"/>
  <c r="BK138" i="7"/>
  <c r="BL138" i="7"/>
  <c r="BM138" i="7"/>
  <c r="BN138" i="7"/>
  <c r="BO138" i="7"/>
  <c r="BP138" i="7"/>
  <c r="BQ138" i="7"/>
  <c r="BR138" i="7"/>
  <c r="BS138" i="7"/>
  <c r="BT138" i="7"/>
  <c r="BU138" i="7"/>
  <c r="AH139" i="7"/>
  <c r="AI139" i="7"/>
  <c r="AJ139" i="7"/>
  <c r="AK139" i="7"/>
  <c r="AL139" i="7"/>
  <c r="AM139" i="7"/>
  <c r="AN139" i="7"/>
  <c r="AO139" i="7"/>
  <c r="AP139" i="7"/>
  <c r="AQ139" i="7"/>
  <c r="AR139" i="7"/>
  <c r="AS139" i="7"/>
  <c r="AT139" i="7"/>
  <c r="AU139" i="7"/>
  <c r="AV139" i="7"/>
  <c r="AW139" i="7"/>
  <c r="AX139" i="7"/>
  <c r="AY139" i="7"/>
  <c r="AZ139" i="7"/>
  <c r="BA139" i="7"/>
  <c r="BB139" i="7"/>
  <c r="BC139" i="7"/>
  <c r="BD139" i="7"/>
  <c r="BE139" i="7"/>
  <c r="BF139" i="7"/>
  <c r="BG139" i="7"/>
  <c r="BH139" i="7"/>
  <c r="BI139" i="7"/>
  <c r="BJ139" i="7"/>
  <c r="BK139" i="7"/>
  <c r="BL139" i="7"/>
  <c r="BM139" i="7"/>
  <c r="BN139" i="7"/>
  <c r="BO139" i="7"/>
  <c r="BP139" i="7"/>
  <c r="BQ139" i="7"/>
  <c r="BR139" i="7"/>
  <c r="BS139" i="7"/>
  <c r="BT139" i="7"/>
  <c r="BU139" i="7"/>
  <c r="AH140" i="7"/>
  <c r="AI140" i="7"/>
  <c r="AJ140" i="7"/>
  <c r="AK140" i="7"/>
  <c r="AL140" i="7"/>
  <c r="AM140" i="7"/>
  <c r="AN140" i="7"/>
  <c r="AO140" i="7"/>
  <c r="AP140" i="7"/>
  <c r="AQ140" i="7"/>
  <c r="AR140" i="7"/>
  <c r="AS140" i="7"/>
  <c r="AT140" i="7"/>
  <c r="AU140" i="7"/>
  <c r="AV140" i="7"/>
  <c r="AW140" i="7"/>
  <c r="AX140" i="7"/>
  <c r="AY140" i="7"/>
  <c r="AZ140" i="7"/>
  <c r="BA140" i="7"/>
  <c r="BB140" i="7"/>
  <c r="BC140" i="7"/>
  <c r="BD140" i="7"/>
  <c r="BE140" i="7"/>
  <c r="BF140" i="7"/>
  <c r="BG140" i="7"/>
  <c r="BH140" i="7"/>
  <c r="BI140" i="7"/>
  <c r="BJ140" i="7"/>
  <c r="BK140" i="7"/>
  <c r="BL140" i="7"/>
  <c r="BM140" i="7"/>
  <c r="BN140" i="7"/>
  <c r="BO140" i="7"/>
  <c r="BP140" i="7"/>
  <c r="BQ140" i="7"/>
  <c r="BR140" i="7"/>
  <c r="BS140" i="7"/>
  <c r="BT140" i="7"/>
  <c r="BU140" i="7"/>
  <c r="AH141" i="7"/>
  <c r="AI141" i="7"/>
  <c r="AJ141" i="7"/>
  <c r="AK141" i="7"/>
  <c r="AL141" i="7"/>
  <c r="AM141" i="7"/>
  <c r="AN141" i="7"/>
  <c r="AO141" i="7"/>
  <c r="AP141" i="7"/>
  <c r="AQ141" i="7"/>
  <c r="AR141" i="7"/>
  <c r="AS141" i="7"/>
  <c r="AT141" i="7"/>
  <c r="AU141" i="7"/>
  <c r="AV141" i="7"/>
  <c r="AW141" i="7"/>
  <c r="AX141" i="7"/>
  <c r="AY141" i="7"/>
  <c r="AZ141" i="7"/>
  <c r="BA141" i="7"/>
  <c r="BB141" i="7"/>
  <c r="BC141" i="7"/>
  <c r="BD141" i="7"/>
  <c r="BE141" i="7"/>
  <c r="BF141" i="7"/>
  <c r="BG141" i="7"/>
  <c r="BH141" i="7"/>
  <c r="BI141" i="7"/>
  <c r="BJ141" i="7"/>
  <c r="BK141" i="7"/>
  <c r="BL141" i="7"/>
  <c r="BM141" i="7"/>
  <c r="BN141" i="7"/>
  <c r="BO141" i="7"/>
  <c r="BP141" i="7"/>
  <c r="BQ141" i="7"/>
  <c r="BR141" i="7"/>
  <c r="BS141" i="7"/>
  <c r="BT141" i="7"/>
  <c r="BU141" i="7"/>
  <c r="AH142" i="7"/>
  <c r="AI142" i="7"/>
  <c r="AJ142" i="7"/>
  <c r="AK142" i="7"/>
  <c r="AL142" i="7"/>
  <c r="AM142" i="7"/>
  <c r="AN142" i="7"/>
  <c r="AO142" i="7"/>
  <c r="AP142" i="7"/>
  <c r="AQ142" i="7"/>
  <c r="AR142" i="7"/>
  <c r="AS142" i="7"/>
  <c r="AT142" i="7"/>
  <c r="AU142" i="7"/>
  <c r="AV142" i="7"/>
  <c r="AW142" i="7"/>
  <c r="AX142" i="7"/>
  <c r="AY142" i="7"/>
  <c r="AZ142" i="7"/>
  <c r="BA142" i="7"/>
  <c r="BB142" i="7"/>
  <c r="BC142" i="7"/>
  <c r="BD142" i="7"/>
  <c r="BE142" i="7"/>
  <c r="BF142" i="7"/>
  <c r="BG142" i="7"/>
  <c r="BH142" i="7"/>
  <c r="BI142" i="7"/>
  <c r="BJ142" i="7"/>
  <c r="BK142" i="7"/>
  <c r="BL142" i="7"/>
  <c r="BM142" i="7"/>
  <c r="BN142" i="7"/>
  <c r="BO142" i="7"/>
  <c r="BP142" i="7"/>
  <c r="BQ142" i="7"/>
  <c r="BR142" i="7"/>
  <c r="BS142" i="7"/>
  <c r="BT142" i="7"/>
  <c r="BU142" i="7"/>
  <c r="AH143" i="7"/>
  <c r="AI143" i="7"/>
  <c r="AJ143" i="7"/>
  <c r="AK143" i="7"/>
  <c r="AL143" i="7"/>
  <c r="AM143" i="7"/>
  <c r="AN143" i="7"/>
  <c r="AO143" i="7"/>
  <c r="AP143" i="7"/>
  <c r="AQ143" i="7"/>
  <c r="AR143" i="7"/>
  <c r="AS143" i="7"/>
  <c r="AT143" i="7"/>
  <c r="AU143" i="7"/>
  <c r="AV143" i="7"/>
  <c r="AW143" i="7"/>
  <c r="AX143" i="7"/>
  <c r="AY143" i="7"/>
  <c r="AZ143" i="7"/>
  <c r="BA143" i="7"/>
  <c r="BB143" i="7"/>
  <c r="BC143" i="7"/>
  <c r="BD143" i="7"/>
  <c r="BE143" i="7"/>
  <c r="BF143" i="7"/>
  <c r="BG143" i="7"/>
  <c r="BH143" i="7"/>
  <c r="BI143" i="7"/>
  <c r="BJ143" i="7"/>
  <c r="BK143" i="7"/>
  <c r="BL143" i="7"/>
  <c r="BM143" i="7"/>
  <c r="BN143" i="7"/>
  <c r="BO143" i="7"/>
  <c r="BP143" i="7"/>
  <c r="BQ143" i="7"/>
  <c r="BR143" i="7"/>
  <c r="BS143" i="7"/>
  <c r="BT143" i="7"/>
  <c r="BU143" i="7"/>
  <c r="AH144" i="7"/>
  <c r="AI144" i="7"/>
  <c r="AJ144" i="7"/>
  <c r="AK144" i="7"/>
  <c r="AL144" i="7"/>
  <c r="AM144" i="7"/>
  <c r="AN144" i="7"/>
  <c r="AO144" i="7"/>
  <c r="AP144" i="7"/>
  <c r="AQ144" i="7"/>
  <c r="AR144" i="7"/>
  <c r="AS144" i="7"/>
  <c r="AT144" i="7"/>
  <c r="AU144" i="7"/>
  <c r="AV144" i="7"/>
  <c r="AW144" i="7"/>
  <c r="AX144" i="7"/>
  <c r="AY144" i="7"/>
  <c r="AZ144" i="7"/>
  <c r="BA144" i="7"/>
  <c r="BB144" i="7"/>
  <c r="BC144" i="7"/>
  <c r="BD144" i="7"/>
  <c r="BE144" i="7"/>
  <c r="BF144" i="7"/>
  <c r="BG144" i="7"/>
  <c r="BH144" i="7"/>
  <c r="BI144" i="7"/>
  <c r="BJ144" i="7"/>
  <c r="BK144" i="7"/>
  <c r="BL144" i="7"/>
  <c r="BM144" i="7"/>
  <c r="BN144" i="7"/>
  <c r="BO144" i="7"/>
  <c r="BP144" i="7"/>
  <c r="BQ144" i="7"/>
  <c r="BR144" i="7"/>
  <c r="BS144" i="7"/>
  <c r="BT144" i="7"/>
  <c r="BU144" i="7"/>
  <c r="AH145" i="7"/>
  <c r="AI145" i="7"/>
  <c r="AJ145" i="7"/>
  <c r="AK145" i="7"/>
  <c r="AL145" i="7"/>
  <c r="AM145" i="7"/>
  <c r="AN145" i="7"/>
  <c r="AO145" i="7"/>
  <c r="AP145" i="7"/>
  <c r="AQ145" i="7"/>
  <c r="AR145" i="7"/>
  <c r="AS145" i="7"/>
  <c r="AT145" i="7"/>
  <c r="AU145" i="7"/>
  <c r="AV145" i="7"/>
  <c r="AW145" i="7"/>
  <c r="AX145" i="7"/>
  <c r="AY145" i="7"/>
  <c r="AZ145" i="7"/>
  <c r="BA145" i="7"/>
  <c r="BB145" i="7"/>
  <c r="BC145" i="7"/>
  <c r="BD145" i="7"/>
  <c r="BE145" i="7"/>
  <c r="BF145" i="7"/>
  <c r="BG145" i="7"/>
  <c r="BH145" i="7"/>
  <c r="BI145" i="7"/>
  <c r="BJ145" i="7"/>
  <c r="BK145" i="7"/>
  <c r="BL145" i="7"/>
  <c r="BM145" i="7"/>
  <c r="BN145" i="7"/>
  <c r="BO145" i="7"/>
  <c r="BP145" i="7"/>
  <c r="BQ145" i="7"/>
  <c r="BR145" i="7"/>
  <c r="BS145" i="7"/>
  <c r="BT145" i="7"/>
  <c r="BU145" i="7"/>
  <c r="AH146" i="7"/>
  <c r="AI146" i="7"/>
  <c r="AJ146" i="7"/>
  <c r="AK146" i="7"/>
  <c r="AL146" i="7"/>
  <c r="AM146" i="7"/>
  <c r="AN146" i="7"/>
  <c r="AO146" i="7"/>
  <c r="AP146" i="7"/>
  <c r="AQ146" i="7"/>
  <c r="AR146" i="7"/>
  <c r="AS146" i="7"/>
  <c r="AT146" i="7"/>
  <c r="AU146" i="7"/>
  <c r="AV146" i="7"/>
  <c r="AW146" i="7"/>
  <c r="AX146" i="7"/>
  <c r="AY146" i="7"/>
  <c r="AZ146" i="7"/>
  <c r="BA146" i="7"/>
  <c r="BB146" i="7"/>
  <c r="BC146" i="7"/>
  <c r="BD146" i="7"/>
  <c r="BE146" i="7"/>
  <c r="BF146" i="7"/>
  <c r="BG146" i="7"/>
  <c r="BH146" i="7"/>
  <c r="BI146" i="7"/>
  <c r="BJ146" i="7"/>
  <c r="BK146" i="7"/>
  <c r="BL146" i="7"/>
  <c r="BM146" i="7"/>
  <c r="BN146" i="7"/>
  <c r="BO146" i="7"/>
  <c r="BP146" i="7"/>
  <c r="BQ146" i="7"/>
  <c r="BR146" i="7"/>
  <c r="BS146" i="7"/>
  <c r="BT146" i="7"/>
  <c r="BU146" i="7"/>
  <c r="AH147" i="7"/>
  <c r="AI147" i="7"/>
  <c r="AJ147" i="7"/>
  <c r="AK147" i="7"/>
  <c r="AL147" i="7"/>
  <c r="AM147" i="7"/>
  <c r="AN147" i="7"/>
  <c r="AO147" i="7"/>
  <c r="AP147" i="7"/>
  <c r="AQ147" i="7"/>
  <c r="AR147" i="7"/>
  <c r="AS147" i="7"/>
  <c r="AT147" i="7"/>
  <c r="AU147" i="7"/>
  <c r="AV147" i="7"/>
  <c r="AW147" i="7"/>
  <c r="AX147" i="7"/>
  <c r="AY147" i="7"/>
  <c r="AZ147" i="7"/>
  <c r="BA147" i="7"/>
  <c r="BB147" i="7"/>
  <c r="BC147" i="7"/>
  <c r="BD147" i="7"/>
  <c r="BE147" i="7"/>
  <c r="BF147" i="7"/>
  <c r="BG147" i="7"/>
  <c r="BH147" i="7"/>
  <c r="BI147" i="7"/>
  <c r="BJ147" i="7"/>
  <c r="BK147" i="7"/>
  <c r="BL147" i="7"/>
  <c r="BM147" i="7"/>
  <c r="BN147" i="7"/>
  <c r="BO147" i="7"/>
  <c r="BP147" i="7"/>
  <c r="BQ147" i="7"/>
  <c r="BR147" i="7"/>
  <c r="BS147" i="7"/>
  <c r="BT147" i="7"/>
  <c r="BU147" i="7"/>
  <c r="AH148" i="7"/>
  <c r="AI148" i="7"/>
  <c r="AJ148" i="7"/>
  <c r="AK148" i="7"/>
  <c r="AL148" i="7"/>
  <c r="AM148" i="7"/>
  <c r="AN148" i="7"/>
  <c r="AO148" i="7"/>
  <c r="AP148" i="7"/>
  <c r="AQ148" i="7"/>
  <c r="AR148" i="7"/>
  <c r="AS148" i="7"/>
  <c r="AT148" i="7"/>
  <c r="AU148" i="7"/>
  <c r="AV148" i="7"/>
  <c r="AW148" i="7"/>
  <c r="AX148" i="7"/>
  <c r="AY148" i="7"/>
  <c r="AZ148" i="7"/>
  <c r="BA148" i="7"/>
  <c r="BB148" i="7"/>
  <c r="BC148" i="7"/>
  <c r="BD148" i="7"/>
  <c r="BE148" i="7"/>
  <c r="BF148" i="7"/>
  <c r="BG148" i="7"/>
  <c r="BH148" i="7"/>
  <c r="BI148" i="7"/>
  <c r="BJ148" i="7"/>
  <c r="BK148" i="7"/>
  <c r="BL148" i="7"/>
  <c r="BM148" i="7"/>
  <c r="BN148" i="7"/>
  <c r="BO148" i="7"/>
  <c r="BP148" i="7"/>
  <c r="BQ148" i="7"/>
  <c r="BR148" i="7"/>
  <c r="BS148" i="7"/>
  <c r="BT148" i="7"/>
  <c r="BU148" i="7"/>
  <c r="AH149" i="7"/>
  <c r="AI149" i="7"/>
  <c r="AJ149" i="7"/>
  <c r="AK149" i="7"/>
  <c r="AL149" i="7"/>
  <c r="AM149" i="7"/>
  <c r="AN149" i="7"/>
  <c r="AO149" i="7"/>
  <c r="AP149" i="7"/>
  <c r="AQ149" i="7"/>
  <c r="AR149" i="7"/>
  <c r="AS149" i="7"/>
  <c r="AT149" i="7"/>
  <c r="AU149" i="7"/>
  <c r="AV149" i="7"/>
  <c r="AW149" i="7"/>
  <c r="AX149" i="7"/>
  <c r="AY149" i="7"/>
  <c r="AZ149" i="7"/>
  <c r="BA149" i="7"/>
  <c r="BB149" i="7"/>
  <c r="BC149" i="7"/>
  <c r="BD149" i="7"/>
  <c r="BE149" i="7"/>
  <c r="BF149" i="7"/>
  <c r="BG149" i="7"/>
  <c r="BH149" i="7"/>
  <c r="BI149" i="7"/>
  <c r="BJ149" i="7"/>
  <c r="BK149" i="7"/>
  <c r="BL149" i="7"/>
  <c r="BM149" i="7"/>
  <c r="BN149" i="7"/>
  <c r="BO149" i="7"/>
  <c r="BP149" i="7"/>
  <c r="BQ149" i="7"/>
  <c r="BR149" i="7"/>
  <c r="BS149" i="7"/>
  <c r="BT149" i="7"/>
  <c r="BU149" i="7"/>
  <c r="AH150" i="7"/>
  <c r="AI150" i="7"/>
  <c r="AJ150" i="7"/>
  <c r="AK150" i="7"/>
  <c r="AL150" i="7"/>
  <c r="AM150" i="7"/>
  <c r="AN150" i="7"/>
  <c r="AO150" i="7"/>
  <c r="AP150" i="7"/>
  <c r="AQ150" i="7"/>
  <c r="AR150" i="7"/>
  <c r="AS150" i="7"/>
  <c r="AT150" i="7"/>
  <c r="AU150" i="7"/>
  <c r="AV150" i="7"/>
  <c r="AW150" i="7"/>
  <c r="AX150" i="7"/>
  <c r="AY150" i="7"/>
  <c r="AZ150" i="7"/>
  <c r="BA150" i="7"/>
  <c r="BB150" i="7"/>
  <c r="BC150" i="7"/>
  <c r="BD150" i="7"/>
  <c r="BE150" i="7"/>
  <c r="BF150" i="7"/>
  <c r="BG150" i="7"/>
  <c r="BH150" i="7"/>
  <c r="BI150" i="7"/>
  <c r="BJ150" i="7"/>
  <c r="BK150" i="7"/>
  <c r="BL150" i="7"/>
  <c r="BM150" i="7"/>
  <c r="BN150" i="7"/>
  <c r="BO150" i="7"/>
  <c r="BP150" i="7"/>
  <c r="BQ150" i="7"/>
  <c r="BR150" i="7"/>
  <c r="BS150" i="7"/>
  <c r="BT150" i="7"/>
  <c r="BU150" i="7"/>
  <c r="AH151" i="7"/>
  <c r="AI151" i="7"/>
  <c r="AJ151" i="7"/>
  <c r="AK151" i="7"/>
  <c r="AL151" i="7"/>
  <c r="AM151" i="7"/>
  <c r="AN151" i="7"/>
  <c r="AO151" i="7"/>
  <c r="AP151" i="7"/>
  <c r="AQ151" i="7"/>
  <c r="AR151" i="7"/>
  <c r="AS151" i="7"/>
  <c r="AT151" i="7"/>
  <c r="AU151" i="7"/>
  <c r="AV151" i="7"/>
  <c r="AW151" i="7"/>
  <c r="AX151" i="7"/>
  <c r="AY151" i="7"/>
  <c r="AZ151" i="7"/>
  <c r="BA151" i="7"/>
  <c r="BB151" i="7"/>
  <c r="BC151" i="7"/>
  <c r="BD151" i="7"/>
  <c r="BE151" i="7"/>
  <c r="BF151" i="7"/>
  <c r="BG151" i="7"/>
  <c r="BH151" i="7"/>
  <c r="BI151" i="7"/>
  <c r="BJ151" i="7"/>
  <c r="BK151" i="7"/>
  <c r="BL151" i="7"/>
  <c r="BM151" i="7"/>
  <c r="BN151" i="7"/>
  <c r="BO151" i="7"/>
  <c r="BP151" i="7"/>
  <c r="BQ151" i="7"/>
  <c r="BR151" i="7"/>
  <c r="BS151" i="7"/>
  <c r="BT151" i="7"/>
  <c r="BU151" i="7"/>
  <c r="AH152" i="7"/>
  <c r="AI152" i="7"/>
  <c r="AJ152" i="7"/>
  <c r="AK152" i="7"/>
  <c r="AL152" i="7"/>
  <c r="AM152" i="7"/>
  <c r="AN152" i="7"/>
  <c r="AO152" i="7"/>
  <c r="AP152" i="7"/>
  <c r="AQ152" i="7"/>
  <c r="AR152" i="7"/>
  <c r="AS152" i="7"/>
  <c r="AT152" i="7"/>
  <c r="AU152" i="7"/>
  <c r="AV152" i="7"/>
  <c r="AW152" i="7"/>
  <c r="AX152" i="7"/>
  <c r="AY152" i="7"/>
  <c r="AZ152" i="7"/>
  <c r="BA152" i="7"/>
  <c r="BB152" i="7"/>
  <c r="BC152" i="7"/>
  <c r="BD152" i="7"/>
  <c r="BE152" i="7"/>
  <c r="BF152" i="7"/>
  <c r="BG152" i="7"/>
  <c r="BH152" i="7"/>
  <c r="BI152" i="7"/>
  <c r="BJ152" i="7"/>
  <c r="BK152" i="7"/>
  <c r="BL152" i="7"/>
  <c r="BM152" i="7"/>
  <c r="BN152" i="7"/>
  <c r="BO152" i="7"/>
  <c r="BP152" i="7"/>
  <c r="BQ152" i="7"/>
  <c r="BR152" i="7"/>
  <c r="BS152" i="7"/>
  <c r="BT152" i="7"/>
  <c r="BU152" i="7"/>
  <c r="AH153" i="7"/>
  <c r="AI153" i="7"/>
  <c r="AJ153" i="7"/>
  <c r="AK153" i="7"/>
  <c r="AL153" i="7"/>
  <c r="AM153" i="7"/>
  <c r="AN153" i="7"/>
  <c r="AO153" i="7"/>
  <c r="AP153" i="7"/>
  <c r="AQ153" i="7"/>
  <c r="AR153" i="7"/>
  <c r="AS153" i="7"/>
  <c r="AT153" i="7"/>
  <c r="AU153" i="7"/>
  <c r="AV153" i="7"/>
  <c r="AW153" i="7"/>
  <c r="AX153" i="7"/>
  <c r="AY153" i="7"/>
  <c r="AZ153" i="7"/>
  <c r="BA153" i="7"/>
  <c r="BB153" i="7"/>
  <c r="BC153" i="7"/>
  <c r="BD153" i="7"/>
  <c r="BE153" i="7"/>
  <c r="BF153" i="7"/>
  <c r="BG153" i="7"/>
  <c r="BH153" i="7"/>
  <c r="BI153" i="7"/>
  <c r="BJ153" i="7"/>
  <c r="BK153" i="7"/>
  <c r="BL153" i="7"/>
  <c r="BM153" i="7"/>
  <c r="BN153" i="7"/>
  <c r="BO153" i="7"/>
  <c r="BP153" i="7"/>
  <c r="BQ153" i="7"/>
  <c r="BR153" i="7"/>
  <c r="BS153" i="7"/>
  <c r="BT153" i="7"/>
  <c r="BU153" i="7"/>
  <c r="AH154" i="7"/>
  <c r="AI154" i="7"/>
  <c r="AJ154" i="7"/>
  <c r="AK154" i="7"/>
  <c r="AL154" i="7"/>
  <c r="AM154" i="7"/>
  <c r="AN154" i="7"/>
  <c r="AO154" i="7"/>
  <c r="AP154" i="7"/>
  <c r="AQ154" i="7"/>
  <c r="AR154" i="7"/>
  <c r="AS154" i="7"/>
  <c r="AT154" i="7"/>
  <c r="AU154" i="7"/>
  <c r="AV154" i="7"/>
  <c r="AW154" i="7"/>
  <c r="AX154" i="7"/>
  <c r="AY154" i="7"/>
  <c r="AZ154" i="7"/>
  <c r="BA154" i="7"/>
  <c r="BB154" i="7"/>
  <c r="BC154" i="7"/>
  <c r="BD154" i="7"/>
  <c r="BE154" i="7"/>
  <c r="BF154" i="7"/>
  <c r="BG154" i="7"/>
  <c r="BH154" i="7"/>
  <c r="BI154" i="7"/>
  <c r="BJ154" i="7"/>
  <c r="BK154" i="7"/>
  <c r="BL154" i="7"/>
  <c r="BM154" i="7"/>
  <c r="BN154" i="7"/>
  <c r="BO154" i="7"/>
  <c r="BP154" i="7"/>
  <c r="BQ154" i="7"/>
  <c r="BR154" i="7"/>
  <c r="BS154" i="7"/>
  <c r="BT154" i="7"/>
  <c r="BU154" i="7"/>
  <c r="AH155" i="7"/>
  <c r="AI155" i="7"/>
  <c r="AJ155" i="7"/>
  <c r="AK155" i="7"/>
  <c r="AL155" i="7"/>
  <c r="AM155" i="7"/>
  <c r="AN155" i="7"/>
  <c r="AO155" i="7"/>
  <c r="AP155" i="7"/>
  <c r="AQ155" i="7"/>
  <c r="AR155" i="7"/>
  <c r="AS155" i="7"/>
  <c r="AT155" i="7"/>
  <c r="AU155" i="7"/>
  <c r="AV155" i="7"/>
  <c r="AW155" i="7"/>
  <c r="AX155" i="7"/>
  <c r="AY155" i="7"/>
  <c r="AZ155" i="7"/>
  <c r="BA155" i="7"/>
  <c r="BB155" i="7"/>
  <c r="BC155" i="7"/>
  <c r="BD155" i="7"/>
  <c r="BE155" i="7"/>
  <c r="BF155" i="7"/>
  <c r="BG155" i="7"/>
  <c r="BH155" i="7"/>
  <c r="BI155" i="7"/>
  <c r="BJ155" i="7"/>
  <c r="BK155" i="7"/>
  <c r="BL155" i="7"/>
  <c r="BM155" i="7"/>
  <c r="BN155" i="7"/>
  <c r="BO155" i="7"/>
  <c r="BP155" i="7"/>
  <c r="BQ155" i="7"/>
  <c r="BR155" i="7"/>
  <c r="BS155" i="7"/>
  <c r="BT155" i="7"/>
  <c r="BU155" i="7"/>
  <c r="AH156" i="7"/>
  <c r="AI156" i="7"/>
  <c r="AJ156" i="7"/>
  <c r="AK156" i="7"/>
  <c r="AL156" i="7"/>
  <c r="AM156" i="7"/>
  <c r="AN156" i="7"/>
  <c r="AO156" i="7"/>
  <c r="AP156" i="7"/>
  <c r="AQ156" i="7"/>
  <c r="AR156" i="7"/>
  <c r="AS156" i="7"/>
  <c r="AT156" i="7"/>
  <c r="AU156" i="7"/>
  <c r="AV156" i="7"/>
  <c r="AW156" i="7"/>
  <c r="AX156" i="7"/>
  <c r="AY156" i="7"/>
  <c r="AZ156" i="7"/>
  <c r="BA156" i="7"/>
  <c r="BB156" i="7"/>
  <c r="BC156" i="7"/>
  <c r="BD156" i="7"/>
  <c r="BE156" i="7"/>
  <c r="BF156" i="7"/>
  <c r="BG156" i="7"/>
  <c r="BH156" i="7"/>
  <c r="BI156" i="7"/>
  <c r="BJ156" i="7"/>
  <c r="BK156" i="7"/>
  <c r="BL156" i="7"/>
  <c r="BM156" i="7"/>
  <c r="BN156" i="7"/>
  <c r="BO156" i="7"/>
  <c r="BP156" i="7"/>
  <c r="BQ156" i="7"/>
  <c r="BR156" i="7"/>
  <c r="BS156" i="7"/>
  <c r="BT156" i="7"/>
  <c r="BU156" i="7"/>
  <c r="AH157" i="7"/>
  <c r="AI157" i="7"/>
  <c r="AJ157" i="7"/>
  <c r="AK157" i="7"/>
  <c r="AL157" i="7"/>
  <c r="AM157" i="7"/>
  <c r="AN157" i="7"/>
  <c r="AO157" i="7"/>
  <c r="AP157" i="7"/>
  <c r="AQ157" i="7"/>
  <c r="AR157" i="7"/>
  <c r="AS157" i="7"/>
  <c r="AT157" i="7"/>
  <c r="AU157" i="7"/>
  <c r="AV157" i="7"/>
  <c r="AW157" i="7"/>
  <c r="AX157" i="7"/>
  <c r="AY157" i="7"/>
  <c r="AZ157" i="7"/>
  <c r="BA157" i="7"/>
  <c r="BB157" i="7"/>
  <c r="BC157" i="7"/>
  <c r="BD157" i="7"/>
  <c r="BE157" i="7"/>
  <c r="BF157" i="7"/>
  <c r="BG157" i="7"/>
  <c r="BH157" i="7"/>
  <c r="BI157" i="7"/>
  <c r="BJ157" i="7"/>
  <c r="BK157" i="7"/>
  <c r="BL157" i="7"/>
  <c r="BM157" i="7"/>
  <c r="BN157" i="7"/>
  <c r="BO157" i="7"/>
  <c r="BP157" i="7"/>
  <c r="BQ157" i="7"/>
  <c r="BR157" i="7"/>
  <c r="BS157" i="7"/>
  <c r="BT157" i="7"/>
  <c r="BU157" i="7"/>
  <c r="AH158" i="7"/>
  <c r="AI158" i="7"/>
  <c r="AJ158" i="7"/>
  <c r="AK158" i="7"/>
  <c r="AL158" i="7"/>
  <c r="AM158" i="7"/>
  <c r="AN158" i="7"/>
  <c r="AO158" i="7"/>
  <c r="AP158" i="7"/>
  <c r="AQ158" i="7"/>
  <c r="AR158" i="7"/>
  <c r="AS158" i="7"/>
  <c r="AT158" i="7"/>
  <c r="AU158" i="7"/>
  <c r="AV158" i="7"/>
  <c r="AW158" i="7"/>
  <c r="AX158" i="7"/>
  <c r="AY158" i="7"/>
  <c r="AZ158" i="7"/>
  <c r="BA158" i="7"/>
  <c r="BB158" i="7"/>
  <c r="BC158" i="7"/>
  <c r="BD158" i="7"/>
  <c r="BE158" i="7"/>
  <c r="BF158" i="7"/>
  <c r="BG158" i="7"/>
  <c r="BH158" i="7"/>
  <c r="BI158" i="7"/>
  <c r="BJ158" i="7"/>
  <c r="BK158" i="7"/>
  <c r="BL158" i="7"/>
  <c r="BM158" i="7"/>
  <c r="BN158" i="7"/>
  <c r="BO158" i="7"/>
  <c r="BP158" i="7"/>
  <c r="BQ158" i="7"/>
  <c r="BR158" i="7"/>
  <c r="BS158" i="7"/>
  <c r="BT158" i="7"/>
  <c r="BU158" i="7"/>
  <c r="AH159" i="7"/>
  <c r="AI159" i="7"/>
  <c r="AJ159" i="7"/>
  <c r="AK159" i="7"/>
  <c r="AL159" i="7"/>
  <c r="AM159" i="7"/>
  <c r="AN159" i="7"/>
  <c r="AO159" i="7"/>
  <c r="AP159" i="7"/>
  <c r="AQ159" i="7"/>
  <c r="AR159" i="7"/>
  <c r="AS159" i="7"/>
  <c r="AT159" i="7"/>
  <c r="AU159" i="7"/>
  <c r="AV159" i="7"/>
  <c r="AW159" i="7"/>
  <c r="AX159" i="7"/>
  <c r="AY159" i="7"/>
  <c r="AZ159" i="7"/>
  <c r="BA159" i="7"/>
  <c r="BB159" i="7"/>
  <c r="BC159" i="7"/>
  <c r="BD159" i="7"/>
  <c r="BE159" i="7"/>
  <c r="BF159" i="7"/>
  <c r="BG159" i="7"/>
  <c r="BH159" i="7"/>
  <c r="BI159" i="7"/>
  <c r="BJ159" i="7"/>
  <c r="BK159" i="7"/>
  <c r="BL159" i="7"/>
  <c r="BM159" i="7"/>
  <c r="BN159" i="7"/>
  <c r="BO159" i="7"/>
  <c r="BP159" i="7"/>
  <c r="BQ159" i="7"/>
  <c r="BR159" i="7"/>
  <c r="BS159" i="7"/>
  <c r="BT159" i="7"/>
  <c r="BU159" i="7"/>
  <c r="AH160" i="7"/>
  <c r="AI160" i="7"/>
  <c r="AJ160" i="7"/>
  <c r="AK160" i="7"/>
  <c r="AL160" i="7"/>
  <c r="AM160" i="7"/>
  <c r="AN160" i="7"/>
  <c r="AO160" i="7"/>
  <c r="AP160" i="7"/>
  <c r="AQ160" i="7"/>
  <c r="AR160" i="7"/>
  <c r="AS160" i="7"/>
  <c r="AT160" i="7"/>
  <c r="AU160" i="7"/>
  <c r="AV160" i="7"/>
  <c r="AW160" i="7"/>
  <c r="AX160" i="7"/>
  <c r="AY160" i="7"/>
  <c r="AZ160" i="7"/>
  <c r="BA160" i="7"/>
  <c r="BB160" i="7"/>
  <c r="BC160" i="7"/>
  <c r="BD160" i="7"/>
  <c r="BE160" i="7"/>
  <c r="BF160" i="7"/>
  <c r="BG160" i="7"/>
  <c r="BH160" i="7"/>
  <c r="BI160" i="7"/>
  <c r="BJ160" i="7"/>
  <c r="BK160" i="7"/>
  <c r="BL160" i="7"/>
  <c r="BM160" i="7"/>
  <c r="BN160" i="7"/>
  <c r="BO160" i="7"/>
  <c r="BP160" i="7"/>
  <c r="BQ160" i="7"/>
  <c r="BR160" i="7"/>
  <c r="BS160" i="7"/>
  <c r="BT160" i="7"/>
  <c r="BU160" i="7"/>
  <c r="AH161" i="7"/>
  <c r="AI161" i="7"/>
  <c r="AJ161" i="7"/>
  <c r="AK161" i="7"/>
  <c r="AL161" i="7"/>
  <c r="AM161" i="7"/>
  <c r="AN161" i="7"/>
  <c r="AO161" i="7"/>
  <c r="AP161" i="7"/>
  <c r="AQ161" i="7"/>
  <c r="AR161" i="7"/>
  <c r="AS161" i="7"/>
  <c r="AT161" i="7"/>
  <c r="AU161" i="7"/>
  <c r="AV161" i="7"/>
  <c r="AW161" i="7"/>
  <c r="AX161" i="7"/>
  <c r="AY161" i="7"/>
  <c r="AZ161" i="7"/>
  <c r="BA161" i="7"/>
  <c r="BB161" i="7"/>
  <c r="BC161" i="7"/>
  <c r="BD161" i="7"/>
  <c r="BE161" i="7"/>
  <c r="BF161" i="7"/>
  <c r="BG161" i="7"/>
  <c r="BH161" i="7"/>
  <c r="BI161" i="7"/>
  <c r="BJ161" i="7"/>
  <c r="BK161" i="7"/>
  <c r="BL161" i="7"/>
  <c r="BM161" i="7"/>
  <c r="BN161" i="7"/>
  <c r="BO161" i="7"/>
  <c r="BP161" i="7"/>
  <c r="BQ161" i="7"/>
  <c r="BR161" i="7"/>
  <c r="BS161" i="7"/>
  <c r="BT161" i="7"/>
  <c r="BU161" i="7"/>
  <c r="AH162" i="7"/>
  <c r="AI162" i="7"/>
  <c r="AJ162" i="7"/>
  <c r="AK162" i="7"/>
  <c r="AL162" i="7"/>
  <c r="AM162" i="7"/>
  <c r="AN162" i="7"/>
  <c r="AO162" i="7"/>
  <c r="AP162" i="7"/>
  <c r="AQ162" i="7"/>
  <c r="AR162" i="7"/>
  <c r="AS162" i="7"/>
  <c r="AT162" i="7"/>
  <c r="AU162" i="7"/>
  <c r="AV162" i="7"/>
  <c r="AW162" i="7"/>
  <c r="AX162" i="7"/>
  <c r="AY162" i="7"/>
  <c r="AZ162" i="7"/>
  <c r="BA162" i="7"/>
  <c r="BB162" i="7"/>
  <c r="BC162" i="7"/>
  <c r="BD162" i="7"/>
  <c r="BE162" i="7"/>
  <c r="BF162" i="7"/>
  <c r="BG162" i="7"/>
  <c r="BH162" i="7"/>
  <c r="BI162" i="7"/>
  <c r="BJ162" i="7"/>
  <c r="BK162" i="7"/>
  <c r="BL162" i="7"/>
  <c r="BM162" i="7"/>
  <c r="BN162" i="7"/>
  <c r="BO162" i="7"/>
  <c r="BP162" i="7"/>
  <c r="BQ162" i="7"/>
  <c r="BR162" i="7"/>
  <c r="BS162" i="7"/>
  <c r="BT162" i="7"/>
  <c r="BU162" i="7"/>
  <c r="AH163" i="7"/>
  <c r="AI163" i="7"/>
  <c r="AJ163" i="7"/>
  <c r="AK163" i="7"/>
  <c r="AL163" i="7"/>
  <c r="AM163" i="7"/>
  <c r="AN163" i="7"/>
  <c r="AO163" i="7"/>
  <c r="AP163" i="7"/>
  <c r="AQ163" i="7"/>
  <c r="AR163" i="7"/>
  <c r="AS163" i="7"/>
  <c r="AT163" i="7"/>
  <c r="AU163" i="7"/>
  <c r="AV163" i="7"/>
  <c r="AW163" i="7"/>
  <c r="AX163" i="7"/>
  <c r="AY163" i="7"/>
  <c r="AZ163" i="7"/>
  <c r="BA163" i="7"/>
  <c r="BB163" i="7"/>
  <c r="BC163" i="7"/>
  <c r="BD163" i="7"/>
  <c r="BE163" i="7"/>
  <c r="BF163" i="7"/>
  <c r="BG163" i="7"/>
  <c r="BH163" i="7"/>
  <c r="BI163" i="7"/>
  <c r="BJ163" i="7"/>
  <c r="BK163" i="7"/>
  <c r="BL163" i="7"/>
  <c r="BM163" i="7"/>
  <c r="BN163" i="7"/>
  <c r="BO163" i="7"/>
  <c r="BP163" i="7"/>
  <c r="BQ163" i="7"/>
  <c r="BR163" i="7"/>
  <c r="BS163" i="7"/>
  <c r="BT163" i="7"/>
  <c r="BU163" i="7"/>
  <c r="AH164" i="7"/>
  <c r="AI164" i="7"/>
  <c r="AJ164" i="7"/>
  <c r="AK164" i="7"/>
  <c r="AL164" i="7"/>
  <c r="AM164" i="7"/>
  <c r="AN164" i="7"/>
  <c r="AO164" i="7"/>
  <c r="AP164" i="7"/>
  <c r="AQ164" i="7"/>
  <c r="AR164" i="7"/>
  <c r="AS164" i="7"/>
  <c r="AT164" i="7"/>
  <c r="AU164" i="7"/>
  <c r="AV164" i="7"/>
  <c r="AW164" i="7"/>
  <c r="AX164" i="7"/>
  <c r="AY164" i="7"/>
  <c r="AZ164" i="7"/>
  <c r="BA164" i="7"/>
  <c r="BB164" i="7"/>
  <c r="BC164" i="7"/>
  <c r="BD164" i="7"/>
  <c r="BE164" i="7"/>
  <c r="BF164" i="7"/>
  <c r="BG164" i="7"/>
  <c r="BH164" i="7"/>
  <c r="BI164" i="7"/>
  <c r="BJ164" i="7"/>
  <c r="BK164" i="7"/>
  <c r="BL164" i="7"/>
  <c r="BM164" i="7"/>
  <c r="BN164" i="7"/>
  <c r="BO164" i="7"/>
  <c r="BP164" i="7"/>
  <c r="BQ164" i="7"/>
  <c r="BR164" i="7"/>
  <c r="BS164" i="7"/>
  <c r="BT164" i="7"/>
  <c r="BU164" i="7"/>
  <c r="AH165" i="7"/>
  <c r="AI165" i="7"/>
  <c r="AJ165" i="7"/>
  <c r="AK165" i="7"/>
  <c r="AL165" i="7"/>
  <c r="AM165" i="7"/>
  <c r="AN165" i="7"/>
  <c r="AO165" i="7"/>
  <c r="AP165" i="7"/>
  <c r="AQ165" i="7"/>
  <c r="AR165" i="7"/>
  <c r="AS165" i="7"/>
  <c r="AT165" i="7"/>
  <c r="AU165" i="7"/>
  <c r="AV165" i="7"/>
  <c r="AW165" i="7"/>
  <c r="AX165" i="7"/>
  <c r="AY165" i="7"/>
  <c r="AZ165" i="7"/>
  <c r="BA165" i="7"/>
  <c r="BB165" i="7"/>
  <c r="BC165" i="7"/>
  <c r="BD165" i="7"/>
  <c r="BE165" i="7"/>
  <c r="BF165" i="7"/>
  <c r="BG165" i="7"/>
  <c r="BH165" i="7"/>
  <c r="BI165" i="7"/>
  <c r="BJ165" i="7"/>
  <c r="BK165" i="7"/>
  <c r="BL165" i="7"/>
  <c r="BM165" i="7"/>
  <c r="BN165" i="7"/>
  <c r="BO165" i="7"/>
  <c r="BP165" i="7"/>
  <c r="BQ165" i="7"/>
  <c r="BR165" i="7"/>
  <c r="BS165" i="7"/>
  <c r="BT165" i="7"/>
  <c r="BU165" i="7"/>
  <c r="AH166" i="7"/>
  <c r="AI166" i="7"/>
  <c r="AJ166" i="7"/>
  <c r="AK166" i="7"/>
  <c r="AL166" i="7"/>
  <c r="AM166" i="7"/>
  <c r="AN166" i="7"/>
  <c r="AO166" i="7"/>
  <c r="AP166" i="7"/>
  <c r="AQ166" i="7"/>
  <c r="AR166" i="7"/>
  <c r="AS166" i="7"/>
  <c r="AT166" i="7"/>
  <c r="AU166" i="7"/>
  <c r="AV166" i="7"/>
  <c r="AW166" i="7"/>
  <c r="AX166" i="7"/>
  <c r="AY166" i="7"/>
  <c r="AZ166" i="7"/>
  <c r="BA166" i="7"/>
  <c r="BB166" i="7"/>
  <c r="BC166" i="7"/>
  <c r="BD166" i="7"/>
  <c r="BE166" i="7"/>
  <c r="BF166" i="7"/>
  <c r="BG166" i="7"/>
  <c r="BH166" i="7"/>
  <c r="BI166" i="7"/>
  <c r="BJ166" i="7"/>
  <c r="BK166" i="7"/>
  <c r="BL166" i="7"/>
  <c r="BM166" i="7"/>
  <c r="BN166" i="7"/>
  <c r="BO166" i="7"/>
  <c r="BP166" i="7"/>
  <c r="BQ166" i="7"/>
  <c r="BR166" i="7"/>
  <c r="BS166" i="7"/>
  <c r="BT166" i="7"/>
  <c r="BU166" i="7"/>
  <c r="AH167" i="7"/>
  <c r="AI167" i="7"/>
  <c r="AJ167" i="7"/>
  <c r="AK167" i="7"/>
  <c r="AL167" i="7"/>
  <c r="AM167" i="7"/>
  <c r="AN167" i="7"/>
  <c r="AO167" i="7"/>
  <c r="AP167" i="7"/>
  <c r="AQ167" i="7"/>
  <c r="AR167" i="7"/>
  <c r="AS167" i="7"/>
  <c r="AT167" i="7"/>
  <c r="AU167" i="7"/>
  <c r="AV167" i="7"/>
  <c r="AW167" i="7"/>
  <c r="AX167" i="7"/>
  <c r="AY167" i="7"/>
  <c r="AZ167" i="7"/>
  <c r="BA167" i="7"/>
  <c r="BB167" i="7"/>
  <c r="BC167" i="7"/>
  <c r="BD167" i="7"/>
  <c r="BE167" i="7"/>
  <c r="BF167" i="7"/>
  <c r="BG167" i="7"/>
  <c r="BH167" i="7"/>
  <c r="BI167" i="7"/>
  <c r="BJ167" i="7"/>
  <c r="BK167" i="7"/>
  <c r="BL167" i="7"/>
  <c r="BM167" i="7"/>
  <c r="BN167" i="7"/>
  <c r="BO167" i="7"/>
  <c r="BP167" i="7"/>
  <c r="BQ167" i="7"/>
  <c r="BR167" i="7"/>
  <c r="BS167" i="7"/>
  <c r="BT167" i="7"/>
  <c r="BU167" i="7"/>
  <c r="AH168" i="7"/>
  <c r="AI168" i="7"/>
  <c r="AJ168" i="7"/>
  <c r="AK168" i="7"/>
  <c r="AL168" i="7"/>
  <c r="AM168" i="7"/>
  <c r="AN168" i="7"/>
  <c r="AO168" i="7"/>
  <c r="AP168" i="7"/>
  <c r="AQ168" i="7"/>
  <c r="AR168" i="7"/>
  <c r="AS168" i="7"/>
  <c r="AT168" i="7"/>
  <c r="AU168" i="7"/>
  <c r="AV168" i="7"/>
  <c r="AW168" i="7"/>
  <c r="AX168" i="7"/>
  <c r="AY168" i="7"/>
  <c r="AZ168" i="7"/>
  <c r="BA168" i="7"/>
  <c r="BB168" i="7"/>
  <c r="BC168" i="7"/>
  <c r="BD168" i="7"/>
  <c r="BE168" i="7"/>
  <c r="BF168" i="7"/>
  <c r="BG168" i="7"/>
  <c r="BH168" i="7"/>
  <c r="BI168" i="7"/>
  <c r="BJ168" i="7"/>
  <c r="BK168" i="7"/>
  <c r="BL168" i="7"/>
  <c r="BM168" i="7"/>
  <c r="BN168" i="7"/>
  <c r="BO168" i="7"/>
  <c r="BP168" i="7"/>
  <c r="BQ168" i="7"/>
  <c r="BR168" i="7"/>
  <c r="BS168" i="7"/>
  <c r="BT168" i="7"/>
  <c r="BU168" i="7"/>
  <c r="AH169" i="7"/>
  <c r="AI169" i="7"/>
  <c r="AJ169" i="7"/>
  <c r="AK169" i="7"/>
  <c r="AL169" i="7"/>
  <c r="AM169" i="7"/>
  <c r="AN169" i="7"/>
  <c r="AO169" i="7"/>
  <c r="AP169" i="7"/>
  <c r="AQ169" i="7"/>
  <c r="AR169" i="7"/>
  <c r="AS169" i="7"/>
  <c r="AT169" i="7"/>
  <c r="AU169" i="7"/>
  <c r="AV169" i="7"/>
  <c r="AW169" i="7"/>
  <c r="AX169" i="7"/>
  <c r="AY169" i="7"/>
  <c r="AZ169" i="7"/>
  <c r="BA169" i="7"/>
  <c r="BB169" i="7"/>
  <c r="BC169" i="7"/>
  <c r="BD169" i="7"/>
  <c r="BE169" i="7"/>
  <c r="BF169" i="7"/>
  <c r="BG169" i="7"/>
  <c r="BH169" i="7"/>
  <c r="BI169" i="7"/>
  <c r="BJ169" i="7"/>
  <c r="BK169" i="7"/>
  <c r="BL169" i="7"/>
  <c r="BM169" i="7"/>
  <c r="BN169" i="7"/>
  <c r="BO169" i="7"/>
  <c r="BP169" i="7"/>
  <c r="BQ169" i="7"/>
  <c r="BR169" i="7"/>
  <c r="BS169" i="7"/>
  <c r="BT169" i="7"/>
  <c r="BU169" i="7"/>
  <c r="AH170" i="7"/>
  <c r="AI170" i="7"/>
  <c r="AJ170" i="7"/>
  <c r="AK170" i="7"/>
  <c r="AL170" i="7"/>
  <c r="AM170" i="7"/>
  <c r="AN170" i="7"/>
  <c r="AO170" i="7"/>
  <c r="AP170" i="7"/>
  <c r="AQ170" i="7"/>
  <c r="AR170" i="7"/>
  <c r="AS170" i="7"/>
  <c r="AT170" i="7"/>
  <c r="AU170" i="7"/>
  <c r="AV170" i="7"/>
  <c r="AW170" i="7"/>
  <c r="AX170" i="7"/>
  <c r="AY170" i="7"/>
  <c r="AZ170" i="7"/>
  <c r="BA170" i="7"/>
  <c r="BB170" i="7"/>
  <c r="BC170" i="7"/>
  <c r="BD170" i="7"/>
  <c r="BE170" i="7"/>
  <c r="BF170" i="7"/>
  <c r="BG170" i="7"/>
  <c r="BH170" i="7"/>
  <c r="BI170" i="7"/>
  <c r="BJ170" i="7"/>
  <c r="BK170" i="7"/>
  <c r="BL170" i="7"/>
  <c r="BM170" i="7"/>
  <c r="BN170" i="7"/>
  <c r="BO170" i="7"/>
  <c r="BP170" i="7"/>
  <c r="BQ170" i="7"/>
  <c r="BR170" i="7"/>
  <c r="BS170" i="7"/>
  <c r="BT170" i="7"/>
  <c r="BU170" i="7"/>
  <c r="AH171" i="7"/>
  <c r="AI171" i="7"/>
  <c r="AJ171" i="7"/>
  <c r="AK171" i="7"/>
  <c r="AL171" i="7"/>
  <c r="AM171" i="7"/>
  <c r="AN171" i="7"/>
  <c r="AO171" i="7"/>
  <c r="AP171" i="7"/>
  <c r="AQ171" i="7"/>
  <c r="AR171" i="7"/>
  <c r="AS171" i="7"/>
  <c r="AT171" i="7"/>
  <c r="AU171" i="7"/>
  <c r="AV171" i="7"/>
  <c r="AW171" i="7"/>
  <c r="AX171" i="7"/>
  <c r="AY171" i="7"/>
  <c r="AZ171" i="7"/>
  <c r="BA171" i="7"/>
  <c r="BB171" i="7"/>
  <c r="BC171" i="7"/>
  <c r="BD171" i="7"/>
  <c r="BE171" i="7"/>
  <c r="BF171" i="7"/>
  <c r="BG171" i="7"/>
  <c r="BH171" i="7"/>
  <c r="BI171" i="7"/>
  <c r="BJ171" i="7"/>
  <c r="BK171" i="7"/>
  <c r="BL171" i="7"/>
  <c r="BM171" i="7"/>
  <c r="BN171" i="7"/>
  <c r="BO171" i="7"/>
  <c r="BP171" i="7"/>
  <c r="BQ171" i="7"/>
  <c r="BR171" i="7"/>
  <c r="BS171" i="7"/>
  <c r="BT171" i="7"/>
  <c r="BU171" i="7"/>
  <c r="AH172" i="7"/>
  <c r="AI172" i="7"/>
  <c r="AJ172" i="7"/>
  <c r="AK172" i="7"/>
  <c r="AL172" i="7"/>
  <c r="AM172" i="7"/>
  <c r="AN172" i="7"/>
  <c r="AO172" i="7"/>
  <c r="AP172" i="7"/>
  <c r="AQ172" i="7"/>
  <c r="AR172" i="7"/>
  <c r="AS172" i="7"/>
  <c r="AT172" i="7"/>
  <c r="AU172" i="7"/>
  <c r="AV172" i="7"/>
  <c r="AW172" i="7"/>
  <c r="AX172" i="7"/>
  <c r="AY172" i="7"/>
  <c r="AZ172" i="7"/>
  <c r="BA172" i="7"/>
  <c r="BB172" i="7"/>
  <c r="BC172" i="7"/>
  <c r="BD172" i="7"/>
  <c r="BE172" i="7"/>
  <c r="BF172" i="7"/>
  <c r="BG172" i="7"/>
  <c r="BH172" i="7"/>
  <c r="BI172" i="7"/>
  <c r="BJ172" i="7"/>
  <c r="BK172" i="7"/>
  <c r="BL172" i="7"/>
  <c r="BM172" i="7"/>
  <c r="BN172" i="7"/>
  <c r="BO172" i="7"/>
  <c r="BP172" i="7"/>
  <c r="BQ172" i="7"/>
  <c r="BR172" i="7"/>
  <c r="BS172" i="7"/>
  <c r="BT172" i="7"/>
  <c r="BU172" i="7"/>
  <c r="AH173" i="7"/>
  <c r="AI173" i="7"/>
  <c r="AJ173" i="7"/>
  <c r="AK173" i="7"/>
  <c r="AL173" i="7"/>
  <c r="AM173" i="7"/>
  <c r="AN173" i="7"/>
  <c r="AO173" i="7"/>
  <c r="AP173" i="7"/>
  <c r="AQ173" i="7"/>
  <c r="AR173" i="7"/>
  <c r="AS173" i="7"/>
  <c r="AT173" i="7"/>
  <c r="AU173" i="7"/>
  <c r="AV173" i="7"/>
  <c r="AW173" i="7"/>
  <c r="AX173" i="7"/>
  <c r="AY173" i="7"/>
  <c r="AZ173" i="7"/>
  <c r="BA173" i="7"/>
  <c r="BB173" i="7"/>
  <c r="BC173" i="7"/>
  <c r="BD173" i="7"/>
  <c r="BE173" i="7"/>
  <c r="BF173" i="7"/>
  <c r="BG173" i="7"/>
  <c r="BH173" i="7"/>
  <c r="BI173" i="7"/>
  <c r="BJ173" i="7"/>
  <c r="BK173" i="7"/>
  <c r="BL173" i="7"/>
  <c r="BM173" i="7"/>
  <c r="BN173" i="7"/>
  <c r="BO173" i="7"/>
  <c r="BP173" i="7"/>
  <c r="BQ173" i="7"/>
  <c r="BR173" i="7"/>
  <c r="BS173" i="7"/>
  <c r="BT173" i="7"/>
  <c r="BU173" i="7"/>
  <c r="AH174" i="7"/>
  <c r="AI174" i="7"/>
  <c r="AJ174" i="7"/>
  <c r="AK174" i="7"/>
  <c r="AL174" i="7"/>
  <c r="AM174" i="7"/>
  <c r="AN174" i="7"/>
  <c r="AO174" i="7"/>
  <c r="AP174" i="7"/>
  <c r="AQ174" i="7"/>
  <c r="AR174" i="7"/>
  <c r="AS174" i="7"/>
  <c r="AT174" i="7"/>
  <c r="AU174" i="7"/>
  <c r="AV174" i="7"/>
  <c r="AW174" i="7"/>
  <c r="AX174" i="7"/>
  <c r="AY174" i="7"/>
  <c r="AZ174" i="7"/>
  <c r="BA174" i="7"/>
  <c r="BB174" i="7"/>
  <c r="BC174" i="7"/>
  <c r="BD174" i="7"/>
  <c r="BE174" i="7"/>
  <c r="BF174" i="7"/>
  <c r="BG174" i="7"/>
  <c r="BH174" i="7"/>
  <c r="BI174" i="7"/>
  <c r="BJ174" i="7"/>
  <c r="BK174" i="7"/>
  <c r="BL174" i="7"/>
  <c r="BM174" i="7"/>
  <c r="BN174" i="7"/>
  <c r="BO174" i="7"/>
  <c r="BP174" i="7"/>
  <c r="BQ174" i="7"/>
  <c r="BR174" i="7"/>
  <c r="BS174" i="7"/>
  <c r="BT174" i="7"/>
  <c r="BU174" i="7"/>
  <c r="AH175" i="7"/>
  <c r="AI175" i="7"/>
  <c r="AJ175" i="7"/>
  <c r="AK175" i="7"/>
  <c r="AL175" i="7"/>
  <c r="AM175" i="7"/>
  <c r="AN175" i="7"/>
  <c r="AO175" i="7"/>
  <c r="AP175" i="7"/>
  <c r="AQ175" i="7"/>
  <c r="AR175" i="7"/>
  <c r="AS175" i="7"/>
  <c r="AT175" i="7"/>
  <c r="AU175" i="7"/>
  <c r="AV175" i="7"/>
  <c r="AW175" i="7"/>
  <c r="AX175" i="7"/>
  <c r="AY175" i="7"/>
  <c r="AZ175" i="7"/>
  <c r="BA175" i="7"/>
  <c r="BB175" i="7"/>
  <c r="BC175" i="7"/>
  <c r="BD175" i="7"/>
  <c r="BE175" i="7"/>
  <c r="BF175" i="7"/>
  <c r="BG175" i="7"/>
  <c r="BH175" i="7"/>
  <c r="BI175" i="7"/>
  <c r="BJ175" i="7"/>
  <c r="BK175" i="7"/>
  <c r="BL175" i="7"/>
  <c r="BM175" i="7"/>
  <c r="BN175" i="7"/>
  <c r="BO175" i="7"/>
  <c r="BP175" i="7"/>
  <c r="BQ175" i="7"/>
  <c r="BR175" i="7"/>
  <c r="BS175" i="7"/>
  <c r="BT175" i="7"/>
  <c r="BU175" i="7"/>
  <c r="AH176" i="7"/>
  <c r="AI176" i="7"/>
  <c r="AJ176" i="7"/>
  <c r="AK176" i="7"/>
  <c r="AL176" i="7"/>
  <c r="AM176" i="7"/>
  <c r="AN176" i="7"/>
  <c r="AO176" i="7"/>
  <c r="AP176" i="7"/>
  <c r="AQ176" i="7"/>
  <c r="AR176" i="7"/>
  <c r="AS176" i="7"/>
  <c r="AT176" i="7"/>
  <c r="AU176" i="7"/>
  <c r="AV176" i="7"/>
  <c r="AW176" i="7"/>
  <c r="AX176" i="7"/>
  <c r="AY176" i="7"/>
  <c r="AZ176" i="7"/>
  <c r="BA176" i="7"/>
  <c r="BB176" i="7"/>
  <c r="BC176" i="7"/>
  <c r="BD176" i="7"/>
  <c r="BE176" i="7"/>
  <c r="BF176" i="7"/>
  <c r="BG176" i="7"/>
  <c r="BH176" i="7"/>
  <c r="BI176" i="7"/>
  <c r="BJ176" i="7"/>
  <c r="BK176" i="7"/>
  <c r="BL176" i="7"/>
  <c r="BM176" i="7"/>
  <c r="BN176" i="7"/>
  <c r="BO176" i="7"/>
  <c r="BP176" i="7"/>
  <c r="BQ176" i="7"/>
  <c r="BR176" i="7"/>
  <c r="BS176" i="7"/>
  <c r="BT176" i="7"/>
  <c r="BU176" i="7"/>
  <c r="AH177" i="7"/>
  <c r="AI177" i="7"/>
  <c r="AJ177" i="7"/>
  <c r="AK177" i="7"/>
  <c r="AL177" i="7"/>
  <c r="AM177" i="7"/>
  <c r="AN177" i="7"/>
  <c r="AO177" i="7"/>
  <c r="AP177" i="7"/>
  <c r="AQ177" i="7"/>
  <c r="AR177" i="7"/>
  <c r="AS177" i="7"/>
  <c r="AT177" i="7"/>
  <c r="AU177" i="7"/>
  <c r="AV177" i="7"/>
  <c r="AW177" i="7"/>
  <c r="AX177" i="7"/>
  <c r="AY177" i="7"/>
  <c r="AZ177" i="7"/>
  <c r="BA177" i="7"/>
  <c r="BB177" i="7"/>
  <c r="BC177" i="7"/>
  <c r="BD177" i="7"/>
  <c r="BE177" i="7"/>
  <c r="BF177" i="7"/>
  <c r="BG177" i="7"/>
  <c r="BH177" i="7"/>
  <c r="BI177" i="7"/>
  <c r="BJ177" i="7"/>
  <c r="BK177" i="7"/>
  <c r="BL177" i="7"/>
  <c r="BM177" i="7"/>
  <c r="BN177" i="7"/>
  <c r="BO177" i="7"/>
  <c r="BP177" i="7"/>
  <c r="BQ177" i="7"/>
  <c r="BR177" i="7"/>
  <c r="BS177" i="7"/>
  <c r="BT177" i="7"/>
  <c r="BU177" i="7"/>
  <c r="AH178" i="7"/>
  <c r="AI178" i="7"/>
  <c r="AJ178" i="7"/>
  <c r="AK178" i="7"/>
  <c r="AL178" i="7"/>
  <c r="AM178" i="7"/>
  <c r="AN178" i="7"/>
  <c r="AO178" i="7"/>
  <c r="AP178" i="7"/>
  <c r="AQ178" i="7"/>
  <c r="AR178" i="7"/>
  <c r="AS178" i="7"/>
  <c r="AT178" i="7"/>
  <c r="AU178" i="7"/>
  <c r="AV178" i="7"/>
  <c r="AW178" i="7"/>
  <c r="AX178" i="7"/>
  <c r="AY178" i="7"/>
  <c r="AZ178" i="7"/>
  <c r="BA178" i="7"/>
  <c r="BB178" i="7"/>
  <c r="BC178" i="7"/>
  <c r="BD178" i="7"/>
  <c r="BE178" i="7"/>
  <c r="BF178" i="7"/>
  <c r="BG178" i="7"/>
  <c r="BH178" i="7"/>
  <c r="BI178" i="7"/>
  <c r="BJ178" i="7"/>
  <c r="BK178" i="7"/>
  <c r="BL178" i="7"/>
  <c r="BM178" i="7"/>
  <c r="BN178" i="7"/>
  <c r="BO178" i="7"/>
  <c r="BP178" i="7"/>
  <c r="BQ178" i="7"/>
  <c r="BR178" i="7"/>
  <c r="BS178" i="7"/>
  <c r="BT178" i="7"/>
  <c r="BU178" i="7"/>
  <c r="AH179" i="7"/>
  <c r="AI179" i="7"/>
  <c r="AJ179" i="7"/>
  <c r="AK179" i="7"/>
  <c r="AL179" i="7"/>
  <c r="AM179" i="7"/>
  <c r="AN179" i="7"/>
  <c r="AO179" i="7"/>
  <c r="AP179" i="7"/>
  <c r="AQ179" i="7"/>
  <c r="AR179" i="7"/>
  <c r="AS179" i="7"/>
  <c r="AT179" i="7"/>
  <c r="AU179" i="7"/>
  <c r="AV179" i="7"/>
  <c r="AW179" i="7"/>
  <c r="AX179" i="7"/>
  <c r="AY179" i="7"/>
  <c r="AZ179" i="7"/>
  <c r="BA179" i="7"/>
  <c r="BB179" i="7"/>
  <c r="BC179" i="7"/>
  <c r="BD179" i="7"/>
  <c r="BE179" i="7"/>
  <c r="BF179" i="7"/>
  <c r="BG179" i="7"/>
  <c r="BH179" i="7"/>
  <c r="BI179" i="7"/>
  <c r="BJ179" i="7"/>
  <c r="BK179" i="7"/>
  <c r="BL179" i="7"/>
  <c r="BM179" i="7"/>
  <c r="BN179" i="7"/>
  <c r="BO179" i="7"/>
  <c r="BP179" i="7"/>
  <c r="BQ179" i="7"/>
  <c r="BR179" i="7"/>
  <c r="BS179" i="7"/>
  <c r="BT179" i="7"/>
  <c r="BU179" i="7"/>
  <c r="AH180" i="7"/>
  <c r="AI180" i="7"/>
  <c r="AJ180" i="7"/>
  <c r="AK180" i="7"/>
  <c r="AL180" i="7"/>
  <c r="AM180" i="7"/>
  <c r="AN180" i="7"/>
  <c r="AO180" i="7"/>
  <c r="AP180" i="7"/>
  <c r="AQ180" i="7"/>
  <c r="AR180" i="7"/>
  <c r="AS180" i="7"/>
  <c r="AT180" i="7"/>
  <c r="AU180" i="7"/>
  <c r="AV180" i="7"/>
  <c r="AW180" i="7"/>
  <c r="AX180" i="7"/>
  <c r="AY180" i="7"/>
  <c r="AZ180" i="7"/>
  <c r="BA180" i="7"/>
  <c r="BB180" i="7"/>
  <c r="BC180" i="7"/>
  <c r="BD180" i="7"/>
  <c r="BE180" i="7"/>
  <c r="BF180" i="7"/>
  <c r="BG180" i="7"/>
  <c r="BH180" i="7"/>
  <c r="BI180" i="7"/>
  <c r="BJ180" i="7"/>
  <c r="BK180" i="7"/>
  <c r="BL180" i="7"/>
  <c r="BM180" i="7"/>
  <c r="BN180" i="7"/>
  <c r="BO180" i="7"/>
  <c r="BP180" i="7"/>
  <c r="BQ180" i="7"/>
  <c r="BR180" i="7"/>
  <c r="BS180" i="7"/>
  <c r="BT180" i="7"/>
  <c r="BU180" i="7"/>
  <c r="AH181" i="7"/>
  <c r="AI181" i="7"/>
  <c r="AJ181" i="7"/>
  <c r="AK181" i="7"/>
  <c r="AL181" i="7"/>
  <c r="AM181" i="7"/>
  <c r="AN181" i="7"/>
  <c r="AO181" i="7"/>
  <c r="AP181" i="7"/>
  <c r="AQ181" i="7"/>
  <c r="AR181" i="7"/>
  <c r="AS181" i="7"/>
  <c r="AT181" i="7"/>
  <c r="AU181" i="7"/>
  <c r="AV181" i="7"/>
  <c r="AW181" i="7"/>
  <c r="AX181" i="7"/>
  <c r="AY181" i="7"/>
  <c r="AZ181" i="7"/>
  <c r="BA181" i="7"/>
  <c r="BB181" i="7"/>
  <c r="BC181" i="7"/>
  <c r="BD181" i="7"/>
  <c r="BE181" i="7"/>
  <c r="BF181" i="7"/>
  <c r="BG181" i="7"/>
  <c r="BH181" i="7"/>
  <c r="BI181" i="7"/>
  <c r="BJ181" i="7"/>
  <c r="BK181" i="7"/>
  <c r="BL181" i="7"/>
  <c r="BM181" i="7"/>
  <c r="BN181" i="7"/>
  <c r="BO181" i="7"/>
  <c r="BP181" i="7"/>
  <c r="BQ181" i="7"/>
  <c r="BR181" i="7"/>
  <c r="BS181" i="7"/>
  <c r="BT181" i="7"/>
  <c r="BU181" i="7"/>
  <c r="AH182" i="7"/>
  <c r="AI182" i="7"/>
  <c r="AJ182" i="7"/>
  <c r="AK182" i="7"/>
  <c r="AL182" i="7"/>
  <c r="AM182" i="7"/>
  <c r="AN182" i="7"/>
  <c r="AO182" i="7"/>
  <c r="AP182" i="7"/>
  <c r="AQ182" i="7"/>
  <c r="AR182" i="7"/>
  <c r="AS182" i="7"/>
  <c r="AT182" i="7"/>
  <c r="AU182" i="7"/>
  <c r="AV182" i="7"/>
  <c r="AW182" i="7"/>
  <c r="AX182" i="7"/>
  <c r="AY182" i="7"/>
  <c r="AZ182" i="7"/>
  <c r="BA182" i="7"/>
  <c r="BB182" i="7"/>
  <c r="BC182" i="7"/>
  <c r="BD182" i="7"/>
  <c r="BE182" i="7"/>
  <c r="BF182" i="7"/>
  <c r="BG182" i="7"/>
  <c r="BH182" i="7"/>
  <c r="BI182" i="7"/>
  <c r="BJ182" i="7"/>
  <c r="BK182" i="7"/>
  <c r="BL182" i="7"/>
  <c r="BM182" i="7"/>
  <c r="BN182" i="7"/>
  <c r="BO182" i="7"/>
  <c r="BP182" i="7"/>
  <c r="BQ182" i="7"/>
  <c r="BR182" i="7"/>
  <c r="BS182" i="7"/>
  <c r="BT182" i="7"/>
  <c r="BU182" i="7"/>
  <c r="AH183" i="7"/>
  <c r="AI183" i="7"/>
  <c r="AJ183" i="7"/>
  <c r="AK183" i="7"/>
  <c r="AL183" i="7"/>
  <c r="AM183" i="7"/>
  <c r="AN183" i="7"/>
  <c r="AO183" i="7"/>
  <c r="AP183" i="7"/>
  <c r="AQ183" i="7"/>
  <c r="AR183" i="7"/>
  <c r="AS183" i="7"/>
  <c r="AT183" i="7"/>
  <c r="AU183" i="7"/>
  <c r="AV183" i="7"/>
  <c r="AW183" i="7"/>
  <c r="AX183" i="7"/>
  <c r="AY183" i="7"/>
  <c r="AZ183" i="7"/>
  <c r="BA183" i="7"/>
  <c r="BB183" i="7"/>
  <c r="BC183" i="7"/>
  <c r="BD183" i="7"/>
  <c r="BE183" i="7"/>
  <c r="BF183" i="7"/>
  <c r="BG183" i="7"/>
  <c r="BH183" i="7"/>
  <c r="BI183" i="7"/>
  <c r="BJ183" i="7"/>
  <c r="BK183" i="7"/>
  <c r="BL183" i="7"/>
  <c r="BM183" i="7"/>
  <c r="BN183" i="7"/>
  <c r="BO183" i="7"/>
  <c r="BP183" i="7"/>
  <c r="BQ183" i="7"/>
  <c r="BR183" i="7"/>
  <c r="BS183" i="7"/>
  <c r="BT183" i="7"/>
  <c r="BU183" i="7"/>
  <c r="AH184" i="7"/>
  <c r="AI184" i="7"/>
  <c r="AJ184" i="7"/>
  <c r="AK184" i="7"/>
  <c r="AL184" i="7"/>
  <c r="AM184" i="7"/>
  <c r="AN184" i="7"/>
  <c r="AO184" i="7"/>
  <c r="AP184" i="7"/>
  <c r="AQ184" i="7"/>
  <c r="AR184" i="7"/>
  <c r="AS184" i="7"/>
  <c r="AT184" i="7"/>
  <c r="AU184" i="7"/>
  <c r="AV184" i="7"/>
  <c r="AW184" i="7"/>
  <c r="AX184" i="7"/>
  <c r="AY184" i="7"/>
  <c r="AZ184" i="7"/>
  <c r="BA184" i="7"/>
  <c r="BB184" i="7"/>
  <c r="BC184" i="7"/>
  <c r="BD184" i="7"/>
  <c r="BE184" i="7"/>
  <c r="BF184" i="7"/>
  <c r="BG184" i="7"/>
  <c r="BH184" i="7"/>
  <c r="BI184" i="7"/>
  <c r="BJ184" i="7"/>
  <c r="BK184" i="7"/>
  <c r="BL184" i="7"/>
  <c r="BM184" i="7"/>
  <c r="BN184" i="7"/>
  <c r="BO184" i="7"/>
  <c r="BP184" i="7"/>
  <c r="BQ184" i="7"/>
  <c r="BR184" i="7"/>
  <c r="BS184" i="7"/>
  <c r="BT184" i="7"/>
  <c r="BU184" i="7"/>
  <c r="AH185" i="7"/>
  <c r="AI185" i="7"/>
  <c r="AJ185" i="7"/>
  <c r="AK185" i="7"/>
  <c r="AL185" i="7"/>
  <c r="AM185" i="7"/>
  <c r="AN185" i="7"/>
  <c r="AO185" i="7"/>
  <c r="AP185" i="7"/>
  <c r="AQ185" i="7"/>
  <c r="AR185" i="7"/>
  <c r="AS185" i="7"/>
  <c r="AT185" i="7"/>
  <c r="AU185" i="7"/>
  <c r="AV185" i="7"/>
  <c r="AW185" i="7"/>
  <c r="AX185" i="7"/>
  <c r="AY185" i="7"/>
  <c r="AZ185" i="7"/>
  <c r="BA185" i="7"/>
  <c r="BB185" i="7"/>
  <c r="BC185" i="7"/>
  <c r="BD185" i="7"/>
  <c r="BE185" i="7"/>
  <c r="BF185" i="7"/>
  <c r="BG185" i="7"/>
  <c r="BH185" i="7"/>
  <c r="BI185" i="7"/>
  <c r="BJ185" i="7"/>
  <c r="BK185" i="7"/>
  <c r="BL185" i="7"/>
  <c r="BM185" i="7"/>
  <c r="BN185" i="7"/>
  <c r="BO185" i="7"/>
  <c r="BP185" i="7"/>
  <c r="BQ185" i="7"/>
  <c r="BR185" i="7"/>
  <c r="BS185" i="7"/>
  <c r="BT185" i="7"/>
  <c r="BU185" i="7"/>
  <c r="AH186" i="7"/>
  <c r="AI186" i="7"/>
  <c r="AJ186" i="7"/>
  <c r="AK186" i="7"/>
  <c r="AL186" i="7"/>
  <c r="AM186" i="7"/>
  <c r="AN186" i="7"/>
  <c r="AO186" i="7"/>
  <c r="AP186" i="7"/>
  <c r="AQ186" i="7"/>
  <c r="AR186" i="7"/>
  <c r="AS186" i="7"/>
  <c r="AT186" i="7"/>
  <c r="AU186" i="7"/>
  <c r="AV186" i="7"/>
  <c r="AW186" i="7"/>
  <c r="AX186" i="7"/>
  <c r="AY186" i="7"/>
  <c r="AZ186" i="7"/>
  <c r="BA186" i="7"/>
  <c r="BB186" i="7"/>
  <c r="BC186" i="7"/>
  <c r="BD186" i="7"/>
  <c r="BE186" i="7"/>
  <c r="BF186" i="7"/>
  <c r="BG186" i="7"/>
  <c r="BH186" i="7"/>
  <c r="BI186" i="7"/>
  <c r="BJ186" i="7"/>
  <c r="BK186" i="7"/>
  <c r="BL186" i="7"/>
  <c r="BM186" i="7"/>
  <c r="BN186" i="7"/>
  <c r="BO186" i="7"/>
  <c r="BP186" i="7"/>
  <c r="BQ186" i="7"/>
  <c r="BR186" i="7"/>
  <c r="BS186" i="7"/>
  <c r="BT186" i="7"/>
  <c r="BU186" i="7"/>
  <c r="AH187" i="7"/>
  <c r="AI187" i="7"/>
  <c r="AJ187" i="7"/>
  <c r="AK187" i="7"/>
  <c r="AL187" i="7"/>
  <c r="AM187" i="7"/>
  <c r="AN187" i="7"/>
  <c r="AO187" i="7"/>
  <c r="AP187" i="7"/>
  <c r="AQ187" i="7"/>
  <c r="AR187" i="7"/>
  <c r="AS187" i="7"/>
  <c r="AT187" i="7"/>
  <c r="AU187" i="7"/>
  <c r="AV187" i="7"/>
  <c r="AW187" i="7"/>
  <c r="AX187" i="7"/>
  <c r="AY187" i="7"/>
  <c r="AZ187" i="7"/>
  <c r="BA187" i="7"/>
  <c r="BB187" i="7"/>
  <c r="BC187" i="7"/>
  <c r="BD187" i="7"/>
  <c r="BE187" i="7"/>
  <c r="BF187" i="7"/>
  <c r="BG187" i="7"/>
  <c r="BH187" i="7"/>
  <c r="BI187" i="7"/>
  <c r="BJ187" i="7"/>
  <c r="BK187" i="7"/>
  <c r="BL187" i="7"/>
  <c r="BM187" i="7"/>
  <c r="BN187" i="7"/>
  <c r="BO187" i="7"/>
  <c r="BP187" i="7"/>
  <c r="BQ187" i="7"/>
  <c r="BR187" i="7"/>
  <c r="BS187" i="7"/>
  <c r="BT187" i="7"/>
  <c r="BU187" i="7"/>
  <c r="AH188" i="7"/>
  <c r="AI188" i="7"/>
  <c r="AJ188" i="7"/>
  <c r="AK188" i="7"/>
  <c r="AL188" i="7"/>
  <c r="AM188" i="7"/>
  <c r="AN188" i="7"/>
  <c r="AO188" i="7"/>
  <c r="AP188" i="7"/>
  <c r="AQ188" i="7"/>
  <c r="AR188" i="7"/>
  <c r="AS188" i="7"/>
  <c r="AT188" i="7"/>
  <c r="AU188" i="7"/>
  <c r="AV188" i="7"/>
  <c r="AW188" i="7"/>
  <c r="AX188" i="7"/>
  <c r="AY188" i="7"/>
  <c r="AZ188" i="7"/>
  <c r="BA188" i="7"/>
  <c r="BB188" i="7"/>
  <c r="BC188" i="7"/>
  <c r="BD188" i="7"/>
  <c r="BE188" i="7"/>
  <c r="BF188" i="7"/>
  <c r="BG188" i="7"/>
  <c r="BH188" i="7"/>
  <c r="BI188" i="7"/>
  <c r="BJ188" i="7"/>
  <c r="BK188" i="7"/>
  <c r="BL188" i="7"/>
  <c r="BM188" i="7"/>
  <c r="BN188" i="7"/>
  <c r="BO188" i="7"/>
  <c r="BP188" i="7"/>
  <c r="BQ188" i="7"/>
  <c r="BR188" i="7"/>
  <c r="BS188" i="7"/>
  <c r="BT188" i="7"/>
  <c r="BU188" i="7"/>
  <c r="AH189" i="7"/>
  <c r="AI189" i="7"/>
  <c r="AJ189" i="7"/>
  <c r="AK189" i="7"/>
  <c r="AL189" i="7"/>
  <c r="AM189" i="7"/>
  <c r="AN189" i="7"/>
  <c r="AO189" i="7"/>
  <c r="AP189" i="7"/>
  <c r="AQ189" i="7"/>
  <c r="AR189" i="7"/>
  <c r="AS189" i="7"/>
  <c r="AT189" i="7"/>
  <c r="AU189" i="7"/>
  <c r="AV189" i="7"/>
  <c r="AW189" i="7"/>
  <c r="AX189" i="7"/>
  <c r="AY189" i="7"/>
  <c r="AZ189" i="7"/>
  <c r="BA189" i="7"/>
  <c r="BB189" i="7"/>
  <c r="BC189" i="7"/>
  <c r="BD189" i="7"/>
  <c r="BE189" i="7"/>
  <c r="BF189" i="7"/>
  <c r="BG189" i="7"/>
  <c r="BH189" i="7"/>
  <c r="BI189" i="7"/>
  <c r="BJ189" i="7"/>
  <c r="BK189" i="7"/>
  <c r="BL189" i="7"/>
  <c r="BM189" i="7"/>
  <c r="BN189" i="7"/>
  <c r="BO189" i="7"/>
  <c r="BP189" i="7"/>
  <c r="BQ189" i="7"/>
  <c r="BR189" i="7"/>
  <c r="BS189" i="7"/>
  <c r="BT189" i="7"/>
  <c r="BU189" i="7"/>
  <c r="AH190" i="7"/>
  <c r="AI190" i="7"/>
  <c r="AJ190" i="7"/>
  <c r="AK190" i="7"/>
  <c r="AL190" i="7"/>
  <c r="AM190" i="7"/>
  <c r="AN190" i="7"/>
  <c r="AO190" i="7"/>
  <c r="AP190" i="7"/>
  <c r="AQ190" i="7"/>
  <c r="AR190" i="7"/>
  <c r="AS190" i="7"/>
  <c r="AT190" i="7"/>
  <c r="AU190" i="7"/>
  <c r="AV190" i="7"/>
  <c r="AW190" i="7"/>
  <c r="AX190" i="7"/>
  <c r="AY190" i="7"/>
  <c r="AZ190" i="7"/>
  <c r="BA190" i="7"/>
  <c r="BB190" i="7"/>
  <c r="BC190" i="7"/>
  <c r="BD190" i="7"/>
  <c r="BE190" i="7"/>
  <c r="BF190" i="7"/>
  <c r="BG190" i="7"/>
  <c r="BH190" i="7"/>
  <c r="BI190" i="7"/>
  <c r="BJ190" i="7"/>
  <c r="BK190" i="7"/>
  <c r="BL190" i="7"/>
  <c r="BM190" i="7"/>
  <c r="BN190" i="7"/>
  <c r="BO190" i="7"/>
  <c r="BP190" i="7"/>
  <c r="BQ190" i="7"/>
  <c r="BR190" i="7"/>
  <c r="BS190" i="7"/>
  <c r="BT190" i="7"/>
  <c r="BU190" i="7"/>
  <c r="AH191" i="7"/>
  <c r="AI191" i="7"/>
  <c r="AJ191" i="7"/>
  <c r="AK191" i="7"/>
  <c r="AL191" i="7"/>
  <c r="AM191" i="7"/>
  <c r="AN191" i="7"/>
  <c r="AO191" i="7"/>
  <c r="AP191" i="7"/>
  <c r="AQ191" i="7"/>
  <c r="AR191" i="7"/>
  <c r="AS191" i="7"/>
  <c r="AT191" i="7"/>
  <c r="AU191" i="7"/>
  <c r="AV191" i="7"/>
  <c r="AW191" i="7"/>
  <c r="AX191" i="7"/>
  <c r="AY191" i="7"/>
  <c r="AZ191" i="7"/>
  <c r="BA191" i="7"/>
  <c r="BB191" i="7"/>
  <c r="BC191" i="7"/>
  <c r="BD191" i="7"/>
  <c r="BE191" i="7"/>
  <c r="BF191" i="7"/>
  <c r="BG191" i="7"/>
  <c r="BH191" i="7"/>
  <c r="BI191" i="7"/>
  <c r="BJ191" i="7"/>
  <c r="BK191" i="7"/>
  <c r="BL191" i="7"/>
  <c r="BM191" i="7"/>
  <c r="BN191" i="7"/>
  <c r="BO191" i="7"/>
  <c r="BP191" i="7"/>
  <c r="BQ191" i="7"/>
  <c r="BR191" i="7"/>
  <c r="BS191" i="7"/>
  <c r="BT191" i="7"/>
  <c r="BU191" i="7"/>
  <c r="AH192" i="7"/>
  <c r="AI192" i="7"/>
  <c r="AJ192" i="7"/>
  <c r="AK192" i="7"/>
  <c r="AL192" i="7"/>
  <c r="AM192" i="7"/>
  <c r="AN192" i="7"/>
  <c r="AO192" i="7"/>
  <c r="AP192" i="7"/>
  <c r="AQ192" i="7"/>
  <c r="AR192" i="7"/>
  <c r="AS192" i="7"/>
  <c r="AT192" i="7"/>
  <c r="AU192" i="7"/>
  <c r="AV192" i="7"/>
  <c r="AW192" i="7"/>
  <c r="AX192" i="7"/>
  <c r="AY192" i="7"/>
  <c r="AZ192" i="7"/>
  <c r="BA192" i="7"/>
  <c r="BB192" i="7"/>
  <c r="BC192" i="7"/>
  <c r="BD192" i="7"/>
  <c r="BE192" i="7"/>
  <c r="BF192" i="7"/>
  <c r="BG192" i="7"/>
  <c r="BH192" i="7"/>
  <c r="BI192" i="7"/>
  <c r="BJ192" i="7"/>
  <c r="BK192" i="7"/>
  <c r="BL192" i="7"/>
  <c r="BM192" i="7"/>
  <c r="BN192" i="7"/>
  <c r="BO192" i="7"/>
  <c r="BP192" i="7"/>
  <c r="BQ192" i="7"/>
  <c r="BR192" i="7"/>
  <c r="BS192" i="7"/>
  <c r="BT192" i="7"/>
  <c r="BU192" i="7"/>
  <c r="AH193" i="7"/>
  <c r="AI193" i="7"/>
  <c r="AJ193" i="7"/>
  <c r="AK193" i="7"/>
  <c r="AL193" i="7"/>
  <c r="AM193" i="7"/>
  <c r="AN193" i="7"/>
  <c r="AO193" i="7"/>
  <c r="AP193" i="7"/>
  <c r="AQ193" i="7"/>
  <c r="AR193" i="7"/>
  <c r="AS193" i="7"/>
  <c r="AT193" i="7"/>
  <c r="AU193" i="7"/>
  <c r="AV193" i="7"/>
  <c r="AW193" i="7"/>
  <c r="AX193" i="7"/>
  <c r="AY193" i="7"/>
  <c r="AZ193" i="7"/>
  <c r="BA193" i="7"/>
  <c r="BB193" i="7"/>
  <c r="BC193" i="7"/>
  <c r="BD193" i="7"/>
  <c r="BE193" i="7"/>
  <c r="BF193" i="7"/>
  <c r="BG193" i="7"/>
  <c r="BH193" i="7"/>
  <c r="BI193" i="7"/>
  <c r="BJ193" i="7"/>
  <c r="BK193" i="7"/>
  <c r="BL193" i="7"/>
  <c r="BM193" i="7"/>
  <c r="BN193" i="7"/>
  <c r="BO193" i="7"/>
  <c r="BP193" i="7"/>
  <c r="BQ193" i="7"/>
  <c r="BR193" i="7"/>
  <c r="BS193" i="7"/>
  <c r="BT193" i="7"/>
  <c r="BU193" i="7"/>
  <c r="AH194" i="7"/>
  <c r="AI194" i="7"/>
  <c r="AJ194" i="7"/>
  <c r="AK194" i="7"/>
  <c r="AL194" i="7"/>
  <c r="AM194" i="7"/>
  <c r="AN194" i="7"/>
  <c r="AO194" i="7"/>
  <c r="AP194" i="7"/>
  <c r="AQ194" i="7"/>
  <c r="AR194" i="7"/>
  <c r="AS194" i="7"/>
  <c r="AT194" i="7"/>
  <c r="AU194" i="7"/>
  <c r="AV194" i="7"/>
  <c r="AW194" i="7"/>
  <c r="AX194" i="7"/>
  <c r="AY194" i="7"/>
  <c r="AZ194" i="7"/>
  <c r="BA194" i="7"/>
  <c r="BB194" i="7"/>
  <c r="BC194" i="7"/>
  <c r="BD194" i="7"/>
  <c r="BE194" i="7"/>
  <c r="BF194" i="7"/>
  <c r="BG194" i="7"/>
  <c r="BH194" i="7"/>
  <c r="BI194" i="7"/>
  <c r="BJ194" i="7"/>
  <c r="BK194" i="7"/>
  <c r="BL194" i="7"/>
  <c r="BM194" i="7"/>
  <c r="BN194" i="7"/>
  <c r="BO194" i="7"/>
  <c r="BP194" i="7"/>
  <c r="BQ194" i="7"/>
  <c r="BR194" i="7"/>
  <c r="BS194" i="7"/>
  <c r="BT194" i="7"/>
  <c r="BU194" i="7"/>
  <c r="AH195" i="7"/>
  <c r="AI195" i="7"/>
  <c r="AJ195" i="7"/>
  <c r="AK195" i="7"/>
  <c r="AL195" i="7"/>
  <c r="AM195" i="7"/>
  <c r="AN195" i="7"/>
  <c r="AO195" i="7"/>
  <c r="AP195" i="7"/>
  <c r="AQ195" i="7"/>
  <c r="AR195" i="7"/>
  <c r="AS195" i="7"/>
  <c r="AT195" i="7"/>
  <c r="AU195" i="7"/>
  <c r="AV195" i="7"/>
  <c r="AW195" i="7"/>
  <c r="AX195" i="7"/>
  <c r="AY195" i="7"/>
  <c r="AZ195" i="7"/>
  <c r="BA195" i="7"/>
  <c r="BB195" i="7"/>
  <c r="BC195" i="7"/>
  <c r="BD195" i="7"/>
  <c r="BE195" i="7"/>
  <c r="BF195" i="7"/>
  <c r="BG195" i="7"/>
  <c r="BH195" i="7"/>
  <c r="BI195" i="7"/>
  <c r="BJ195" i="7"/>
  <c r="BK195" i="7"/>
  <c r="BL195" i="7"/>
  <c r="BM195" i="7"/>
  <c r="BN195" i="7"/>
  <c r="BO195" i="7"/>
  <c r="BP195" i="7"/>
  <c r="BQ195" i="7"/>
  <c r="BR195" i="7"/>
  <c r="BS195" i="7"/>
  <c r="BT195" i="7"/>
  <c r="BU195" i="7"/>
  <c r="AH196" i="7"/>
  <c r="AI196" i="7"/>
  <c r="AJ196" i="7"/>
  <c r="AK196" i="7"/>
  <c r="AL196" i="7"/>
  <c r="AM196" i="7"/>
  <c r="AN196" i="7"/>
  <c r="AO196" i="7"/>
  <c r="AP196" i="7"/>
  <c r="AQ196" i="7"/>
  <c r="AR196" i="7"/>
  <c r="AS196" i="7"/>
  <c r="AT196" i="7"/>
  <c r="AU196" i="7"/>
  <c r="AV196" i="7"/>
  <c r="AW196" i="7"/>
  <c r="AX196" i="7"/>
  <c r="AY196" i="7"/>
  <c r="AZ196" i="7"/>
  <c r="BA196" i="7"/>
  <c r="BB196" i="7"/>
  <c r="BC196" i="7"/>
  <c r="BD196" i="7"/>
  <c r="BE196" i="7"/>
  <c r="BF196" i="7"/>
  <c r="BG196" i="7"/>
  <c r="BH196" i="7"/>
  <c r="BI196" i="7"/>
  <c r="BJ196" i="7"/>
  <c r="BK196" i="7"/>
  <c r="BL196" i="7"/>
  <c r="BM196" i="7"/>
  <c r="BN196" i="7"/>
  <c r="BO196" i="7"/>
  <c r="BP196" i="7"/>
  <c r="BQ196" i="7"/>
  <c r="BR196" i="7"/>
  <c r="BS196" i="7"/>
  <c r="BT196" i="7"/>
  <c r="BU196" i="7"/>
  <c r="AH197" i="7"/>
  <c r="AI197" i="7"/>
  <c r="AJ197" i="7"/>
  <c r="AK197" i="7"/>
  <c r="AL197" i="7"/>
  <c r="AM197" i="7"/>
  <c r="AN197" i="7"/>
  <c r="AO197" i="7"/>
  <c r="AP197" i="7"/>
  <c r="AQ197" i="7"/>
  <c r="AR197" i="7"/>
  <c r="AS197" i="7"/>
  <c r="AT197" i="7"/>
  <c r="AU197" i="7"/>
  <c r="AV197" i="7"/>
  <c r="AW197" i="7"/>
  <c r="AX197" i="7"/>
  <c r="AY197" i="7"/>
  <c r="AZ197" i="7"/>
  <c r="BA197" i="7"/>
  <c r="BB197" i="7"/>
  <c r="BC197" i="7"/>
  <c r="BD197" i="7"/>
  <c r="BE197" i="7"/>
  <c r="BF197" i="7"/>
  <c r="BG197" i="7"/>
  <c r="BH197" i="7"/>
  <c r="BI197" i="7"/>
  <c r="BJ197" i="7"/>
  <c r="BK197" i="7"/>
  <c r="BL197" i="7"/>
  <c r="BM197" i="7"/>
  <c r="BN197" i="7"/>
  <c r="BO197" i="7"/>
  <c r="BP197" i="7"/>
  <c r="BQ197" i="7"/>
  <c r="BR197" i="7"/>
  <c r="BS197" i="7"/>
  <c r="BT197" i="7"/>
  <c r="BU197" i="7"/>
  <c r="AH198" i="7"/>
  <c r="AI198" i="7"/>
  <c r="AJ198" i="7"/>
  <c r="AK198" i="7"/>
  <c r="AL198" i="7"/>
  <c r="AM198" i="7"/>
  <c r="AN198" i="7"/>
  <c r="AO198" i="7"/>
  <c r="AP198" i="7"/>
  <c r="AQ198" i="7"/>
  <c r="AR198" i="7"/>
  <c r="AS198" i="7"/>
  <c r="AT198" i="7"/>
  <c r="AU198" i="7"/>
  <c r="AV198" i="7"/>
  <c r="AW198" i="7"/>
  <c r="AX198" i="7"/>
  <c r="AY198" i="7"/>
  <c r="AZ198" i="7"/>
  <c r="BA198" i="7"/>
  <c r="BB198" i="7"/>
  <c r="BC198" i="7"/>
  <c r="BD198" i="7"/>
  <c r="BE198" i="7"/>
  <c r="BF198" i="7"/>
  <c r="BG198" i="7"/>
  <c r="BH198" i="7"/>
  <c r="BI198" i="7"/>
  <c r="BJ198" i="7"/>
  <c r="BK198" i="7"/>
  <c r="BL198" i="7"/>
  <c r="BM198" i="7"/>
  <c r="BN198" i="7"/>
  <c r="BO198" i="7"/>
  <c r="BP198" i="7"/>
  <c r="BQ198" i="7"/>
  <c r="BR198" i="7"/>
  <c r="BS198" i="7"/>
  <c r="BT198" i="7"/>
  <c r="BU198" i="7"/>
  <c r="AH199" i="7"/>
  <c r="AI199" i="7"/>
  <c r="AJ199" i="7"/>
  <c r="AK199" i="7"/>
  <c r="AL199" i="7"/>
  <c r="AM199" i="7"/>
  <c r="AN199" i="7"/>
  <c r="AO199" i="7"/>
  <c r="AP199" i="7"/>
  <c r="AQ199" i="7"/>
  <c r="AR199" i="7"/>
  <c r="AS199" i="7"/>
  <c r="AT199" i="7"/>
  <c r="AU199" i="7"/>
  <c r="AV199" i="7"/>
  <c r="AW199" i="7"/>
  <c r="AX199" i="7"/>
  <c r="AY199" i="7"/>
  <c r="AZ199" i="7"/>
  <c r="BA199" i="7"/>
  <c r="BB199" i="7"/>
  <c r="BC199" i="7"/>
  <c r="BD199" i="7"/>
  <c r="BE199" i="7"/>
  <c r="BF199" i="7"/>
  <c r="BG199" i="7"/>
  <c r="BH199" i="7"/>
  <c r="BI199" i="7"/>
  <c r="BJ199" i="7"/>
  <c r="BK199" i="7"/>
  <c r="BL199" i="7"/>
  <c r="BM199" i="7"/>
  <c r="BN199" i="7"/>
  <c r="BO199" i="7"/>
  <c r="BP199" i="7"/>
  <c r="BQ199" i="7"/>
  <c r="BR199" i="7"/>
  <c r="BS199" i="7"/>
  <c r="BT199" i="7"/>
  <c r="BU199" i="7"/>
  <c r="AH200" i="7"/>
  <c r="AI200" i="7"/>
  <c r="AJ200" i="7"/>
  <c r="AK200" i="7"/>
  <c r="AL200" i="7"/>
  <c r="AM200" i="7"/>
  <c r="AN200" i="7"/>
  <c r="AO200" i="7"/>
  <c r="AP200" i="7"/>
  <c r="AQ200" i="7"/>
  <c r="AR200" i="7"/>
  <c r="AS200" i="7"/>
  <c r="AT200" i="7"/>
  <c r="AU200" i="7"/>
  <c r="AV200" i="7"/>
  <c r="AW200" i="7"/>
  <c r="AX200" i="7"/>
  <c r="AY200" i="7"/>
  <c r="AZ200" i="7"/>
  <c r="BA200" i="7"/>
  <c r="BB200" i="7"/>
  <c r="BC200" i="7"/>
  <c r="BD200" i="7"/>
  <c r="BE200" i="7"/>
  <c r="BF200" i="7"/>
  <c r="BG200" i="7"/>
  <c r="BH200" i="7"/>
  <c r="BI200" i="7"/>
  <c r="BJ200" i="7"/>
  <c r="BK200" i="7"/>
  <c r="BL200" i="7"/>
  <c r="BM200" i="7"/>
  <c r="BN200" i="7"/>
  <c r="BO200" i="7"/>
  <c r="BP200" i="7"/>
  <c r="BQ200" i="7"/>
  <c r="BR200" i="7"/>
  <c r="BS200" i="7"/>
  <c r="BT200" i="7"/>
  <c r="BU200" i="7"/>
  <c r="AH201" i="7"/>
  <c r="AI201" i="7"/>
  <c r="AJ201" i="7"/>
  <c r="AK201" i="7"/>
  <c r="AL201" i="7"/>
  <c r="AM201" i="7"/>
  <c r="AN201" i="7"/>
  <c r="AO201" i="7"/>
  <c r="AP201" i="7"/>
  <c r="AQ201" i="7"/>
  <c r="AR201" i="7"/>
  <c r="AS201" i="7"/>
  <c r="AT201" i="7"/>
  <c r="AU201" i="7"/>
  <c r="AV201" i="7"/>
  <c r="AW201" i="7"/>
  <c r="AX201" i="7"/>
  <c r="AY201" i="7"/>
  <c r="AZ201" i="7"/>
  <c r="BA201" i="7"/>
  <c r="BB201" i="7"/>
  <c r="BC201" i="7"/>
  <c r="BD201" i="7"/>
  <c r="BE201" i="7"/>
  <c r="BF201" i="7"/>
  <c r="BG201" i="7"/>
  <c r="BH201" i="7"/>
  <c r="BI201" i="7"/>
  <c r="BJ201" i="7"/>
  <c r="BK201" i="7"/>
  <c r="BL201" i="7"/>
  <c r="BM201" i="7"/>
  <c r="BN201" i="7"/>
  <c r="BO201" i="7"/>
  <c r="BP201" i="7"/>
  <c r="BQ201" i="7"/>
  <c r="BR201" i="7"/>
  <c r="BS201" i="7"/>
  <c r="BT201" i="7"/>
  <c r="BU201" i="7"/>
  <c r="AH202" i="7"/>
  <c r="AI202" i="7"/>
  <c r="AJ202" i="7"/>
  <c r="AK202" i="7"/>
  <c r="AL202" i="7"/>
  <c r="AM202" i="7"/>
  <c r="AN202" i="7"/>
  <c r="AO202" i="7"/>
  <c r="AP202" i="7"/>
  <c r="AQ202" i="7"/>
  <c r="AR202" i="7"/>
  <c r="AS202" i="7"/>
  <c r="AT202" i="7"/>
  <c r="AU202" i="7"/>
  <c r="AV202" i="7"/>
  <c r="AW202" i="7"/>
  <c r="AX202" i="7"/>
  <c r="AY202" i="7"/>
  <c r="AZ202" i="7"/>
  <c r="BA202" i="7"/>
  <c r="BB202" i="7"/>
  <c r="BC202" i="7"/>
  <c r="BD202" i="7"/>
  <c r="BE202" i="7"/>
  <c r="BF202" i="7"/>
  <c r="BG202" i="7"/>
  <c r="BH202" i="7"/>
  <c r="BI202" i="7"/>
  <c r="BJ202" i="7"/>
  <c r="BK202" i="7"/>
  <c r="BL202" i="7"/>
  <c r="BM202" i="7"/>
  <c r="BN202" i="7"/>
  <c r="BO202" i="7"/>
  <c r="BP202" i="7"/>
  <c r="BQ202" i="7"/>
  <c r="BR202" i="7"/>
  <c r="BS202" i="7"/>
  <c r="BT202" i="7"/>
  <c r="BU202" i="7"/>
  <c r="AH203" i="7"/>
  <c r="AI203" i="7"/>
  <c r="AJ203" i="7"/>
  <c r="AK203" i="7"/>
  <c r="AL203" i="7"/>
  <c r="AM203" i="7"/>
  <c r="AN203" i="7"/>
  <c r="AO203" i="7"/>
  <c r="AP203" i="7"/>
  <c r="AQ203" i="7"/>
  <c r="AR203" i="7"/>
  <c r="AS203" i="7"/>
  <c r="AT203" i="7"/>
  <c r="AU203" i="7"/>
  <c r="AV203" i="7"/>
  <c r="AW203" i="7"/>
  <c r="AX203" i="7"/>
  <c r="AY203" i="7"/>
  <c r="AZ203" i="7"/>
  <c r="BA203" i="7"/>
  <c r="BB203" i="7"/>
  <c r="BC203" i="7"/>
  <c r="BD203" i="7"/>
  <c r="BE203" i="7"/>
  <c r="BF203" i="7"/>
  <c r="BG203" i="7"/>
  <c r="BH203" i="7"/>
  <c r="BI203" i="7"/>
  <c r="BJ203" i="7"/>
  <c r="BK203" i="7"/>
  <c r="BL203" i="7"/>
  <c r="BM203" i="7"/>
  <c r="BN203" i="7"/>
  <c r="BO203" i="7"/>
  <c r="BP203" i="7"/>
  <c r="BQ203" i="7"/>
  <c r="BR203" i="7"/>
  <c r="BS203" i="7"/>
  <c r="BT203" i="7"/>
  <c r="BU203" i="7"/>
  <c r="AH204" i="7"/>
  <c r="AI204" i="7"/>
  <c r="AJ204" i="7"/>
  <c r="AK204" i="7"/>
  <c r="AL204" i="7"/>
  <c r="AM204" i="7"/>
  <c r="AN204" i="7"/>
  <c r="AO204" i="7"/>
  <c r="AP204" i="7"/>
  <c r="AQ204" i="7"/>
  <c r="AR204" i="7"/>
  <c r="AS204" i="7"/>
  <c r="AT204" i="7"/>
  <c r="AU204" i="7"/>
  <c r="AV204" i="7"/>
  <c r="AW204" i="7"/>
  <c r="AX204" i="7"/>
  <c r="AY204" i="7"/>
  <c r="AZ204" i="7"/>
  <c r="BA204" i="7"/>
  <c r="BB204" i="7"/>
  <c r="BC204" i="7"/>
  <c r="BD204" i="7"/>
  <c r="BE204" i="7"/>
  <c r="BF204" i="7"/>
  <c r="BG204" i="7"/>
  <c r="BH204" i="7"/>
  <c r="BI204" i="7"/>
  <c r="BJ204" i="7"/>
  <c r="BK204" i="7"/>
  <c r="BL204" i="7"/>
  <c r="BM204" i="7"/>
  <c r="BN204" i="7"/>
  <c r="BO204" i="7"/>
  <c r="BP204" i="7"/>
  <c r="BQ204" i="7"/>
  <c r="BR204" i="7"/>
  <c r="BS204" i="7"/>
  <c r="BT204" i="7"/>
  <c r="BU204" i="7"/>
  <c r="AH205" i="7"/>
  <c r="AI205" i="7"/>
  <c r="AJ205" i="7"/>
  <c r="AK205" i="7"/>
  <c r="AL205" i="7"/>
  <c r="AM205" i="7"/>
  <c r="AN205" i="7"/>
  <c r="AO205" i="7"/>
  <c r="AP205" i="7"/>
  <c r="AQ205" i="7"/>
  <c r="AR205" i="7"/>
  <c r="AS205" i="7"/>
  <c r="AT205" i="7"/>
  <c r="AU205" i="7"/>
  <c r="AV205" i="7"/>
  <c r="AW205" i="7"/>
  <c r="AX205" i="7"/>
  <c r="AY205" i="7"/>
  <c r="AZ205" i="7"/>
  <c r="BA205" i="7"/>
  <c r="BB205" i="7"/>
  <c r="BC205" i="7"/>
  <c r="BD205" i="7"/>
  <c r="BE205" i="7"/>
  <c r="BF205" i="7"/>
  <c r="BG205" i="7"/>
  <c r="BH205" i="7"/>
  <c r="BI205" i="7"/>
  <c r="BJ205" i="7"/>
  <c r="BK205" i="7"/>
  <c r="BL205" i="7"/>
  <c r="BM205" i="7"/>
  <c r="BN205" i="7"/>
  <c r="BO205" i="7"/>
  <c r="BP205" i="7"/>
  <c r="BQ205" i="7"/>
  <c r="BR205" i="7"/>
  <c r="BS205" i="7"/>
  <c r="BT205" i="7"/>
  <c r="BU205" i="7"/>
  <c r="AH206" i="7"/>
  <c r="AI206" i="7"/>
  <c r="AJ206" i="7"/>
  <c r="AK206" i="7"/>
  <c r="AL206" i="7"/>
  <c r="AM206" i="7"/>
  <c r="AN206" i="7"/>
  <c r="AO206" i="7"/>
  <c r="AP206" i="7"/>
  <c r="AQ206" i="7"/>
  <c r="AR206" i="7"/>
  <c r="AS206" i="7"/>
  <c r="AT206" i="7"/>
  <c r="AU206" i="7"/>
  <c r="AV206" i="7"/>
  <c r="AW206" i="7"/>
  <c r="AX206" i="7"/>
  <c r="AY206" i="7"/>
  <c r="AZ206" i="7"/>
  <c r="BA206" i="7"/>
  <c r="BB206" i="7"/>
  <c r="BC206" i="7"/>
  <c r="BD206" i="7"/>
  <c r="BE206" i="7"/>
  <c r="BF206" i="7"/>
  <c r="BG206" i="7"/>
  <c r="BH206" i="7"/>
  <c r="BI206" i="7"/>
  <c r="BJ206" i="7"/>
  <c r="BK206" i="7"/>
  <c r="BL206" i="7"/>
  <c r="BM206" i="7"/>
  <c r="BN206" i="7"/>
  <c r="BO206" i="7"/>
  <c r="BP206" i="7"/>
  <c r="BQ206" i="7"/>
  <c r="BR206" i="7"/>
  <c r="BS206" i="7"/>
  <c r="BT206" i="7"/>
  <c r="BU206" i="7"/>
  <c r="AH207" i="7"/>
  <c r="AI207" i="7"/>
  <c r="AJ207" i="7"/>
  <c r="AK207" i="7"/>
  <c r="AL207" i="7"/>
  <c r="AM207" i="7"/>
  <c r="AN207" i="7"/>
  <c r="AO207" i="7"/>
  <c r="AP207" i="7"/>
  <c r="AQ207" i="7"/>
  <c r="AR207" i="7"/>
  <c r="AS207" i="7"/>
  <c r="AT207" i="7"/>
  <c r="AU207" i="7"/>
  <c r="AV207" i="7"/>
  <c r="AW207" i="7"/>
  <c r="AX207" i="7"/>
  <c r="AY207" i="7"/>
  <c r="AZ207" i="7"/>
  <c r="BA207" i="7"/>
  <c r="BB207" i="7"/>
  <c r="BC207" i="7"/>
  <c r="BD207" i="7"/>
  <c r="BE207" i="7"/>
  <c r="BF207" i="7"/>
  <c r="BG207" i="7"/>
  <c r="BH207" i="7"/>
  <c r="BI207" i="7"/>
  <c r="BJ207" i="7"/>
  <c r="BK207" i="7"/>
  <c r="BL207" i="7"/>
  <c r="BM207" i="7"/>
  <c r="BN207" i="7"/>
  <c r="BO207" i="7"/>
  <c r="BP207" i="7"/>
  <c r="BQ207" i="7"/>
  <c r="BR207" i="7"/>
  <c r="BS207" i="7"/>
  <c r="BT207" i="7"/>
  <c r="BU207" i="7"/>
  <c r="AH208" i="7"/>
  <c r="AI208" i="7"/>
  <c r="AJ208" i="7"/>
  <c r="AK208" i="7"/>
  <c r="AL208" i="7"/>
  <c r="AM208" i="7"/>
  <c r="AN208" i="7"/>
  <c r="AO208" i="7"/>
  <c r="AP208" i="7"/>
  <c r="AQ208" i="7"/>
  <c r="AR208" i="7"/>
  <c r="AS208" i="7"/>
  <c r="AT208" i="7"/>
  <c r="AU208" i="7"/>
  <c r="AV208" i="7"/>
  <c r="AW208" i="7"/>
  <c r="AX208" i="7"/>
  <c r="AY208" i="7"/>
  <c r="AZ208" i="7"/>
  <c r="BA208" i="7"/>
  <c r="BB208" i="7"/>
  <c r="BC208" i="7"/>
  <c r="BD208" i="7"/>
  <c r="BE208" i="7"/>
  <c r="BF208" i="7"/>
  <c r="BG208" i="7"/>
  <c r="BH208" i="7"/>
  <c r="BI208" i="7"/>
  <c r="BJ208" i="7"/>
  <c r="BK208" i="7"/>
  <c r="BL208" i="7"/>
  <c r="BM208" i="7"/>
  <c r="BN208" i="7"/>
  <c r="BO208" i="7"/>
  <c r="BP208" i="7"/>
  <c r="BQ208" i="7"/>
  <c r="BR208" i="7"/>
  <c r="BS208" i="7"/>
  <c r="BT208" i="7"/>
  <c r="BU208" i="7"/>
  <c r="AH209" i="7"/>
  <c r="AI209" i="7"/>
  <c r="AJ209" i="7"/>
  <c r="AK209" i="7"/>
  <c r="AL209" i="7"/>
  <c r="AM209" i="7"/>
  <c r="AN209" i="7"/>
  <c r="AO209" i="7"/>
  <c r="AP209" i="7"/>
  <c r="AQ209" i="7"/>
  <c r="AR209" i="7"/>
  <c r="AS209" i="7"/>
  <c r="AT209" i="7"/>
  <c r="AU209" i="7"/>
  <c r="AV209" i="7"/>
  <c r="AW209" i="7"/>
  <c r="AX209" i="7"/>
  <c r="AY209" i="7"/>
  <c r="AZ209" i="7"/>
  <c r="BA209" i="7"/>
  <c r="BB209" i="7"/>
  <c r="BC209" i="7"/>
  <c r="BD209" i="7"/>
  <c r="BE209" i="7"/>
  <c r="BF209" i="7"/>
  <c r="BG209" i="7"/>
  <c r="BH209" i="7"/>
  <c r="BI209" i="7"/>
  <c r="BJ209" i="7"/>
  <c r="BK209" i="7"/>
  <c r="BL209" i="7"/>
  <c r="BM209" i="7"/>
  <c r="BN209" i="7"/>
  <c r="BO209" i="7"/>
  <c r="BP209" i="7"/>
  <c r="BQ209" i="7"/>
  <c r="BR209" i="7"/>
  <c r="BS209" i="7"/>
  <c r="BT209" i="7"/>
  <c r="BU209" i="7"/>
  <c r="AH210" i="7"/>
  <c r="AI210" i="7"/>
  <c r="AJ210" i="7"/>
  <c r="AK210" i="7"/>
  <c r="AL210" i="7"/>
  <c r="AM210" i="7"/>
  <c r="AN210" i="7"/>
  <c r="AO210" i="7"/>
  <c r="AP210" i="7"/>
  <c r="AQ210" i="7"/>
  <c r="AR210" i="7"/>
  <c r="AS210" i="7"/>
  <c r="AT210" i="7"/>
  <c r="AU210" i="7"/>
  <c r="AV210" i="7"/>
  <c r="AW210" i="7"/>
  <c r="AX210" i="7"/>
  <c r="AY210" i="7"/>
  <c r="AZ210" i="7"/>
  <c r="BA210" i="7"/>
  <c r="BB210" i="7"/>
  <c r="BC210" i="7"/>
  <c r="BD210" i="7"/>
  <c r="BE210" i="7"/>
  <c r="BF210" i="7"/>
  <c r="BG210" i="7"/>
  <c r="BH210" i="7"/>
  <c r="BI210" i="7"/>
  <c r="BJ210" i="7"/>
  <c r="BK210" i="7"/>
  <c r="BL210" i="7"/>
  <c r="BM210" i="7"/>
  <c r="BN210" i="7"/>
  <c r="BO210" i="7"/>
  <c r="BP210" i="7"/>
  <c r="BQ210" i="7"/>
  <c r="BR210" i="7"/>
  <c r="BS210" i="7"/>
  <c r="BT210" i="7"/>
  <c r="BU210" i="7"/>
  <c r="AH211" i="7"/>
  <c r="AI211" i="7"/>
  <c r="AJ211" i="7"/>
  <c r="AK211" i="7"/>
  <c r="AL211" i="7"/>
  <c r="AM211" i="7"/>
  <c r="AN211" i="7"/>
  <c r="AO211" i="7"/>
  <c r="AP211" i="7"/>
  <c r="AQ211" i="7"/>
  <c r="AR211" i="7"/>
  <c r="AS211" i="7"/>
  <c r="AT211" i="7"/>
  <c r="AU211" i="7"/>
  <c r="AV211" i="7"/>
  <c r="AW211" i="7"/>
  <c r="AX211" i="7"/>
  <c r="AY211" i="7"/>
  <c r="AZ211" i="7"/>
  <c r="BA211" i="7"/>
  <c r="BB211" i="7"/>
  <c r="BC211" i="7"/>
  <c r="BD211" i="7"/>
  <c r="BE211" i="7"/>
  <c r="BF211" i="7"/>
  <c r="BG211" i="7"/>
  <c r="BH211" i="7"/>
  <c r="BI211" i="7"/>
  <c r="BJ211" i="7"/>
  <c r="BK211" i="7"/>
  <c r="BL211" i="7"/>
  <c r="BM211" i="7"/>
  <c r="BN211" i="7"/>
  <c r="BO211" i="7"/>
  <c r="BP211" i="7"/>
  <c r="BQ211" i="7"/>
  <c r="BR211" i="7"/>
  <c r="BS211" i="7"/>
  <c r="BT211" i="7"/>
  <c r="BU211" i="7"/>
  <c r="AH212" i="7"/>
  <c r="AI212" i="7"/>
  <c r="AJ212" i="7"/>
  <c r="AK212" i="7"/>
  <c r="AL212" i="7"/>
  <c r="AM212" i="7"/>
  <c r="AN212" i="7"/>
  <c r="AO212" i="7"/>
  <c r="AP212" i="7"/>
  <c r="AQ212" i="7"/>
  <c r="AR212" i="7"/>
  <c r="AS212" i="7"/>
  <c r="AT212" i="7"/>
  <c r="AU212" i="7"/>
  <c r="AV212" i="7"/>
  <c r="AW212" i="7"/>
  <c r="AX212" i="7"/>
  <c r="AY212" i="7"/>
  <c r="AZ212" i="7"/>
  <c r="BA212" i="7"/>
  <c r="BB212" i="7"/>
  <c r="BC212" i="7"/>
  <c r="BD212" i="7"/>
  <c r="BE212" i="7"/>
  <c r="BF212" i="7"/>
  <c r="BG212" i="7"/>
  <c r="BH212" i="7"/>
  <c r="BI212" i="7"/>
  <c r="BJ212" i="7"/>
  <c r="BK212" i="7"/>
  <c r="BL212" i="7"/>
  <c r="BM212" i="7"/>
  <c r="BN212" i="7"/>
  <c r="BO212" i="7"/>
  <c r="BP212" i="7"/>
  <c r="BQ212" i="7"/>
  <c r="BR212" i="7"/>
  <c r="BS212" i="7"/>
  <c r="BT212" i="7"/>
  <c r="BU212" i="7"/>
  <c r="W5" i="7"/>
  <c r="X5" i="7"/>
  <c r="W6" i="7"/>
  <c r="X6" i="7"/>
  <c r="W7" i="7"/>
  <c r="X7" i="7"/>
  <c r="W8" i="7"/>
  <c r="X8" i="7"/>
  <c r="W9" i="7"/>
  <c r="X9" i="7"/>
  <c r="W10" i="7"/>
  <c r="X10" i="7"/>
  <c r="W11" i="7"/>
  <c r="X11" i="7"/>
  <c r="W12" i="7"/>
  <c r="X12" i="7"/>
  <c r="W13" i="7"/>
  <c r="X13" i="7"/>
  <c r="W14" i="7"/>
  <c r="X14" i="7"/>
  <c r="W15" i="7"/>
  <c r="X15" i="7"/>
  <c r="W16" i="7"/>
  <c r="X16" i="7"/>
  <c r="W17" i="7"/>
  <c r="X17" i="7"/>
  <c r="W18" i="7"/>
  <c r="X18" i="7"/>
  <c r="W19" i="7"/>
  <c r="X19" i="7"/>
  <c r="W20" i="7"/>
  <c r="X20" i="7"/>
  <c r="W21" i="7"/>
  <c r="X21" i="7"/>
  <c r="W22" i="7"/>
  <c r="X22" i="7"/>
  <c r="W23" i="7"/>
  <c r="X23" i="7"/>
  <c r="W24" i="7"/>
  <c r="X24" i="7"/>
  <c r="W25" i="7"/>
  <c r="X25" i="7"/>
  <c r="W26" i="7"/>
  <c r="X26" i="7"/>
  <c r="W27" i="7"/>
  <c r="X27" i="7"/>
  <c r="W28" i="7"/>
  <c r="X28" i="7"/>
  <c r="W29" i="7"/>
  <c r="X29" i="7"/>
  <c r="W30" i="7"/>
  <c r="X30" i="7"/>
  <c r="W31" i="7"/>
  <c r="X31" i="7"/>
  <c r="W32" i="7"/>
  <c r="X32" i="7"/>
  <c r="W33" i="7"/>
  <c r="X33" i="7"/>
  <c r="W34" i="7"/>
  <c r="X34" i="7"/>
  <c r="W35" i="7"/>
  <c r="X35" i="7"/>
  <c r="W36" i="7"/>
  <c r="X36" i="7"/>
  <c r="W37" i="7"/>
  <c r="X37" i="7"/>
  <c r="W38" i="7"/>
  <c r="X38" i="7"/>
  <c r="X4" i="7"/>
  <c r="W4" i="7"/>
  <c r="T5" i="7"/>
  <c r="U5" i="7"/>
  <c r="T6" i="7"/>
  <c r="U6" i="7"/>
  <c r="T7" i="7"/>
  <c r="U7" i="7"/>
  <c r="T8" i="7"/>
  <c r="U8" i="7"/>
  <c r="T9" i="7"/>
  <c r="U9" i="7"/>
  <c r="T10" i="7"/>
  <c r="U10" i="7"/>
  <c r="T11" i="7"/>
  <c r="U11" i="7"/>
  <c r="T12" i="7"/>
  <c r="U12" i="7"/>
  <c r="T13" i="7"/>
  <c r="U13" i="7"/>
  <c r="T14" i="7"/>
  <c r="U14" i="7"/>
  <c r="T15" i="7"/>
  <c r="U15" i="7"/>
  <c r="T16" i="7"/>
  <c r="U16" i="7"/>
  <c r="T17" i="7"/>
  <c r="U17" i="7"/>
  <c r="T18" i="7"/>
  <c r="U18" i="7"/>
  <c r="T19" i="7"/>
  <c r="U19" i="7"/>
  <c r="T20" i="7"/>
  <c r="U20" i="7"/>
  <c r="T21" i="7"/>
  <c r="U21" i="7"/>
  <c r="T22" i="7"/>
  <c r="U22" i="7"/>
  <c r="T23" i="7"/>
  <c r="U23" i="7"/>
  <c r="T24" i="7"/>
  <c r="U24" i="7"/>
  <c r="T25" i="7"/>
  <c r="U25" i="7"/>
  <c r="T26" i="7"/>
  <c r="U26" i="7"/>
  <c r="T27" i="7"/>
  <c r="U27" i="7"/>
  <c r="T28" i="7"/>
  <c r="U28" i="7"/>
  <c r="T29" i="7"/>
  <c r="U29" i="7"/>
  <c r="T30" i="7"/>
  <c r="U30" i="7"/>
  <c r="T31" i="7"/>
  <c r="U31" i="7"/>
  <c r="T32" i="7"/>
  <c r="U32" i="7"/>
  <c r="T33" i="7"/>
  <c r="U33" i="7"/>
  <c r="T34" i="7"/>
  <c r="U34" i="7"/>
  <c r="T35" i="7"/>
  <c r="U35" i="7"/>
  <c r="T36" i="7"/>
  <c r="U36" i="7"/>
  <c r="T37" i="7"/>
  <c r="U37" i="7"/>
  <c r="T38" i="7"/>
  <c r="U38" i="7"/>
  <c r="U4" i="7"/>
  <c r="T4" i="7"/>
  <c r="Q5" i="7"/>
  <c r="R5" i="7"/>
  <c r="Q6" i="7"/>
  <c r="R6" i="7"/>
  <c r="Q7" i="7"/>
  <c r="R7" i="7"/>
  <c r="Q8" i="7"/>
  <c r="R8" i="7"/>
  <c r="Q9" i="7"/>
  <c r="R9" i="7"/>
  <c r="Q10" i="7"/>
  <c r="R10" i="7"/>
  <c r="Q11" i="7"/>
  <c r="R11" i="7"/>
  <c r="Q12" i="7"/>
  <c r="R12" i="7"/>
  <c r="Q13" i="7"/>
  <c r="R13" i="7"/>
  <c r="Q14" i="7"/>
  <c r="R14" i="7"/>
  <c r="Q15" i="7"/>
  <c r="R15" i="7"/>
  <c r="Q16" i="7"/>
  <c r="R16" i="7"/>
  <c r="Q17" i="7"/>
  <c r="R17" i="7"/>
  <c r="Q18" i="7"/>
  <c r="R18" i="7"/>
  <c r="Q19" i="7"/>
  <c r="R19" i="7"/>
  <c r="Q20" i="7"/>
  <c r="R20" i="7"/>
  <c r="Q21" i="7"/>
  <c r="R21" i="7"/>
  <c r="Q22" i="7"/>
  <c r="R22" i="7"/>
  <c r="Q23" i="7"/>
  <c r="R23" i="7"/>
  <c r="Q24" i="7"/>
  <c r="R24" i="7"/>
  <c r="Q25" i="7"/>
  <c r="R25" i="7"/>
  <c r="Q26" i="7"/>
  <c r="R26" i="7"/>
  <c r="Q27" i="7"/>
  <c r="R27" i="7"/>
  <c r="Q28" i="7"/>
  <c r="R28" i="7"/>
  <c r="Q29" i="7"/>
  <c r="R29" i="7"/>
  <c r="Q30" i="7"/>
  <c r="R30" i="7"/>
  <c r="Q31" i="7"/>
  <c r="R31" i="7"/>
  <c r="Q32" i="7"/>
  <c r="R32" i="7"/>
  <c r="Q33" i="7"/>
  <c r="R33" i="7"/>
  <c r="Q34" i="7"/>
  <c r="R34" i="7"/>
  <c r="Q35" i="7"/>
  <c r="R35" i="7"/>
  <c r="Q36" i="7"/>
  <c r="R36" i="7"/>
  <c r="Q37" i="7"/>
  <c r="R37" i="7"/>
  <c r="Q38" i="7"/>
  <c r="R38" i="7"/>
  <c r="R4" i="7"/>
  <c r="Q4" i="7"/>
  <c r="O5" i="7"/>
  <c r="O6" i="7"/>
  <c r="O7" i="7"/>
  <c r="O8" i="7"/>
  <c r="O9" i="7"/>
  <c r="O10" i="7"/>
  <c r="O11" i="7"/>
  <c r="O12" i="7"/>
  <c r="O13" i="7"/>
  <c r="O14" i="7"/>
  <c r="O15" i="7"/>
  <c r="O16" i="7"/>
  <c r="O17" i="7"/>
  <c r="O18" i="7"/>
  <c r="O19" i="7"/>
  <c r="O20" i="7"/>
  <c r="O21" i="7"/>
  <c r="O22" i="7"/>
  <c r="O23" i="7"/>
  <c r="O24" i="7"/>
  <c r="O25" i="7"/>
  <c r="O26" i="7"/>
  <c r="O27" i="7"/>
  <c r="O28" i="7"/>
  <c r="O29" i="7"/>
  <c r="O30" i="7"/>
  <c r="O31" i="7"/>
  <c r="O32" i="7"/>
  <c r="O33" i="7"/>
  <c r="O34" i="7"/>
  <c r="O35" i="7"/>
  <c r="O36" i="7"/>
  <c r="O37" i="7"/>
  <c r="O38" i="7"/>
  <c r="O4" i="7"/>
  <c r="N5" i="7"/>
  <c r="N6" i="7"/>
  <c r="N7" i="7"/>
  <c r="N8" i="7"/>
  <c r="N9" i="7"/>
  <c r="N10" i="7"/>
  <c r="N11" i="7"/>
  <c r="N12" i="7"/>
  <c r="N13" i="7"/>
  <c r="N14" i="7"/>
  <c r="N15" i="7"/>
  <c r="N16" i="7"/>
  <c r="N17" i="7"/>
  <c r="N18" i="7"/>
  <c r="N19" i="7"/>
  <c r="N20" i="7"/>
  <c r="N21" i="7"/>
  <c r="N22" i="7"/>
  <c r="N23" i="7"/>
  <c r="N24" i="7"/>
  <c r="N25" i="7"/>
  <c r="N26" i="7"/>
  <c r="N27" i="7"/>
  <c r="N28" i="7"/>
  <c r="N29" i="7"/>
  <c r="N30" i="7"/>
  <c r="N31" i="7"/>
  <c r="N32" i="7"/>
  <c r="N33" i="7"/>
  <c r="N34" i="7"/>
  <c r="N35" i="7"/>
  <c r="N36" i="7"/>
  <c r="N37" i="7"/>
  <c r="N38" i="7"/>
  <c r="N4" i="7"/>
  <c r="AM28" i="9" l="1"/>
  <c r="AU28" i="9"/>
  <c r="AT28" i="9"/>
  <c r="AL28" i="9"/>
  <c r="CW113" i="7"/>
  <c r="CW197" i="7"/>
  <c r="CH173" i="7"/>
  <c r="CH149" i="7"/>
  <c r="CB164" i="7"/>
  <c r="CA154" i="7"/>
  <c r="DD199" i="7"/>
  <c r="DC196" i="7"/>
  <c r="DC193" i="7"/>
  <c r="CI149" i="7"/>
  <c r="CA196" i="7"/>
  <c r="DC157" i="7"/>
  <c r="DC151" i="7"/>
  <c r="DD118" i="7"/>
  <c r="DD121" i="7"/>
  <c r="DC167" i="7"/>
  <c r="DC164" i="7"/>
  <c r="DD131" i="7"/>
  <c r="DC128" i="7"/>
  <c r="DD182" i="7"/>
  <c r="DD192" i="7"/>
  <c r="DC174" i="7"/>
  <c r="DD168" i="7"/>
  <c r="DD211" i="7"/>
  <c r="DC132" i="7"/>
  <c r="CV195" i="7"/>
  <c r="CV180" i="7"/>
  <c r="CV177" i="7"/>
  <c r="CV152" i="7"/>
  <c r="CV150" i="7"/>
  <c r="CW149" i="7"/>
  <c r="CV137" i="7"/>
  <c r="CP178" i="7"/>
  <c r="CO199" i="7"/>
  <c r="CO147" i="7"/>
  <c r="CO162" i="7"/>
  <c r="CO158" i="7"/>
  <c r="CO168" i="7"/>
  <c r="CO160" i="7"/>
  <c r="CP154" i="7"/>
  <c r="CO185" i="7"/>
  <c r="CH191" i="7"/>
  <c r="CI140" i="7"/>
  <c r="CB142" i="7"/>
  <c r="CV187" i="7"/>
  <c r="CV181" i="7"/>
  <c r="CW144" i="7"/>
  <c r="CW120" i="7"/>
  <c r="CV157" i="7"/>
  <c r="CW126" i="7"/>
  <c r="CV123" i="7"/>
  <c r="CW173" i="7"/>
  <c r="CV162" i="7"/>
  <c r="CV153" i="7"/>
  <c r="CW141" i="7"/>
  <c r="CW137" i="7"/>
  <c r="CP202" i="7"/>
  <c r="CP131" i="7"/>
  <c r="CP128" i="7"/>
  <c r="CP125" i="7"/>
  <c r="CO175" i="7"/>
  <c r="CP172" i="7"/>
  <c r="CP207" i="7"/>
  <c r="CO164" i="7"/>
  <c r="CO174" i="7"/>
  <c r="CP205" i="7"/>
  <c r="CO186" i="7"/>
  <c r="CO161" i="7"/>
  <c r="CI155" i="7"/>
  <c r="CI191" i="7"/>
  <c r="CI173" i="7"/>
  <c r="CA195" i="7"/>
  <c r="CA192" i="7"/>
  <c r="CA202" i="7"/>
  <c r="CA161" i="7"/>
  <c r="CH184" i="7"/>
  <c r="CI130" i="7"/>
  <c r="CI165" i="7"/>
  <c r="CI159" i="7"/>
  <c r="CH156" i="7"/>
  <c r="CB188" i="7"/>
  <c r="CA166" i="7"/>
  <c r="CB135" i="7"/>
  <c r="CA170" i="7"/>
  <c r="CB118" i="7"/>
  <c r="CA118" i="7"/>
  <c r="CA171" i="7"/>
  <c r="CA153" i="7"/>
  <c r="CA150" i="7"/>
  <c r="CB202" i="7"/>
  <c r="DC182" i="7"/>
  <c r="CH172" i="7"/>
  <c r="CV170" i="7"/>
  <c r="CB170" i="7"/>
  <c r="DC165" i="7"/>
  <c r="CP158" i="7"/>
  <c r="CO157" i="7"/>
  <c r="CB154" i="7"/>
  <c r="CA151" i="7"/>
  <c r="CH148" i="7"/>
  <c r="CB140" i="7"/>
  <c r="CO132" i="7"/>
  <c r="CW130" i="7"/>
  <c r="CV127" i="7"/>
  <c r="DD125" i="7"/>
  <c r="DC122" i="7"/>
  <c r="CB121" i="7"/>
  <c r="CV163" i="7"/>
  <c r="CI116" i="7"/>
  <c r="CO211" i="7"/>
  <c r="CA209" i="7"/>
  <c r="CI204" i="7"/>
  <c r="CH201" i="7"/>
  <c r="CV200" i="7"/>
  <c r="CH190" i="7"/>
  <c r="CA189" i="7"/>
  <c r="CB178" i="7"/>
  <c r="CW167" i="7"/>
  <c r="CA167" i="7"/>
  <c r="CV155" i="7"/>
  <c r="CP146" i="7"/>
  <c r="CO136" i="7"/>
  <c r="CI129" i="7"/>
  <c r="CP127" i="7"/>
  <c r="CA178" i="7"/>
  <c r="CV159" i="7"/>
  <c r="CO192" i="7"/>
  <c r="CI183" i="7"/>
  <c r="CB168" i="7"/>
  <c r="CB160" i="7"/>
  <c r="CH153" i="7"/>
  <c r="CO150" i="7"/>
  <c r="CP124" i="7"/>
  <c r="CV113" i="7"/>
  <c r="CH113" i="7"/>
  <c r="CI141" i="7"/>
  <c r="CI119" i="7"/>
  <c r="CP192" i="7"/>
  <c r="CW187" i="7"/>
  <c r="CB182" i="7"/>
  <c r="CH180" i="7"/>
  <c r="CH165" i="7"/>
  <c r="CA160" i="7"/>
  <c r="CV156" i="7"/>
  <c r="CI153" i="7"/>
  <c r="DC142" i="7"/>
  <c r="DD132" i="7"/>
  <c r="CW131" i="7"/>
  <c r="CO130" i="7"/>
  <c r="CA128" i="7"/>
  <c r="CH123" i="7"/>
  <c r="CW210" i="7"/>
  <c r="DC202" i="7"/>
  <c r="CH187" i="7"/>
  <c r="CP182" i="7"/>
  <c r="DC181" i="7"/>
  <c r="CP160" i="7"/>
  <c r="DD139" i="7"/>
  <c r="CP122" i="7"/>
  <c r="CP121" i="7"/>
  <c r="CW119" i="7"/>
  <c r="CO118" i="7"/>
  <c r="DC152" i="7"/>
  <c r="CP142" i="7"/>
  <c r="CW172" i="7"/>
  <c r="CA172" i="7"/>
  <c r="CO171" i="7"/>
  <c r="CH166" i="7"/>
  <c r="CI163" i="7"/>
  <c r="CH162" i="7"/>
  <c r="DC158" i="7"/>
  <c r="CW153" i="7"/>
  <c r="DD150" i="7"/>
  <c r="CW148" i="7"/>
  <c r="CO144" i="7"/>
  <c r="DC124" i="7"/>
  <c r="DD114" i="7"/>
  <c r="CB113" i="7"/>
  <c r="CH197" i="7"/>
  <c r="CO114" i="7"/>
  <c r="DD205" i="7"/>
  <c r="CV201" i="7"/>
  <c r="DD196" i="7"/>
  <c r="CH196" i="7"/>
  <c r="CV191" i="7"/>
  <c r="CO182" i="7"/>
  <c r="DC178" i="7"/>
  <c r="CI177" i="7"/>
  <c r="CV173" i="7"/>
  <c r="CH155" i="7"/>
  <c r="DC154" i="7"/>
  <c r="CO151" i="7"/>
  <c r="CO148" i="7"/>
  <c r="CB145" i="7"/>
  <c r="CH133" i="7"/>
  <c r="CA120" i="7"/>
  <c r="DD209" i="7"/>
  <c r="DC189" i="7"/>
  <c r="DC185" i="7"/>
  <c r="CA184" i="7"/>
  <c r="CA142" i="7"/>
  <c r="DC148" i="7"/>
  <c r="CO198" i="7"/>
  <c r="CH193" i="7"/>
  <c r="CB150" i="7"/>
  <c r="CO142" i="7"/>
  <c r="CV133" i="7"/>
  <c r="CW127" i="7"/>
  <c r="CB114" i="7"/>
  <c r="CI212" i="7"/>
  <c r="CP168" i="7"/>
  <c r="DD164" i="7"/>
  <c r="DC147" i="7"/>
  <c r="CW136" i="7"/>
  <c r="CP135" i="7"/>
  <c r="CA124" i="7"/>
  <c r="DD115" i="7"/>
  <c r="CW206" i="7"/>
  <c r="CO200" i="7"/>
  <c r="CV198" i="7"/>
  <c r="DC195" i="7"/>
  <c r="CV194" i="7"/>
  <c r="CV188" i="7"/>
  <c r="CA188" i="7"/>
  <c r="CO181" i="7"/>
  <c r="DC169" i="7"/>
  <c r="CH169" i="7"/>
  <c r="CH161" i="7"/>
  <c r="DD144" i="7"/>
  <c r="CW143" i="7"/>
  <c r="CH139" i="7"/>
  <c r="CP136" i="7"/>
  <c r="DC135" i="7"/>
  <c r="CI135" i="7"/>
  <c r="CA134" i="7"/>
  <c r="CW124" i="7"/>
  <c r="CB122" i="7"/>
  <c r="DC114" i="7"/>
  <c r="CV206" i="7"/>
  <c r="CH204" i="7"/>
  <c r="DC186" i="7"/>
  <c r="CB148" i="7"/>
  <c r="CB147" i="7"/>
  <c r="DD145" i="7"/>
  <c r="CP141" i="7"/>
  <c r="CA138" i="7"/>
  <c r="DD136" i="7"/>
  <c r="DC126" i="7"/>
  <c r="CH115" i="7"/>
  <c r="CI208" i="7"/>
  <c r="DC200" i="7"/>
  <c r="CH200" i="7"/>
  <c r="CI197" i="7"/>
  <c r="CI190" i="7"/>
  <c r="CV174" i="7"/>
  <c r="CA174" i="7"/>
  <c r="CV169" i="7"/>
  <c r="CW163" i="7"/>
  <c r="DD158" i="7"/>
  <c r="CW155" i="7"/>
  <c r="CV151" i="7"/>
  <c r="CP150" i="7"/>
  <c r="CO146" i="7"/>
  <c r="DD142" i="7"/>
  <c r="CI136" i="7"/>
  <c r="CO134" i="7"/>
  <c r="CI133" i="7"/>
  <c r="DD126" i="7"/>
  <c r="CV119" i="7"/>
  <c r="CP118" i="7"/>
  <c r="CP209" i="7"/>
  <c r="DC190" i="7"/>
  <c r="CO188" i="7"/>
  <c r="DD175" i="7"/>
  <c r="DC120" i="7"/>
  <c r="CA117" i="7"/>
  <c r="CV210" i="7"/>
  <c r="CB207" i="7"/>
  <c r="CA203" i="7"/>
  <c r="CO202" i="7"/>
  <c r="CO193" i="7"/>
  <c r="DC192" i="7"/>
  <c r="CH186" i="7"/>
  <c r="CA185" i="7"/>
  <c r="CV179" i="7"/>
  <c r="CO178" i="7"/>
  <c r="CP177" i="7"/>
  <c r="DD176" i="7"/>
  <c r="CH176" i="7"/>
  <c r="DC171" i="7"/>
  <c r="CO167" i="7"/>
  <c r="CO137" i="7"/>
  <c r="CI132" i="7"/>
  <c r="CP129" i="7"/>
  <c r="CO128" i="7"/>
  <c r="CI126" i="7"/>
  <c r="CB124" i="7"/>
  <c r="CP117" i="7"/>
  <c r="CB211" i="7"/>
  <c r="CH208" i="7"/>
  <c r="CW204" i="7"/>
  <c r="CV190" i="7"/>
  <c r="DC188" i="7"/>
  <c r="CI187" i="7"/>
  <c r="CV186" i="7"/>
  <c r="DD172" i="7"/>
  <c r="CP147" i="7"/>
  <c r="CB139" i="7"/>
  <c r="CO138" i="7"/>
  <c r="CI137" i="7"/>
  <c r="CV131" i="7"/>
  <c r="CV125" i="7"/>
  <c r="DD122" i="7"/>
  <c r="CP149" i="7"/>
  <c r="DD148" i="7"/>
  <c r="CI146" i="7"/>
  <c r="CH141" i="7"/>
  <c r="CO124" i="7"/>
  <c r="CI123" i="7"/>
  <c r="CB115" i="7"/>
  <c r="CA114" i="7"/>
  <c r="CH212" i="7"/>
  <c r="CW208" i="7"/>
  <c r="DC205" i="7"/>
  <c r="CO203" i="7"/>
  <c r="CB195" i="7"/>
  <c r="CO184" i="7"/>
  <c r="CW180" i="7"/>
  <c r="CO179" i="7"/>
  <c r="CV176" i="7"/>
  <c r="CB131" i="7"/>
  <c r="DD128" i="7"/>
  <c r="CI122" i="7"/>
  <c r="DD117" i="7"/>
  <c r="CH117" i="7"/>
  <c r="CA113" i="7"/>
  <c r="CW212" i="7"/>
  <c r="DC209" i="7"/>
  <c r="CI206" i="7"/>
  <c r="CA191" i="7"/>
  <c r="CH183" i="7"/>
  <c r="CI182" i="7"/>
  <c r="DD174" i="7"/>
  <c r="CA165" i="7"/>
  <c r="CA164" i="7"/>
  <c r="CB163" i="7"/>
  <c r="CH160" i="7"/>
  <c r="CH159" i="7"/>
  <c r="CB153" i="7"/>
  <c r="DD147" i="7"/>
  <c r="CH147" i="7"/>
  <c r="DD138" i="7"/>
  <c r="CI134" i="7"/>
  <c r="CP211" i="7"/>
  <c r="CB209" i="7"/>
  <c r="CA205" i="7"/>
  <c r="CH203" i="7"/>
  <c r="CW201" i="7"/>
  <c r="CA201" i="7"/>
  <c r="DC199" i="7"/>
  <c r="CH198" i="7"/>
  <c r="CV197" i="7"/>
  <c r="CB196" i="7"/>
  <c r="CO195" i="7"/>
  <c r="CV193" i="7"/>
  <c r="CB192" i="7"/>
  <c r="CO191" i="7"/>
  <c r="CP186" i="7"/>
  <c r="CW181" i="7"/>
  <c r="CA181" i="7"/>
  <c r="CH179" i="7"/>
  <c r="CW177" i="7"/>
  <c r="CV172" i="7"/>
  <c r="DD162" i="7"/>
  <c r="DC161" i="7"/>
  <c r="CI158" i="7"/>
  <c r="CO155" i="7"/>
  <c r="CO154" i="7"/>
  <c r="DC150" i="7"/>
  <c r="CA146" i="7"/>
  <c r="DD143" i="7"/>
  <c r="CH143" i="7"/>
  <c r="CH142" i="7"/>
  <c r="CH129" i="7"/>
  <c r="CB128" i="7"/>
  <c r="CW123" i="7"/>
  <c r="DD119" i="7"/>
  <c r="CH119" i="7"/>
  <c r="DC118" i="7"/>
  <c r="CI117" i="7"/>
  <c r="CW116" i="7"/>
  <c r="CI210" i="7"/>
  <c r="CO207" i="7"/>
  <c r="CA186" i="7"/>
  <c r="CV183" i="7"/>
  <c r="CA177" i="7"/>
  <c r="DC175" i="7"/>
  <c r="DC168" i="7"/>
  <c r="DD167" i="7"/>
  <c r="CH167" i="7"/>
  <c r="CV166" i="7"/>
  <c r="CP164" i="7"/>
  <c r="CW159" i="7"/>
  <c r="CB158" i="7"/>
  <c r="CA157" i="7"/>
  <c r="CP153" i="7"/>
  <c r="CI148" i="7"/>
  <c r="CA147" i="7"/>
  <c r="CP144" i="7"/>
  <c r="CB141" i="7"/>
  <c r="CB137" i="7"/>
  <c r="CW133" i="7"/>
  <c r="CB127" i="7"/>
  <c r="CW122" i="7"/>
  <c r="CA122" i="7"/>
  <c r="CW117" i="7"/>
  <c r="CB117" i="7"/>
  <c r="CP114" i="7"/>
  <c r="DD207" i="7"/>
  <c r="CA198" i="7"/>
  <c r="CO196" i="7"/>
  <c r="CP185" i="7"/>
  <c r="CB171" i="7"/>
  <c r="CV160" i="7"/>
  <c r="CW157" i="7"/>
  <c r="DD154" i="7"/>
  <c r="CH152" i="7"/>
  <c r="CV149" i="7"/>
  <c r="CA148" i="7"/>
  <c r="CW134" i="7"/>
  <c r="CB134" i="7"/>
  <c r="CP132" i="7"/>
  <c r="CV129" i="7"/>
  <c r="CA116" i="7"/>
  <c r="CI113" i="7"/>
  <c r="CO189" i="7"/>
  <c r="CO152" i="7"/>
  <c r="DC211" i="7"/>
  <c r="CH210" i="7"/>
  <c r="CV208" i="7"/>
  <c r="CA207" i="7"/>
  <c r="CO205" i="7"/>
  <c r="DC176" i="7"/>
  <c r="CO176" i="7"/>
  <c r="CP176" i="7"/>
  <c r="CV171" i="7"/>
  <c r="CW171" i="7"/>
  <c r="CI164" i="7"/>
  <c r="CH164" i="7"/>
  <c r="CV161" i="7"/>
  <c r="CW161" i="7"/>
  <c r="CO156" i="7"/>
  <c r="CH151" i="7"/>
  <c r="CI151" i="7"/>
  <c r="CV147" i="7"/>
  <c r="CW147" i="7"/>
  <c r="CV142" i="7"/>
  <c r="CW142" i="7"/>
  <c r="DD173" i="7"/>
  <c r="DC173" i="7"/>
  <c r="CH194" i="7"/>
  <c r="CV199" i="7"/>
  <c r="DC194" i="7"/>
  <c r="CA190" i="7"/>
  <c r="DC212" i="7"/>
  <c r="DD212" i="7"/>
  <c r="CH211" i="7"/>
  <c r="CI211" i="7"/>
  <c r="CV209" i="7"/>
  <c r="CW209" i="7"/>
  <c r="CA208" i="7"/>
  <c r="CB208" i="7"/>
  <c r="CO206" i="7"/>
  <c r="CP206" i="7"/>
  <c r="CP183" i="7"/>
  <c r="CO183" i="7"/>
  <c r="CI174" i="7"/>
  <c r="CH174" i="7"/>
  <c r="CP169" i="7"/>
  <c r="CO169" i="7"/>
  <c r="DC166" i="7"/>
  <c r="DD166" i="7"/>
  <c r="DD153" i="7"/>
  <c r="DC153" i="7"/>
  <c r="DD152" i="7"/>
  <c r="CI192" i="7"/>
  <c r="CH192" i="7"/>
  <c r="CA156" i="7"/>
  <c r="CB156" i="7"/>
  <c r="CA206" i="7"/>
  <c r="CB206" i="7"/>
  <c r="CH185" i="7"/>
  <c r="DC180" i="7"/>
  <c r="DD180" i="7"/>
  <c r="DC155" i="7"/>
  <c r="DC204" i="7"/>
  <c r="DD204" i="7"/>
  <c r="CW202" i="7"/>
  <c r="CV202" i="7"/>
  <c r="CA200" i="7"/>
  <c r="CB200" i="7"/>
  <c r="DD197" i="7"/>
  <c r="DC197" i="7"/>
  <c r="CH195" i="7"/>
  <c r="CI195" i="7"/>
  <c r="CB193" i="7"/>
  <c r="CA193" i="7"/>
  <c r="CO190" i="7"/>
  <c r="CP190" i="7"/>
  <c r="CI188" i="7"/>
  <c r="CH188" i="7"/>
  <c r="CV185" i="7"/>
  <c r="CW185" i="7"/>
  <c r="CB179" i="7"/>
  <c r="CA179" i="7"/>
  <c r="CI175" i="7"/>
  <c r="CH175" i="7"/>
  <c r="CO170" i="7"/>
  <c r="CP170" i="7"/>
  <c r="CP148" i="7"/>
  <c r="CO212" i="7"/>
  <c r="CP212" i="7"/>
  <c r="CV184" i="7"/>
  <c r="CV141" i="7"/>
  <c r="CV165" i="7"/>
  <c r="CW165" i="7"/>
  <c r="CW164" i="7"/>
  <c r="CV164" i="7"/>
  <c r="CP159" i="7"/>
  <c r="CO159" i="7"/>
  <c r="DC156" i="7"/>
  <c r="DD156" i="7"/>
  <c r="CH144" i="7"/>
  <c r="CI144" i="7"/>
  <c r="CB197" i="7"/>
  <c r="CA197" i="7"/>
  <c r="CP187" i="7"/>
  <c r="CO187" i="7"/>
  <c r="DD149" i="7"/>
  <c r="DC149" i="7"/>
  <c r="DC203" i="7"/>
  <c r="CV211" i="7"/>
  <c r="CW211" i="7"/>
  <c r="CA210" i="7"/>
  <c r="CB210" i="7"/>
  <c r="CO208" i="7"/>
  <c r="CP208" i="7"/>
  <c r="DC206" i="7"/>
  <c r="DD206" i="7"/>
  <c r="CH205" i="7"/>
  <c r="CI205" i="7"/>
  <c r="CV203" i="7"/>
  <c r="CW203" i="7"/>
  <c r="DD200" i="7"/>
  <c r="DC198" i="7"/>
  <c r="DD198" i="7"/>
  <c r="CA194" i="7"/>
  <c r="CB194" i="7"/>
  <c r="CH189" i="7"/>
  <c r="CI189" i="7"/>
  <c r="CA175" i="7"/>
  <c r="CB173" i="7"/>
  <c r="CA173" i="7"/>
  <c r="CB172" i="7"/>
  <c r="CH170" i="7"/>
  <c r="CI168" i="7"/>
  <c r="CH168" i="7"/>
  <c r="CI167" i="7"/>
  <c r="CA162" i="7"/>
  <c r="CB149" i="7"/>
  <c r="CA149" i="7"/>
  <c r="CH209" i="7"/>
  <c r="CI209" i="7"/>
  <c r="CA199" i="7"/>
  <c r="CH181" i="7"/>
  <c r="CI181" i="7"/>
  <c r="CB205" i="7"/>
  <c r="DD183" i="7"/>
  <c r="DC183" i="7"/>
  <c r="CB180" i="7"/>
  <c r="CA180" i="7"/>
  <c r="DD177" i="7"/>
  <c r="DC177" i="7"/>
  <c r="CH177" i="7"/>
  <c r="CV175" i="7"/>
  <c r="DC172" i="7"/>
  <c r="CO172" i="7"/>
  <c r="DC170" i="7"/>
  <c r="CA168" i="7"/>
  <c r="CV167" i="7"/>
  <c r="CO165" i="7"/>
  <c r="DC210" i="7"/>
  <c r="DD210" i="7"/>
  <c r="CW178" i="7"/>
  <c r="CV178" i="7"/>
  <c r="CV212" i="7"/>
  <c r="CA211" i="7"/>
  <c r="CO209" i="7"/>
  <c r="DC207" i="7"/>
  <c r="CH206" i="7"/>
  <c r="CV204" i="7"/>
  <c r="CB203" i="7"/>
  <c r="CP201" i="7"/>
  <c r="CO201" i="7"/>
  <c r="CP200" i="7"/>
  <c r="CI198" i="7"/>
  <c r="CW196" i="7"/>
  <c r="CV196" i="7"/>
  <c r="CW195" i="7"/>
  <c r="CP193" i="7"/>
  <c r="DD191" i="7"/>
  <c r="DC191" i="7"/>
  <c r="DD190" i="7"/>
  <c r="CW188" i="7"/>
  <c r="CB187" i="7"/>
  <c r="CA187" i="7"/>
  <c r="CB186" i="7"/>
  <c r="DC160" i="7"/>
  <c r="DD160" i="7"/>
  <c r="CW154" i="7"/>
  <c r="CV154" i="7"/>
  <c r="CA152" i="7"/>
  <c r="CB152" i="7"/>
  <c r="DC146" i="7"/>
  <c r="DD146" i="7"/>
  <c r="DD201" i="7"/>
  <c r="DC201" i="7"/>
  <c r="CO166" i="7"/>
  <c r="CP166" i="7"/>
  <c r="CV207" i="7"/>
  <c r="CW207" i="7"/>
  <c r="CA158" i="7"/>
  <c r="CA212" i="7"/>
  <c r="CB212" i="7"/>
  <c r="CO210" i="7"/>
  <c r="CP210" i="7"/>
  <c r="DC208" i="7"/>
  <c r="DD208" i="7"/>
  <c r="CI201" i="7"/>
  <c r="CP196" i="7"/>
  <c r="CW191" i="7"/>
  <c r="DD186" i="7"/>
  <c r="DC179" i="7"/>
  <c r="CP163" i="7"/>
  <c r="CO163" i="7"/>
  <c r="DC162" i="7"/>
  <c r="CP162" i="7"/>
  <c r="CH157" i="7"/>
  <c r="CW139" i="7"/>
  <c r="CV139" i="7"/>
  <c r="CB169" i="7"/>
  <c r="CA169" i="7"/>
  <c r="CO204" i="7"/>
  <c r="CP204" i="7"/>
  <c r="CW158" i="7"/>
  <c r="CV158" i="7"/>
  <c r="CH207" i="7"/>
  <c r="CI207" i="7"/>
  <c r="CV205" i="7"/>
  <c r="CW205" i="7"/>
  <c r="CA204" i="7"/>
  <c r="CB204" i="7"/>
  <c r="DD203" i="7"/>
  <c r="CH199" i="7"/>
  <c r="CI199" i="7"/>
  <c r="CO194" i="7"/>
  <c r="CP194" i="7"/>
  <c r="CW189" i="7"/>
  <c r="CV189" i="7"/>
  <c r="DD184" i="7"/>
  <c r="DC184" i="7"/>
  <c r="CW182" i="7"/>
  <c r="CV182" i="7"/>
  <c r="CA182" i="7"/>
  <c r="CO180" i="7"/>
  <c r="CA176" i="7"/>
  <c r="CB176" i="7"/>
  <c r="CH171" i="7"/>
  <c r="CI171" i="7"/>
  <c r="CH163" i="7"/>
  <c r="CV140" i="7"/>
  <c r="CW140" i="7"/>
  <c r="DC134" i="7"/>
  <c r="DD134" i="7"/>
  <c r="CI202" i="7"/>
  <c r="CP197" i="7"/>
  <c r="CW192" i="7"/>
  <c r="DD187" i="7"/>
  <c r="CB183" i="7"/>
  <c r="CI178" i="7"/>
  <c r="CP173" i="7"/>
  <c r="CW168" i="7"/>
  <c r="DD163" i="7"/>
  <c r="CB159" i="7"/>
  <c r="CI154" i="7"/>
  <c r="CH145" i="7"/>
  <c r="CI145" i="7"/>
  <c r="CI143" i="7"/>
  <c r="CV132" i="7"/>
  <c r="CW132" i="7"/>
  <c r="CA132" i="7"/>
  <c r="DD129" i="7"/>
  <c r="DC127" i="7"/>
  <c r="DD127" i="7"/>
  <c r="CH127" i="7"/>
  <c r="CB125" i="7"/>
  <c r="CA123" i="7"/>
  <c r="CB123" i="7"/>
  <c r="CO122" i="7"/>
  <c r="CI120" i="7"/>
  <c r="CH118" i="7"/>
  <c r="CI118" i="7"/>
  <c r="CV117" i="7"/>
  <c r="CP115" i="7"/>
  <c r="CO113" i="7"/>
  <c r="CP113" i="7"/>
  <c r="CB155" i="7"/>
  <c r="CP203" i="7"/>
  <c r="DD202" i="7"/>
  <c r="CW198" i="7"/>
  <c r="CB198" i="7"/>
  <c r="DD193" i="7"/>
  <c r="CI193" i="7"/>
  <c r="CB189" i="7"/>
  <c r="CP188" i="7"/>
  <c r="CI184" i="7"/>
  <c r="CW183" i="7"/>
  <c r="CP179" i="7"/>
  <c r="DD178" i="7"/>
  <c r="CW174" i="7"/>
  <c r="CB174" i="7"/>
  <c r="DD169" i="7"/>
  <c r="CI169" i="7"/>
  <c r="CB165" i="7"/>
  <c r="CI160" i="7"/>
  <c r="CP155" i="7"/>
  <c r="CW150" i="7"/>
  <c r="CA144" i="7"/>
  <c r="CA140" i="7"/>
  <c r="CP139" i="7"/>
  <c r="CH137" i="7"/>
  <c r="DD159" i="7"/>
  <c r="CV143" i="7"/>
  <c r="CP138" i="7"/>
  <c r="DC136" i="7"/>
  <c r="CH135" i="7"/>
  <c r="CI203" i="7"/>
  <c r="CB199" i="7"/>
  <c r="CP198" i="7"/>
  <c r="CI194" i="7"/>
  <c r="CW193" i="7"/>
  <c r="CP189" i="7"/>
  <c r="DD188" i="7"/>
  <c r="CW184" i="7"/>
  <c r="CB184" i="7"/>
  <c r="DD179" i="7"/>
  <c r="CI179" i="7"/>
  <c r="CB175" i="7"/>
  <c r="CP174" i="7"/>
  <c r="CI170" i="7"/>
  <c r="CW169" i="7"/>
  <c r="CP165" i="7"/>
  <c r="CW160" i="7"/>
  <c r="DD155" i="7"/>
  <c r="CB151" i="7"/>
  <c r="CV145" i="7"/>
  <c r="CW145" i="7"/>
  <c r="CA143" i="7"/>
  <c r="CB143" i="7"/>
  <c r="DC130" i="7"/>
  <c r="DD130" i="7"/>
  <c r="CA126" i="7"/>
  <c r="CB126" i="7"/>
  <c r="CH121" i="7"/>
  <c r="CI121" i="7"/>
  <c r="CO116" i="7"/>
  <c r="CP116" i="7"/>
  <c r="CI150" i="7"/>
  <c r="CW146" i="7"/>
  <c r="CP199" i="7"/>
  <c r="CW194" i="7"/>
  <c r="DD189" i="7"/>
  <c r="CB185" i="7"/>
  <c r="CP184" i="7"/>
  <c r="CI180" i="7"/>
  <c r="CW179" i="7"/>
  <c r="CP175" i="7"/>
  <c r="CW170" i="7"/>
  <c r="DD165" i="7"/>
  <c r="CB161" i="7"/>
  <c r="CI156" i="7"/>
  <c r="CP151" i="7"/>
  <c r="CO140" i="7"/>
  <c r="CP140" i="7"/>
  <c r="DC138" i="7"/>
  <c r="CV135" i="7"/>
  <c r="CW135" i="7"/>
  <c r="CO133" i="7"/>
  <c r="CP133" i="7"/>
  <c r="CV128" i="7"/>
  <c r="CW128" i="7"/>
  <c r="DC123" i="7"/>
  <c r="DD123" i="7"/>
  <c r="CA119" i="7"/>
  <c r="CB119" i="7"/>
  <c r="CH114" i="7"/>
  <c r="CI114" i="7"/>
  <c r="CI166" i="7"/>
  <c r="CA163" i="7"/>
  <c r="CP161" i="7"/>
  <c r="CH158" i="7"/>
  <c r="CW156" i="7"/>
  <c r="CO153" i="7"/>
  <c r="DD151" i="7"/>
  <c r="CV148" i="7"/>
  <c r="CH138" i="7"/>
  <c r="CI138" i="7"/>
  <c r="CO177" i="7"/>
  <c r="CI200" i="7"/>
  <c r="CW199" i="7"/>
  <c r="CP195" i="7"/>
  <c r="DD194" i="7"/>
  <c r="CW190" i="7"/>
  <c r="CB190" i="7"/>
  <c r="DD185" i="7"/>
  <c r="CI185" i="7"/>
  <c r="CB181" i="7"/>
  <c r="CP180" i="7"/>
  <c r="CI176" i="7"/>
  <c r="CW175" i="7"/>
  <c r="CP171" i="7"/>
  <c r="DD170" i="7"/>
  <c r="CW166" i="7"/>
  <c r="CB166" i="7"/>
  <c r="DD161" i="7"/>
  <c r="CI161" i="7"/>
  <c r="CB157" i="7"/>
  <c r="CP156" i="7"/>
  <c r="CI152" i="7"/>
  <c r="CW151" i="7"/>
  <c r="CB146" i="7"/>
  <c r="CO143" i="7"/>
  <c r="CP143" i="7"/>
  <c r="CB138" i="7"/>
  <c r="CH182" i="7"/>
  <c r="CH202" i="7"/>
  <c r="CW200" i="7"/>
  <c r="CO197" i="7"/>
  <c r="DD195" i="7"/>
  <c r="CV192" i="7"/>
  <c r="CB191" i="7"/>
  <c r="DC187" i="7"/>
  <c r="CI186" i="7"/>
  <c r="CA183" i="7"/>
  <c r="CP181" i="7"/>
  <c r="CH178" i="7"/>
  <c r="CW176" i="7"/>
  <c r="CO173" i="7"/>
  <c r="DD171" i="7"/>
  <c r="CV168" i="7"/>
  <c r="CB167" i="7"/>
  <c r="DC163" i="7"/>
  <c r="CI162" i="7"/>
  <c r="CA159" i="7"/>
  <c r="CP157" i="7"/>
  <c r="CH154" i="7"/>
  <c r="CW152" i="7"/>
  <c r="CO149" i="7"/>
  <c r="CI147" i="7"/>
  <c r="CO145" i="7"/>
  <c r="CP145" i="7"/>
  <c r="CI142" i="7"/>
  <c r="DD141" i="7"/>
  <c r="DC133" i="7"/>
  <c r="DD133" i="7"/>
  <c r="CH131" i="7"/>
  <c r="CI131" i="7"/>
  <c r="CA129" i="7"/>
  <c r="CB129" i="7"/>
  <c r="CO126" i="7"/>
  <c r="CP126" i="7"/>
  <c r="CH124" i="7"/>
  <c r="CI124" i="7"/>
  <c r="CV121" i="7"/>
  <c r="DC116" i="7"/>
  <c r="CB201" i="7"/>
  <c r="CI196" i="7"/>
  <c r="CP191" i="7"/>
  <c r="CW186" i="7"/>
  <c r="DD181" i="7"/>
  <c r="CB177" i="7"/>
  <c r="CI172" i="7"/>
  <c r="CP167" i="7"/>
  <c r="CW162" i="7"/>
  <c r="CB162" i="7"/>
  <c r="DD157" i="7"/>
  <c r="CI157" i="7"/>
  <c r="CP152" i="7"/>
  <c r="DC140" i="7"/>
  <c r="DD140" i="7"/>
  <c r="CA136" i="7"/>
  <c r="CB136" i="7"/>
  <c r="DC159" i="7"/>
  <c r="CA155" i="7"/>
  <c r="CH150" i="7"/>
  <c r="DC144" i="7"/>
  <c r="CV138" i="7"/>
  <c r="CW138" i="7"/>
  <c r="CP137" i="7"/>
  <c r="CB132" i="7"/>
  <c r="CA130" i="7"/>
  <c r="CB130" i="7"/>
  <c r="CI127" i="7"/>
  <c r="CH125" i="7"/>
  <c r="CI125" i="7"/>
  <c r="CO120" i="7"/>
  <c r="CP120" i="7"/>
  <c r="CV115" i="7"/>
  <c r="CW115" i="7"/>
  <c r="DC137" i="7"/>
  <c r="CA133" i="7"/>
  <c r="CH128" i="7"/>
  <c r="CO123" i="7"/>
  <c r="CV118" i="7"/>
  <c r="DC113" i="7"/>
  <c r="CO119" i="7"/>
  <c r="CV114" i="7"/>
  <c r="DC143" i="7"/>
  <c r="CA139" i="7"/>
  <c r="DD135" i="7"/>
  <c r="CH134" i="7"/>
  <c r="CO129" i="7"/>
  <c r="CV124" i="7"/>
  <c r="DC119" i="7"/>
  <c r="CA115" i="7"/>
  <c r="CO139" i="7"/>
  <c r="CV134" i="7"/>
  <c r="DC129" i="7"/>
  <c r="CA125" i="7"/>
  <c r="CH120" i="7"/>
  <c r="CO115" i="7"/>
  <c r="CV144" i="7"/>
  <c r="CB144" i="7"/>
  <c r="DC139" i="7"/>
  <c r="CI139" i="7"/>
  <c r="CA135" i="7"/>
  <c r="CP134" i="7"/>
  <c r="CH130" i="7"/>
  <c r="CW129" i="7"/>
  <c r="CO125" i="7"/>
  <c r="DD124" i="7"/>
  <c r="CV120" i="7"/>
  <c r="CB120" i="7"/>
  <c r="DC115" i="7"/>
  <c r="CI115" i="7"/>
  <c r="CA145" i="7"/>
  <c r="CH140" i="7"/>
  <c r="CO135" i="7"/>
  <c r="CV130" i="7"/>
  <c r="DC125" i="7"/>
  <c r="CA121" i="7"/>
  <c r="CH116" i="7"/>
  <c r="CA131" i="7"/>
  <c r="CP130" i="7"/>
  <c r="CH126" i="7"/>
  <c r="CW125" i="7"/>
  <c r="CO121" i="7"/>
  <c r="DD120" i="7"/>
  <c r="CV116" i="7"/>
  <c r="CB116" i="7"/>
  <c r="DC145" i="7"/>
  <c r="CA141" i="7"/>
  <c r="DD137" i="7"/>
  <c r="CH136" i="7"/>
  <c r="CB133" i="7"/>
  <c r="CO131" i="7"/>
  <c r="CI128" i="7"/>
  <c r="CV126" i="7"/>
  <c r="CP123" i="7"/>
  <c r="DC121" i="7"/>
  <c r="CW118" i="7"/>
  <c r="DD113" i="7"/>
  <c r="CH146" i="7"/>
  <c r="CO141" i="7"/>
  <c r="CV136" i="7"/>
  <c r="DC131" i="7"/>
  <c r="CA127" i="7"/>
  <c r="CH122" i="7"/>
  <c r="CW121" i="7"/>
  <c r="CO117" i="7"/>
  <c r="DD116" i="7"/>
  <c r="CV146" i="7"/>
  <c r="DC141" i="7"/>
  <c r="CA137" i="7"/>
  <c r="CH132" i="7"/>
  <c r="CO127" i="7"/>
  <c r="CV122" i="7"/>
  <c r="CP119" i="7"/>
  <c r="DC117" i="7"/>
  <c r="CW114" i="7"/>
  <c r="BO66" i="8" l="1"/>
  <c r="BN66" i="8"/>
  <c r="BM66" i="8"/>
  <c r="BL66" i="8"/>
  <c r="BK66" i="8"/>
  <c r="BJ66" i="8"/>
  <c r="BI66" i="8"/>
  <c r="BH66" i="8"/>
  <c r="BG66" i="8"/>
  <c r="BF66" i="8"/>
  <c r="BE66" i="8"/>
  <c r="BD66" i="8"/>
  <c r="BC66" i="8"/>
  <c r="BB66" i="8"/>
  <c r="BA66" i="8"/>
  <c r="BO65" i="8"/>
  <c r="BN65" i="8"/>
  <c r="BM65" i="8"/>
  <c r="BL65" i="8"/>
  <c r="BK65" i="8"/>
  <c r="BJ65" i="8"/>
  <c r="BI65" i="8"/>
  <c r="BH65" i="8"/>
  <c r="BG65" i="8"/>
  <c r="BF65" i="8"/>
  <c r="BE65" i="8"/>
  <c r="BD65" i="8"/>
  <c r="BC65" i="8"/>
  <c r="BB65" i="8"/>
  <c r="BA65" i="8"/>
  <c r="BO64" i="8"/>
  <c r="BN64" i="8"/>
  <c r="BM64" i="8"/>
  <c r="BL64" i="8"/>
  <c r="BK64" i="8"/>
  <c r="BJ64" i="8"/>
  <c r="BI64" i="8"/>
  <c r="BH64" i="8"/>
  <c r="BG64" i="8"/>
  <c r="BF64" i="8"/>
  <c r="BE64" i="8"/>
  <c r="BD64" i="8"/>
  <c r="BC64" i="8"/>
  <c r="BB64" i="8"/>
  <c r="BA64" i="8"/>
  <c r="BO63" i="8"/>
  <c r="BN63" i="8"/>
  <c r="BM63" i="8"/>
  <c r="BL63" i="8"/>
  <c r="BK63" i="8"/>
  <c r="BJ63" i="8"/>
  <c r="BI63" i="8"/>
  <c r="BH63" i="8"/>
  <c r="BG63" i="8"/>
  <c r="BF63" i="8"/>
  <c r="BE63" i="8"/>
  <c r="BD63" i="8"/>
  <c r="BC63" i="8"/>
  <c r="BB63" i="8"/>
  <c r="BA63" i="8"/>
  <c r="BO62" i="8"/>
  <c r="BN62" i="8"/>
  <c r="BM62" i="8"/>
  <c r="BL62" i="8"/>
  <c r="BK62" i="8"/>
  <c r="BJ62" i="8"/>
  <c r="BI62" i="8"/>
  <c r="BH62" i="8"/>
  <c r="BG62" i="8"/>
  <c r="BF62" i="8"/>
  <c r="BE62" i="8"/>
  <c r="BD62" i="8"/>
  <c r="BC62" i="8"/>
  <c r="BB62" i="8"/>
  <c r="BA62" i="8"/>
  <c r="BO61" i="8"/>
  <c r="BN61" i="8"/>
  <c r="BM61" i="8"/>
  <c r="BL61" i="8"/>
  <c r="BK61" i="8"/>
  <c r="BJ61" i="8"/>
  <c r="BI61" i="8"/>
  <c r="BH61" i="8"/>
  <c r="BG61" i="8"/>
  <c r="BF61" i="8"/>
  <c r="BE61" i="8"/>
  <c r="BD61" i="8"/>
  <c r="BC61" i="8"/>
  <c r="BB61" i="8"/>
  <c r="BA61" i="8"/>
  <c r="BO60" i="8"/>
  <c r="BN60" i="8"/>
  <c r="BM60" i="8"/>
  <c r="BL60" i="8"/>
  <c r="BK60" i="8"/>
  <c r="BJ60" i="8"/>
  <c r="BI60" i="8"/>
  <c r="BH60" i="8"/>
  <c r="BG60" i="8"/>
  <c r="BF60" i="8"/>
  <c r="BE60" i="8"/>
  <c r="BD60" i="8"/>
  <c r="BC60" i="8"/>
  <c r="BB60" i="8"/>
  <c r="BA60" i="8"/>
  <c r="BO59" i="8"/>
  <c r="BN59" i="8"/>
  <c r="BM59" i="8"/>
  <c r="BL59" i="8"/>
  <c r="BK59" i="8"/>
  <c r="BJ59" i="8"/>
  <c r="BI59" i="8"/>
  <c r="BH59" i="8"/>
  <c r="BG59" i="8"/>
  <c r="BF59" i="8"/>
  <c r="BE59" i="8"/>
  <c r="BD59" i="8"/>
  <c r="BC59" i="8"/>
  <c r="BB59" i="8"/>
  <c r="BA59" i="8"/>
  <c r="BO58" i="8"/>
  <c r="BN58" i="8"/>
  <c r="BM58" i="8"/>
  <c r="BL58" i="8"/>
  <c r="BK58" i="8"/>
  <c r="BJ58" i="8"/>
  <c r="BI58" i="8"/>
  <c r="BH58" i="8"/>
  <c r="BG58" i="8"/>
  <c r="BF58" i="8"/>
  <c r="BE58" i="8"/>
  <c r="BD58" i="8"/>
  <c r="BC58" i="8"/>
  <c r="BB58" i="8"/>
  <c r="BA58" i="8"/>
  <c r="BO57" i="8"/>
  <c r="BN57" i="8"/>
  <c r="BM57" i="8"/>
  <c r="BL57" i="8"/>
  <c r="BK57" i="8"/>
  <c r="BJ57" i="8"/>
  <c r="BI57" i="8"/>
  <c r="BH57" i="8"/>
  <c r="BG57" i="8"/>
  <c r="BF57" i="8"/>
  <c r="BE57" i="8"/>
  <c r="BD57" i="8"/>
  <c r="BC57" i="8"/>
  <c r="BB57" i="8"/>
  <c r="BA57" i="8"/>
  <c r="BO56" i="8"/>
  <c r="BN56" i="8"/>
  <c r="BM56" i="8"/>
  <c r="BL56" i="8"/>
  <c r="BK56" i="8"/>
  <c r="BJ56" i="8"/>
  <c r="BI56" i="8"/>
  <c r="BH56" i="8"/>
  <c r="BG56" i="8"/>
  <c r="BF56" i="8"/>
  <c r="BE56" i="8"/>
  <c r="BD56" i="8"/>
  <c r="BC56" i="8"/>
  <c r="BB56" i="8"/>
  <c r="BA56" i="8"/>
  <c r="BO55" i="8"/>
  <c r="BN55" i="8"/>
  <c r="BM55" i="8"/>
  <c r="BL55" i="8"/>
  <c r="BK55" i="8"/>
  <c r="BJ55" i="8"/>
  <c r="BI55" i="8"/>
  <c r="BH55" i="8"/>
  <c r="BG55" i="8"/>
  <c r="BF55" i="8"/>
  <c r="BE55" i="8"/>
  <c r="BD55" i="8"/>
  <c r="BC55" i="8"/>
  <c r="BB55" i="8"/>
  <c r="BA55" i="8"/>
  <c r="BO54" i="8"/>
  <c r="BN54" i="8"/>
  <c r="BM54" i="8"/>
  <c r="BL54" i="8"/>
  <c r="BK54" i="8"/>
  <c r="BJ54" i="8"/>
  <c r="BI54" i="8"/>
  <c r="BH54" i="8"/>
  <c r="BG54" i="8"/>
  <c r="BF54" i="8"/>
  <c r="BE54" i="8"/>
  <c r="BD54" i="8"/>
  <c r="BC54" i="8"/>
  <c r="BB54" i="8"/>
  <c r="BA54" i="8"/>
  <c r="BO53" i="8"/>
  <c r="BN53" i="8"/>
  <c r="BM53" i="8"/>
  <c r="BL53" i="8"/>
  <c r="BK53" i="8"/>
  <c r="BJ53" i="8"/>
  <c r="BI53" i="8"/>
  <c r="BH53" i="8"/>
  <c r="BG53" i="8"/>
  <c r="BF53" i="8"/>
  <c r="BE53" i="8"/>
  <c r="BD53" i="8"/>
  <c r="BC53" i="8"/>
  <c r="BB53" i="8"/>
  <c r="BA53" i="8"/>
  <c r="BO52" i="8"/>
  <c r="BN52" i="8"/>
  <c r="BM52" i="8"/>
  <c r="BL52" i="8"/>
  <c r="BK52" i="8"/>
  <c r="BJ52" i="8"/>
  <c r="BI52" i="8"/>
  <c r="BH52" i="8"/>
  <c r="BG52" i="8"/>
  <c r="BF52" i="8"/>
  <c r="BE52" i="8"/>
  <c r="BD52" i="8"/>
  <c r="BC52" i="8"/>
  <c r="BB52" i="8"/>
  <c r="BA52" i="8"/>
  <c r="BO51" i="8"/>
  <c r="BN51" i="8"/>
  <c r="BM51" i="8"/>
  <c r="BL51" i="8"/>
  <c r="BK51" i="8"/>
  <c r="BJ51" i="8"/>
  <c r="BI51" i="8"/>
  <c r="BH51" i="8"/>
  <c r="BG51" i="8"/>
  <c r="BF51" i="8"/>
  <c r="BE51" i="8"/>
  <c r="BD51" i="8"/>
  <c r="BC51" i="8"/>
  <c r="BB51" i="8"/>
  <c r="BA51" i="8"/>
  <c r="BO50" i="8"/>
  <c r="BN50" i="8"/>
  <c r="BM50" i="8"/>
  <c r="BL50" i="8"/>
  <c r="BK50" i="8"/>
  <c r="BJ50" i="8"/>
  <c r="BI50" i="8"/>
  <c r="BH50" i="8"/>
  <c r="BG50" i="8"/>
  <c r="BF50" i="8"/>
  <c r="BE50" i="8"/>
  <c r="BD50" i="8"/>
  <c r="BC50" i="8"/>
  <c r="BB50" i="8"/>
  <c r="BA50" i="8"/>
  <c r="BO49" i="8"/>
  <c r="BN49" i="8"/>
  <c r="BM49" i="8"/>
  <c r="BL49" i="8"/>
  <c r="BK49" i="8"/>
  <c r="BJ49" i="8"/>
  <c r="BI49" i="8"/>
  <c r="BH49" i="8"/>
  <c r="BG49" i="8"/>
  <c r="BF49" i="8"/>
  <c r="BE49" i="8"/>
  <c r="BD49" i="8"/>
  <c r="BC49" i="8"/>
  <c r="BB49" i="8"/>
  <c r="BA49" i="8"/>
  <c r="BO48" i="8"/>
  <c r="BN48" i="8"/>
  <c r="BM48" i="8"/>
  <c r="BL48" i="8"/>
  <c r="BK48" i="8"/>
  <c r="BJ48" i="8"/>
  <c r="BI48" i="8"/>
  <c r="BH48" i="8"/>
  <c r="BG48" i="8"/>
  <c r="BF48" i="8"/>
  <c r="BE48" i="8"/>
  <c r="BD48" i="8"/>
  <c r="BC48" i="8"/>
  <c r="BB48" i="8"/>
  <c r="BA48" i="8"/>
  <c r="BO47" i="8"/>
  <c r="BN47" i="8"/>
  <c r="BM47" i="8"/>
  <c r="BL47" i="8"/>
  <c r="BK47" i="8"/>
  <c r="BJ47" i="8"/>
  <c r="BI47" i="8"/>
  <c r="BH47" i="8"/>
  <c r="BG47" i="8"/>
  <c r="BF47" i="8"/>
  <c r="BE47" i="8"/>
  <c r="BD47" i="8"/>
  <c r="BC47" i="8"/>
  <c r="BB47" i="8"/>
  <c r="BA47" i="8"/>
  <c r="BO46" i="8"/>
  <c r="BN46" i="8"/>
  <c r="BM46" i="8"/>
  <c r="BL46" i="8"/>
  <c r="BK46" i="8"/>
  <c r="BJ46" i="8"/>
  <c r="BI46" i="8"/>
  <c r="BH46" i="8"/>
  <c r="BG46" i="8"/>
  <c r="BF46" i="8"/>
  <c r="BE46" i="8"/>
  <c r="BD46" i="8"/>
  <c r="BC46" i="8"/>
  <c r="BB46" i="8"/>
  <c r="BA46" i="8"/>
  <c r="BO45" i="8"/>
  <c r="BN45" i="8"/>
  <c r="BM45" i="8"/>
  <c r="BL45" i="8"/>
  <c r="BK45" i="8"/>
  <c r="BJ45" i="8"/>
  <c r="BI45" i="8"/>
  <c r="BH45" i="8"/>
  <c r="BG45" i="8"/>
  <c r="BF45" i="8"/>
  <c r="BE45" i="8"/>
  <c r="BD45" i="8"/>
  <c r="BC45" i="8"/>
  <c r="BB45" i="8"/>
  <c r="BA45" i="8"/>
  <c r="BO44" i="8"/>
  <c r="BN44" i="8"/>
  <c r="BM44" i="8"/>
  <c r="BL44" i="8"/>
  <c r="BK44" i="8"/>
  <c r="BJ44" i="8"/>
  <c r="BI44" i="8"/>
  <c r="BH44" i="8"/>
  <c r="BG44" i="8"/>
  <c r="BF44" i="8"/>
  <c r="BE44" i="8"/>
  <c r="BD44" i="8"/>
  <c r="BC44" i="8"/>
  <c r="BB44" i="8"/>
  <c r="BA44" i="8"/>
  <c r="BO43" i="8"/>
  <c r="BN43" i="8"/>
  <c r="BM43" i="8"/>
  <c r="BL43" i="8"/>
  <c r="BK43" i="8"/>
  <c r="BJ43" i="8"/>
  <c r="BI43" i="8"/>
  <c r="BH43" i="8"/>
  <c r="BG43" i="8"/>
  <c r="BF43" i="8"/>
  <c r="BE43" i="8"/>
  <c r="BD43" i="8"/>
  <c r="BC43" i="8"/>
  <c r="BB43" i="8"/>
  <c r="BA43" i="8"/>
  <c r="BO42" i="8"/>
  <c r="BN42" i="8"/>
  <c r="BM42" i="8"/>
  <c r="BL42" i="8"/>
  <c r="BK42" i="8"/>
  <c r="BJ42" i="8"/>
  <c r="BI42" i="8"/>
  <c r="BH42" i="8"/>
  <c r="BG42" i="8"/>
  <c r="BF42" i="8"/>
  <c r="BE42" i="8"/>
  <c r="BD42" i="8"/>
  <c r="BC42" i="8"/>
  <c r="BB42" i="8"/>
  <c r="BA42" i="8"/>
  <c r="BO41" i="8"/>
  <c r="BN41" i="8"/>
  <c r="BM41" i="8"/>
  <c r="BL41" i="8"/>
  <c r="BK41" i="8"/>
  <c r="BJ41" i="8"/>
  <c r="BI41" i="8"/>
  <c r="BH41" i="8"/>
  <c r="BG41" i="8"/>
  <c r="BF41" i="8"/>
  <c r="BE41" i="8"/>
  <c r="BD41" i="8"/>
  <c r="BC41" i="8"/>
  <c r="BB41" i="8"/>
  <c r="BA41" i="8"/>
  <c r="BO40" i="8"/>
  <c r="BN40" i="8"/>
  <c r="BM40" i="8"/>
  <c r="BL40" i="8"/>
  <c r="BK40" i="8"/>
  <c r="BJ40" i="8"/>
  <c r="BI40" i="8"/>
  <c r="BH40" i="8"/>
  <c r="BG40" i="8"/>
  <c r="BF40" i="8"/>
  <c r="BE40" i="8"/>
  <c r="BD40" i="8"/>
  <c r="BC40" i="8"/>
  <c r="BB40" i="8"/>
  <c r="BA40" i="8"/>
  <c r="BO39" i="8"/>
  <c r="BN39" i="8"/>
  <c r="BM39" i="8"/>
  <c r="BL39" i="8"/>
  <c r="BK39" i="8"/>
  <c r="BJ39" i="8"/>
  <c r="BI39" i="8"/>
  <c r="BH39" i="8"/>
  <c r="BG39" i="8"/>
  <c r="BF39" i="8"/>
  <c r="BE39" i="8"/>
  <c r="BD39" i="8"/>
  <c r="BC39" i="8"/>
  <c r="BB39" i="8"/>
  <c r="BA39" i="8"/>
  <c r="BO38" i="8"/>
  <c r="BN38" i="8"/>
  <c r="BM38" i="8"/>
  <c r="BL38" i="8"/>
  <c r="BK38" i="8"/>
  <c r="BJ38" i="8"/>
  <c r="BI38" i="8"/>
  <c r="BH38" i="8"/>
  <c r="BG38" i="8"/>
  <c r="BF38" i="8"/>
  <c r="BE38" i="8"/>
  <c r="BD38" i="8"/>
  <c r="BC38" i="8"/>
  <c r="BB38" i="8"/>
  <c r="BA38" i="8"/>
  <c r="BO37" i="8"/>
  <c r="BN37" i="8"/>
  <c r="BM37" i="8"/>
  <c r="BL37" i="8"/>
  <c r="BK37" i="8"/>
  <c r="BJ37" i="8"/>
  <c r="BI37" i="8"/>
  <c r="BH37" i="8"/>
  <c r="BG37" i="8"/>
  <c r="BF37" i="8"/>
  <c r="BE37" i="8"/>
  <c r="BD37" i="8"/>
  <c r="BC37" i="8"/>
  <c r="BB37" i="8"/>
  <c r="BA37" i="8"/>
  <c r="BO36" i="8"/>
  <c r="BN36" i="8"/>
  <c r="BM36" i="8"/>
  <c r="BL36" i="8"/>
  <c r="BK36" i="8"/>
  <c r="BJ36" i="8"/>
  <c r="BI36" i="8"/>
  <c r="BH36" i="8"/>
  <c r="BG36" i="8"/>
  <c r="BF36" i="8"/>
  <c r="BE36" i="8"/>
  <c r="BD36" i="8"/>
  <c r="BC36" i="8"/>
  <c r="BB36" i="8"/>
  <c r="BA36" i="8"/>
  <c r="BO35" i="8"/>
  <c r="BN35" i="8"/>
  <c r="BM35" i="8"/>
  <c r="BL35" i="8"/>
  <c r="BK35" i="8"/>
  <c r="BJ35" i="8"/>
  <c r="BI35" i="8"/>
  <c r="BH35" i="8"/>
  <c r="BG35" i="8"/>
  <c r="BF35" i="8"/>
  <c r="BE35" i="8"/>
  <c r="BD35" i="8"/>
  <c r="BC35" i="8"/>
  <c r="BB35" i="8"/>
  <c r="BA35" i="8"/>
  <c r="BO34" i="8"/>
  <c r="BN34" i="8"/>
  <c r="BM34" i="8"/>
  <c r="BL34" i="8"/>
  <c r="BK34" i="8"/>
  <c r="BJ34" i="8"/>
  <c r="BI34" i="8"/>
  <c r="BH34" i="8"/>
  <c r="BG34" i="8"/>
  <c r="BF34" i="8"/>
  <c r="BE34" i="8"/>
  <c r="BD34" i="8"/>
  <c r="BC34" i="8"/>
  <c r="BB34" i="8"/>
  <c r="BA34" i="8"/>
  <c r="BO33" i="8"/>
  <c r="BN33" i="8"/>
  <c r="BM33" i="8"/>
  <c r="BL33" i="8"/>
  <c r="BK33" i="8"/>
  <c r="BJ33" i="8"/>
  <c r="BI33" i="8"/>
  <c r="BH33" i="8"/>
  <c r="BG33" i="8"/>
  <c r="BF33" i="8"/>
  <c r="BE33" i="8"/>
  <c r="BD33" i="8"/>
  <c r="BC33" i="8"/>
  <c r="BB33" i="8"/>
  <c r="BA33" i="8"/>
  <c r="BO32" i="8"/>
  <c r="BN32" i="8"/>
  <c r="BM32" i="8"/>
  <c r="BL32" i="8"/>
  <c r="BK32" i="8"/>
  <c r="BJ32" i="8"/>
  <c r="BI32" i="8"/>
  <c r="BH32" i="8"/>
  <c r="BG32" i="8"/>
  <c r="BF32" i="8"/>
  <c r="BE32" i="8"/>
  <c r="BD32" i="8"/>
  <c r="BC32" i="8"/>
  <c r="BB32" i="8"/>
  <c r="BA32" i="8"/>
  <c r="BO31" i="8"/>
  <c r="BN31" i="8"/>
  <c r="BM31" i="8"/>
  <c r="BL31" i="8"/>
  <c r="BK31" i="8"/>
  <c r="BJ31" i="8"/>
  <c r="BI31" i="8"/>
  <c r="BH31" i="8"/>
  <c r="BG31" i="8"/>
  <c r="BF31" i="8"/>
  <c r="BE31" i="8"/>
  <c r="BD31" i="8"/>
  <c r="BC31" i="8"/>
  <c r="BB31" i="8"/>
  <c r="BA31" i="8"/>
  <c r="BO30" i="8"/>
  <c r="BN30" i="8"/>
  <c r="BM30" i="8"/>
  <c r="BL30" i="8"/>
  <c r="BK30" i="8"/>
  <c r="BJ30" i="8"/>
  <c r="BI30" i="8"/>
  <c r="BH30" i="8"/>
  <c r="BG30" i="8"/>
  <c r="BF30" i="8"/>
  <c r="BE30" i="8"/>
  <c r="BD30" i="8"/>
  <c r="BC30" i="8"/>
  <c r="BB30" i="8"/>
  <c r="BA30" i="8"/>
  <c r="BO29" i="8"/>
  <c r="BN29" i="8"/>
  <c r="BM29" i="8"/>
  <c r="BL29" i="8"/>
  <c r="BK29" i="8"/>
  <c r="BJ29" i="8"/>
  <c r="BI29" i="8"/>
  <c r="BH29" i="8"/>
  <c r="BG29" i="8"/>
  <c r="BF29" i="8"/>
  <c r="BE29" i="8"/>
  <c r="BD29" i="8"/>
  <c r="BC29" i="8"/>
  <c r="BB29" i="8"/>
  <c r="BA29" i="8"/>
  <c r="BO28" i="8"/>
  <c r="BN28" i="8"/>
  <c r="BM28" i="8"/>
  <c r="BL28" i="8"/>
  <c r="BK28" i="8"/>
  <c r="BJ28" i="8"/>
  <c r="BI28" i="8"/>
  <c r="BH28" i="8"/>
  <c r="BG28" i="8"/>
  <c r="BF28" i="8"/>
  <c r="BE28" i="8"/>
  <c r="BD28" i="8"/>
  <c r="BC28" i="8"/>
  <c r="BB28" i="8"/>
  <c r="BA28" i="8"/>
  <c r="AJ28" i="8"/>
  <c r="BO27" i="8"/>
  <c r="BN27" i="8"/>
  <c r="BM27" i="8"/>
  <c r="BL27" i="8"/>
  <c r="BK27" i="8"/>
  <c r="BJ27" i="8"/>
  <c r="BI27" i="8"/>
  <c r="BH27" i="8"/>
  <c r="BG27" i="8"/>
  <c r="BF27" i="8"/>
  <c r="BE27" i="8"/>
  <c r="BD27" i="8"/>
  <c r="BC27" i="8"/>
  <c r="BB27" i="8"/>
  <c r="BA27" i="8"/>
  <c r="AJ27" i="8"/>
  <c r="BO26" i="8"/>
  <c r="BN26" i="8"/>
  <c r="BM26" i="8"/>
  <c r="BL26" i="8"/>
  <c r="BK26" i="8"/>
  <c r="BJ26" i="8"/>
  <c r="BI26" i="8"/>
  <c r="BH26" i="8"/>
  <c r="BG26" i="8"/>
  <c r="BF26" i="8"/>
  <c r="BE26" i="8"/>
  <c r="BD26" i="8"/>
  <c r="BC26" i="8"/>
  <c r="BB26" i="8"/>
  <c r="BA26" i="8"/>
  <c r="AJ26" i="8"/>
  <c r="BO25" i="8"/>
  <c r="BN25" i="8"/>
  <c r="BM25" i="8"/>
  <c r="BL25" i="8"/>
  <c r="BK25" i="8"/>
  <c r="BJ25" i="8"/>
  <c r="BI25" i="8"/>
  <c r="BH25" i="8"/>
  <c r="BG25" i="8"/>
  <c r="BF25" i="8"/>
  <c r="BE25" i="8"/>
  <c r="BD25" i="8"/>
  <c r="BC25" i="8"/>
  <c r="BB25" i="8"/>
  <c r="BA25" i="8"/>
  <c r="AJ25" i="8"/>
  <c r="BO24" i="8"/>
  <c r="BN24" i="8"/>
  <c r="BM24" i="8"/>
  <c r="BL24" i="8"/>
  <c r="BK24" i="8"/>
  <c r="BJ24" i="8"/>
  <c r="BI24" i="8"/>
  <c r="BH24" i="8"/>
  <c r="BG24" i="8"/>
  <c r="BF24" i="8"/>
  <c r="BE24" i="8"/>
  <c r="BD24" i="8"/>
  <c r="BC24" i="8"/>
  <c r="BB24" i="8"/>
  <c r="BA24" i="8"/>
  <c r="AJ24" i="8"/>
  <c r="BO23" i="8"/>
  <c r="BN23" i="8"/>
  <c r="BM23" i="8"/>
  <c r="BL23" i="8"/>
  <c r="BK23" i="8"/>
  <c r="BJ23" i="8"/>
  <c r="BI23" i="8"/>
  <c r="BH23" i="8"/>
  <c r="BG23" i="8"/>
  <c r="BF23" i="8"/>
  <c r="BE23" i="8"/>
  <c r="BD23" i="8"/>
  <c r="BC23" i="8"/>
  <c r="BB23" i="8"/>
  <c r="BA23" i="8"/>
  <c r="AJ23" i="8"/>
  <c r="BO22" i="8"/>
  <c r="BN22" i="8"/>
  <c r="BM22" i="8"/>
  <c r="BL22" i="8"/>
  <c r="BK22" i="8"/>
  <c r="BJ22" i="8"/>
  <c r="BI22" i="8"/>
  <c r="BH22" i="8"/>
  <c r="BG22" i="8"/>
  <c r="BF22" i="8"/>
  <c r="BE22" i="8"/>
  <c r="BD22" i="8"/>
  <c r="BC22" i="8"/>
  <c r="BB22" i="8"/>
  <c r="BA22" i="8"/>
  <c r="AJ22" i="8"/>
  <c r="BO21" i="8"/>
  <c r="BN21" i="8"/>
  <c r="BM21" i="8"/>
  <c r="BL21" i="8"/>
  <c r="BK21" i="8"/>
  <c r="BJ21" i="8"/>
  <c r="BI21" i="8"/>
  <c r="BH21" i="8"/>
  <c r="BG21" i="8"/>
  <c r="BF21" i="8"/>
  <c r="BE21" i="8"/>
  <c r="BD21" i="8"/>
  <c r="BC21" i="8"/>
  <c r="BB21" i="8"/>
  <c r="BA21" i="8"/>
  <c r="AJ21" i="8"/>
  <c r="BO20" i="8"/>
  <c r="BN20" i="8"/>
  <c r="BM20" i="8"/>
  <c r="BL20" i="8"/>
  <c r="BK20" i="8"/>
  <c r="BJ20" i="8"/>
  <c r="BI20" i="8"/>
  <c r="BH20" i="8"/>
  <c r="BG20" i="8"/>
  <c r="BF20" i="8"/>
  <c r="BE20" i="8"/>
  <c r="BD20" i="8"/>
  <c r="BC20" i="8"/>
  <c r="BB20" i="8"/>
  <c r="BA20" i="8"/>
  <c r="AJ20" i="8"/>
  <c r="BO19" i="8"/>
  <c r="BN19" i="8"/>
  <c r="BM19" i="8"/>
  <c r="BL19" i="8"/>
  <c r="BK19" i="8"/>
  <c r="BJ19" i="8"/>
  <c r="BI19" i="8"/>
  <c r="BH19" i="8"/>
  <c r="BG19" i="8"/>
  <c r="BF19" i="8"/>
  <c r="BE19" i="8"/>
  <c r="BD19" i="8"/>
  <c r="BC19" i="8"/>
  <c r="BB19" i="8"/>
  <c r="BA19" i="8"/>
  <c r="AJ19" i="8"/>
  <c r="BO18" i="8"/>
  <c r="BN18" i="8"/>
  <c r="BM18" i="8"/>
  <c r="BL18" i="8"/>
  <c r="BK18" i="8"/>
  <c r="BJ18" i="8"/>
  <c r="BI18" i="8"/>
  <c r="BH18" i="8"/>
  <c r="BG18" i="8"/>
  <c r="BF18" i="8"/>
  <c r="BE18" i="8"/>
  <c r="BD18" i="8"/>
  <c r="BC18" i="8"/>
  <c r="BB18" i="8"/>
  <c r="BA18" i="8"/>
  <c r="AR18" i="8"/>
  <c r="AJ18" i="8"/>
  <c r="BO17" i="8"/>
  <c r="BN17" i="8"/>
  <c r="BM17" i="8"/>
  <c r="BL17" i="8"/>
  <c r="BK17" i="8"/>
  <c r="BJ17" i="8"/>
  <c r="BI17" i="8"/>
  <c r="BH17" i="8"/>
  <c r="BG17" i="8"/>
  <c r="BF17" i="8"/>
  <c r="BE17" i="8"/>
  <c r="BD17" i="8"/>
  <c r="BC17" i="8"/>
  <c r="BB17" i="8"/>
  <c r="BA17" i="8"/>
  <c r="AJ17" i="8"/>
  <c r="BO16" i="8"/>
  <c r="BN16" i="8"/>
  <c r="BM16" i="8"/>
  <c r="BL16" i="8"/>
  <c r="BK16" i="8"/>
  <c r="BJ16" i="8"/>
  <c r="BI16" i="8"/>
  <c r="BH16" i="8"/>
  <c r="BG16" i="8"/>
  <c r="BF16" i="8"/>
  <c r="BE16" i="8"/>
  <c r="BD16" i="8"/>
  <c r="BC16" i="8"/>
  <c r="BB16" i="8"/>
  <c r="BA16" i="8"/>
  <c r="AJ16" i="8"/>
  <c r="BO15" i="8"/>
  <c r="BN15" i="8"/>
  <c r="BM15" i="8"/>
  <c r="BL15" i="8"/>
  <c r="BK15" i="8"/>
  <c r="BJ15" i="8"/>
  <c r="BI15" i="8"/>
  <c r="BH15" i="8"/>
  <c r="BG15" i="8"/>
  <c r="BF15" i="8"/>
  <c r="BE15" i="8"/>
  <c r="BD15" i="8"/>
  <c r="BC15" i="8"/>
  <c r="BB15" i="8"/>
  <c r="BA15" i="8"/>
  <c r="AJ15" i="8"/>
  <c r="BO14" i="8"/>
  <c r="BN14" i="8"/>
  <c r="BM14" i="8"/>
  <c r="BL14" i="8"/>
  <c r="BK14" i="8"/>
  <c r="BJ14" i="8"/>
  <c r="BI14" i="8"/>
  <c r="BH14" i="8"/>
  <c r="BG14" i="8"/>
  <c r="BF14" i="8"/>
  <c r="BE14" i="8"/>
  <c r="BD14" i="8"/>
  <c r="BC14" i="8"/>
  <c r="BB14" i="8"/>
  <c r="BA14" i="8"/>
  <c r="AJ14" i="8"/>
  <c r="BO13" i="8"/>
  <c r="BN13" i="8"/>
  <c r="BM13" i="8"/>
  <c r="BL13" i="8"/>
  <c r="BK13" i="8"/>
  <c r="BJ13" i="8"/>
  <c r="BI13" i="8"/>
  <c r="BH13" i="8"/>
  <c r="BG13" i="8"/>
  <c r="BF13" i="8"/>
  <c r="BE13" i="8"/>
  <c r="BD13" i="8"/>
  <c r="BC13" i="8"/>
  <c r="BB13" i="8"/>
  <c r="BA13" i="8"/>
  <c r="AJ13" i="8"/>
  <c r="BO12" i="8"/>
  <c r="BN12" i="8"/>
  <c r="BM12" i="8"/>
  <c r="BL12" i="8"/>
  <c r="BK12" i="8"/>
  <c r="BJ12" i="8"/>
  <c r="BI12" i="8"/>
  <c r="BH12" i="8"/>
  <c r="BG12" i="8"/>
  <c r="BF12" i="8"/>
  <c r="BE12" i="8"/>
  <c r="BD12" i="8"/>
  <c r="BC12" i="8"/>
  <c r="BB12" i="8"/>
  <c r="BA12" i="8"/>
  <c r="AJ12" i="8"/>
  <c r="BO11" i="8"/>
  <c r="BN11" i="8"/>
  <c r="BM11" i="8"/>
  <c r="BL11" i="8"/>
  <c r="BK11" i="8"/>
  <c r="BJ11" i="8"/>
  <c r="BI11" i="8"/>
  <c r="BH11" i="8"/>
  <c r="BG11" i="8"/>
  <c r="BF11" i="8"/>
  <c r="BE11" i="8"/>
  <c r="BD11" i="8"/>
  <c r="BC11" i="8"/>
  <c r="BB11" i="8"/>
  <c r="BA11" i="8"/>
  <c r="AJ11" i="8"/>
  <c r="BO10" i="8"/>
  <c r="BN10" i="8"/>
  <c r="BM10" i="8"/>
  <c r="BL10" i="8"/>
  <c r="BK10" i="8"/>
  <c r="BJ10" i="8"/>
  <c r="BI10" i="8"/>
  <c r="BH10" i="8"/>
  <c r="BG10" i="8"/>
  <c r="BF10" i="8"/>
  <c r="BE10" i="8"/>
  <c r="BD10" i="8"/>
  <c r="BC10" i="8"/>
  <c r="BB10" i="8"/>
  <c r="BA10" i="8"/>
  <c r="AJ10" i="8"/>
  <c r="BO9" i="8"/>
  <c r="BN9" i="8"/>
  <c r="BM9" i="8"/>
  <c r="BL9" i="8"/>
  <c r="BK9" i="8"/>
  <c r="BJ9" i="8"/>
  <c r="BI9" i="8"/>
  <c r="BH9" i="8"/>
  <c r="BG9" i="8"/>
  <c r="BF9" i="8"/>
  <c r="BE9" i="8"/>
  <c r="BD9" i="8"/>
  <c r="BC9" i="8"/>
  <c r="BB9" i="8"/>
  <c r="BA9" i="8"/>
  <c r="AJ9" i="8"/>
  <c r="BO8" i="8"/>
  <c r="BN8" i="8"/>
  <c r="BM8" i="8"/>
  <c r="BL8" i="8"/>
  <c r="BK8" i="8"/>
  <c r="BJ8" i="8"/>
  <c r="BI8" i="8"/>
  <c r="BH8" i="8"/>
  <c r="BG8" i="8"/>
  <c r="BF8" i="8"/>
  <c r="BE8" i="8"/>
  <c r="BD8" i="8"/>
  <c r="BC8" i="8"/>
  <c r="BB8" i="8"/>
  <c r="BA8" i="8"/>
  <c r="AJ8" i="8"/>
  <c r="BO7" i="8"/>
  <c r="BN7" i="8"/>
  <c r="BM7" i="8"/>
  <c r="BL7" i="8"/>
  <c r="BK7" i="8"/>
  <c r="BJ7" i="8"/>
  <c r="BI7" i="8"/>
  <c r="BH7" i="8"/>
  <c r="BG7" i="8"/>
  <c r="BF7" i="8"/>
  <c r="BE7" i="8"/>
  <c r="BD7" i="8"/>
  <c r="BC7" i="8"/>
  <c r="BB7" i="8"/>
  <c r="BA7" i="8"/>
  <c r="AJ7" i="8"/>
  <c r="BO6" i="8"/>
  <c r="BN6" i="8"/>
  <c r="BM6" i="8"/>
  <c r="BL6" i="8"/>
  <c r="BK6" i="8"/>
  <c r="BJ6" i="8"/>
  <c r="BI6" i="8"/>
  <c r="BH6" i="8"/>
  <c r="BG6" i="8"/>
  <c r="BF6" i="8"/>
  <c r="BE6" i="8"/>
  <c r="BD6" i="8"/>
  <c r="BC6" i="8"/>
  <c r="BB6" i="8"/>
  <c r="BA6" i="8"/>
  <c r="BO5" i="8"/>
  <c r="BN5" i="8"/>
  <c r="BM5" i="8"/>
  <c r="BL5" i="8"/>
  <c r="BK5" i="8"/>
  <c r="BJ5" i="8"/>
  <c r="BI5" i="8"/>
  <c r="BH5" i="8"/>
  <c r="BG5" i="8"/>
  <c r="BF5" i="8"/>
  <c r="BE5" i="8"/>
  <c r="BD5" i="8"/>
  <c r="BC5" i="8"/>
  <c r="BB5" i="8"/>
  <c r="BA5" i="8"/>
  <c r="BO4" i="8"/>
  <c r="BN4" i="8"/>
  <c r="BM4" i="8"/>
  <c r="BL4" i="8"/>
  <c r="BK4" i="8"/>
  <c r="BJ4" i="8"/>
  <c r="BI4" i="8"/>
  <c r="BH4" i="8"/>
  <c r="BG4" i="8"/>
  <c r="BF4" i="8"/>
  <c r="BE4" i="8"/>
  <c r="BD4" i="8"/>
  <c r="BC4" i="8"/>
  <c r="BB4" i="8"/>
  <c r="BA4" i="8"/>
  <c r="BO3" i="8"/>
  <c r="BN3" i="8"/>
  <c r="BM3" i="8"/>
  <c r="BL3" i="8"/>
  <c r="BK3" i="8"/>
  <c r="BJ3" i="8"/>
  <c r="BI3" i="8"/>
  <c r="BH3" i="8"/>
  <c r="BG3" i="8"/>
  <c r="BF3" i="8"/>
  <c r="BE3" i="8"/>
  <c r="BD3" i="8"/>
  <c r="BC3" i="8"/>
  <c r="BB3" i="8"/>
  <c r="BA3" i="8"/>
  <c r="K2" i="8"/>
  <c r="BA1" i="8" s="1"/>
  <c r="BB67" i="8" l="1"/>
  <c r="BB68" i="8" s="1"/>
  <c r="W22" i="8" s="1"/>
  <c r="BC67" i="8"/>
  <c r="BC68" i="8" s="1"/>
  <c r="W23" i="8" s="1"/>
  <c r="BJ67" i="8"/>
  <c r="BJ68" i="8" s="1"/>
  <c r="W30" i="8" s="1"/>
  <c r="BI67" i="8"/>
  <c r="BI68" i="8" s="1"/>
  <c r="W29" i="8" s="1"/>
  <c r="BK67" i="8"/>
  <c r="BK68" i="8" s="1"/>
  <c r="W31" i="8" s="1"/>
  <c r="BD67" i="8"/>
  <c r="BD68" i="8" s="1"/>
  <c r="W24" i="8" s="1"/>
  <c r="BG67" i="8"/>
  <c r="BG68" i="8" s="1"/>
  <c r="W27" i="8" s="1"/>
  <c r="BF67" i="8"/>
  <c r="BF68" i="8" s="1"/>
  <c r="W26" i="8" s="1"/>
  <c r="BN67" i="8"/>
  <c r="BN68" i="8" s="1"/>
  <c r="W34" i="8" s="1"/>
  <c r="BO67" i="8"/>
  <c r="BO68" i="8" s="1"/>
  <c r="W35" i="8" s="1"/>
  <c r="BH67" i="8"/>
  <c r="BH68" i="8" s="1"/>
  <c r="W28" i="8" s="1"/>
  <c r="BA67" i="8"/>
  <c r="BA68" i="8" s="1"/>
  <c r="BL67" i="8"/>
  <c r="BL68" i="8" s="1"/>
  <c r="W32" i="8" s="1"/>
  <c r="BE67" i="8"/>
  <c r="BE68" i="8" s="1"/>
  <c r="W25" i="8" s="1"/>
  <c r="BM67" i="8"/>
  <c r="BM68" i="8" s="1"/>
  <c r="W33" i="8" s="1"/>
  <c r="BP68" i="8" l="1"/>
  <c r="W21" i="8"/>
  <c r="DK4" i="7" l="1"/>
  <c r="DL4" i="7"/>
  <c r="DP4" i="7"/>
  <c r="DQ4" i="7"/>
  <c r="DU4" i="7"/>
  <c r="DV4" i="7"/>
  <c r="DZ4" i="7"/>
  <c r="EA4" i="7"/>
  <c r="DK5" i="7"/>
  <c r="DL5" i="7"/>
  <c r="DP5" i="7"/>
  <c r="DQ5" i="7"/>
  <c r="DU5" i="7"/>
  <c r="DV5" i="7"/>
  <c r="DZ5" i="7"/>
  <c r="EA5" i="7"/>
  <c r="DK6" i="7"/>
  <c r="DL6" i="7"/>
  <c r="DP6" i="7"/>
  <c r="DQ6" i="7"/>
  <c r="DU6" i="7"/>
  <c r="DV6" i="7"/>
  <c r="DZ6" i="7"/>
  <c r="EA6" i="7"/>
  <c r="DK7" i="7"/>
  <c r="DL7" i="7"/>
  <c r="DP7" i="7"/>
  <c r="DQ7" i="7"/>
  <c r="DU7" i="7"/>
  <c r="DV7" i="7"/>
  <c r="DZ7" i="7"/>
  <c r="EA7" i="7"/>
  <c r="DK8" i="7"/>
  <c r="DL8" i="7"/>
  <c r="DP8" i="7"/>
  <c r="DQ8" i="7"/>
  <c r="DU8" i="7"/>
  <c r="DV8" i="7"/>
  <c r="DZ8" i="7"/>
  <c r="EA8" i="7"/>
  <c r="DK9" i="7"/>
  <c r="DL9" i="7"/>
  <c r="DP9" i="7"/>
  <c r="DQ9" i="7"/>
  <c r="DU9" i="7"/>
  <c r="DV9" i="7"/>
  <c r="DZ9" i="7"/>
  <c r="EA9" i="7"/>
  <c r="DK10" i="7"/>
  <c r="DL10" i="7"/>
  <c r="DP10" i="7"/>
  <c r="DQ10" i="7"/>
  <c r="DU10" i="7"/>
  <c r="DV10" i="7"/>
  <c r="DZ10" i="7"/>
  <c r="EA10" i="7"/>
  <c r="DK11" i="7"/>
  <c r="DL11" i="7"/>
  <c r="DP11" i="7"/>
  <c r="DQ11" i="7"/>
  <c r="DU11" i="7"/>
  <c r="DV11" i="7"/>
  <c r="DZ11" i="7"/>
  <c r="EA11" i="7"/>
  <c r="DK12" i="7"/>
  <c r="DL12" i="7"/>
  <c r="DP12" i="7"/>
  <c r="DQ12" i="7"/>
  <c r="DU12" i="7"/>
  <c r="DV12" i="7"/>
  <c r="DZ12" i="7"/>
  <c r="EA12" i="7"/>
  <c r="DK13" i="7"/>
  <c r="DL13" i="7"/>
  <c r="DP13" i="7"/>
  <c r="DQ13" i="7"/>
  <c r="DU13" i="7"/>
  <c r="DV13" i="7"/>
  <c r="DZ13" i="7"/>
  <c r="EA13" i="7"/>
  <c r="DK14" i="7"/>
  <c r="DL14" i="7"/>
  <c r="DP14" i="7"/>
  <c r="DQ14" i="7"/>
  <c r="DU14" i="7"/>
  <c r="DV14" i="7"/>
  <c r="DZ14" i="7"/>
  <c r="EA14" i="7"/>
  <c r="DK15" i="7"/>
  <c r="DL15" i="7"/>
  <c r="DP15" i="7"/>
  <c r="DQ15" i="7"/>
  <c r="DU15" i="7"/>
  <c r="DV15" i="7"/>
  <c r="DZ15" i="7"/>
  <c r="EA15" i="7"/>
  <c r="DK16" i="7"/>
  <c r="DL16" i="7"/>
  <c r="DP16" i="7"/>
  <c r="DQ16" i="7"/>
  <c r="DU16" i="7"/>
  <c r="DV16" i="7"/>
  <c r="DZ16" i="7"/>
  <c r="EA16" i="7"/>
  <c r="DK17" i="7"/>
  <c r="DL17" i="7"/>
  <c r="DP17" i="7"/>
  <c r="DQ17" i="7"/>
  <c r="DU17" i="7"/>
  <c r="DV17" i="7"/>
  <c r="DZ17" i="7"/>
  <c r="EA17" i="7"/>
  <c r="DK18" i="7"/>
  <c r="DL18" i="7"/>
  <c r="DP18" i="7"/>
  <c r="DQ18" i="7"/>
  <c r="DU18" i="7"/>
  <c r="DV18" i="7"/>
  <c r="DZ18" i="7"/>
  <c r="EA18" i="7"/>
  <c r="DK19" i="7"/>
  <c r="DL19" i="7"/>
  <c r="DP19" i="7"/>
  <c r="DQ19" i="7"/>
  <c r="DU19" i="7"/>
  <c r="DV19" i="7"/>
  <c r="DZ19" i="7"/>
  <c r="EA19" i="7"/>
  <c r="DK20" i="7"/>
  <c r="DL20" i="7"/>
  <c r="DP20" i="7"/>
  <c r="DQ20" i="7"/>
  <c r="DU20" i="7"/>
  <c r="DV20" i="7"/>
  <c r="DZ20" i="7"/>
  <c r="EA20" i="7"/>
  <c r="DK21" i="7"/>
  <c r="DL21" i="7"/>
  <c r="DP21" i="7"/>
  <c r="DQ21" i="7"/>
  <c r="DU21" i="7"/>
  <c r="DV21" i="7"/>
  <c r="DZ21" i="7"/>
  <c r="EA21" i="7"/>
  <c r="DK22" i="7"/>
  <c r="DL22" i="7"/>
  <c r="DP22" i="7"/>
  <c r="DQ22" i="7"/>
  <c r="DU22" i="7"/>
  <c r="DV22" i="7"/>
  <c r="DZ22" i="7"/>
  <c r="EA22" i="7"/>
  <c r="DK23" i="7"/>
  <c r="DL23" i="7"/>
  <c r="DP23" i="7"/>
  <c r="DQ23" i="7"/>
  <c r="DU23" i="7"/>
  <c r="DV23" i="7"/>
  <c r="DZ23" i="7"/>
  <c r="EA23" i="7"/>
  <c r="DK24" i="7"/>
  <c r="DL24" i="7"/>
  <c r="DP24" i="7"/>
  <c r="DQ24" i="7"/>
  <c r="DU24" i="7"/>
  <c r="DV24" i="7"/>
  <c r="DZ24" i="7"/>
  <c r="EA24" i="7"/>
  <c r="DK25" i="7"/>
  <c r="DL25" i="7"/>
  <c r="DP25" i="7"/>
  <c r="DQ25" i="7"/>
  <c r="DU25" i="7"/>
  <c r="DV25" i="7"/>
  <c r="DZ25" i="7"/>
  <c r="EA25" i="7"/>
  <c r="DK26" i="7"/>
  <c r="DL26" i="7"/>
  <c r="DP26" i="7"/>
  <c r="DQ26" i="7"/>
  <c r="DU26" i="7"/>
  <c r="DV26" i="7"/>
  <c r="DZ26" i="7"/>
  <c r="EA26" i="7"/>
  <c r="DK27" i="7"/>
  <c r="DL27" i="7"/>
  <c r="DP27" i="7"/>
  <c r="DQ27" i="7"/>
  <c r="DU27" i="7"/>
  <c r="DV27" i="7"/>
  <c r="DZ27" i="7"/>
  <c r="EA27" i="7"/>
  <c r="DK28" i="7"/>
  <c r="DL28" i="7"/>
  <c r="DP28" i="7"/>
  <c r="DQ28" i="7"/>
  <c r="DU28" i="7"/>
  <c r="DV28" i="7"/>
  <c r="DZ28" i="7"/>
  <c r="EA28" i="7"/>
  <c r="DK29" i="7"/>
  <c r="DL29" i="7"/>
  <c r="DP29" i="7"/>
  <c r="DQ29" i="7"/>
  <c r="DU29" i="7"/>
  <c r="DV29" i="7"/>
  <c r="DZ29" i="7"/>
  <c r="EA29" i="7"/>
  <c r="DK30" i="7"/>
  <c r="DL30" i="7"/>
  <c r="DP30" i="7"/>
  <c r="DQ30" i="7"/>
  <c r="DU30" i="7"/>
  <c r="DV30" i="7"/>
  <c r="DZ30" i="7"/>
  <c r="EA30" i="7"/>
  <c r="DK31" i="7"/>
  <c r="DL31" i="7"/>
  <c r="DP31" i="7"/>
  <c r="DQ31" i="7"/>
  <c r="DU31" i="7"/>
  <c r="DV31" i="7"/>
  <c r="DZ31" i="7"/>
  <c r="EA31" i="7"/>
  <c r="DK32" i="7"/>
  <c r="DL32" i="7"/>
  <c r="DP32" i="7"/>
  <c r="DQ32" i="7"/>
  <c r="DU32" i="7"/>
  <c r="DV32" i="7"/>
  <c r="DZ32" i="7"/>
  <c r="EA32" i="7"/>
  <c r="DK33" i="7"/>
  <c r="DL33" i="7"/>
  <c r="DP33" i="7"/>
  <c r="DQ33" i="7"/>
  <c r="DU33" i="7"/>
  <c r="DV33" i="7"/>
  <c r="DZ33" i="7"/>
  <c r="EA33" i="7"/>
  <c r="DK34" i="7"/>
  <c r="DL34" i="7"/>
  <c r="DP34" i="7"/>
  <c r="DQ34" i="7"/>
  <c r="DU34" i="7"/>
  <c r="DV34" i="7"/>
  <c r="DZ34" i="7"/>
  <c r="EA34" i="7"/>
  <c r="DK35" i="7"/>
  <c r="DL35" i="7"/>
  <c r="DP35" i="7"/>
  <c r="DQ35" i="7"/>
  <c r="DU35" i="7"/>
  <c r="DV35" i="7"/>
  <c r="DZ35" i="7"/>
  <c r="EA35" i="7"/>
  <c r="DK36" i="7"/>
  <c r="DL36" i="7"/>
  <c r="DP36" i="7"/>
  <c r="DQ36" i="7"/>
  <c r="DU36" i="7"/>
  <c r="DV36" i="7"/>
  <c r="DZ36" i="7"/>
  <c r="EA36" i="7"/>
  <c r="DK37" i="7"/>
  <c r="DL37" i="7"/>
  <c r="DP37" i="7"/>
  <c r="DQ37" i="7"/>
  <c r="DU37" i="7"/>
  <c r="DV37" i="7"/>
  <c r="DZ37" i="7"/>
  <c r="EA37" i="7"/>
  <c r="DK38" i="7"/>
  <c r="DL38" i="7"/>
  <c r="DP38" i="7"/>
  <c r="DQ38" i="7"/>
  <c r="DU38" i="7"/>
  <c r="DV38" i="7"/>
  <c r="DZ38" i="7"/>
  <c r="EA38" i="7"/>
  <c r="DK39" i="7"/>
  <c r="DL39" i="7"/>
  <c r="DP39" i="7"/>
  <c r="DQ39" i="7"/>
  <c r="DU39" i="7"/>
  <c r="DV39" i="7"/>
  <c r="DZ39" i="7"/>
  <c r="EA39" i="7"/>
  <c r="DK40" i="7"/>
  <c r="DL40" i="7"/>
  <c r="DP40" i="7"/>
  <c r="DQ40" i="7"/>
  <c r="DU40" i="7"/>
  <c r="DV40" i="7"/>
  <c r="DZ40" i="7"/>
  <c r="EA40" i="7"/>
  <c r="DK53" i="7"/>
  <c r="DL53" i="7"/>
  <c r="DP53" i="7"/>
  <c r="DQ53" i="7"/>
  <c r="DU53" i="7"/>
  <c r="DV53" i="7"/>
  <c r="DZ53" i="7"/>
  <c r="EA53" i="7"/>
  <c r="DK54" i="7"/>
  <c r="DL54" i="7"/>
  <c r="DP54" i="7"/>
  <c r="DQ54" i="7"/>
  <c r="DU54" i="7"/>
  <c r="DV54" i="7"/>
  <c r="DZ54" i="7"/>
  <c r="EA54" i="7"/>
  <c r="DK55" i="7"/>
  <c r="DL55" i="7"/>
  <c r="DP55" i="7"/>
  <c r="DQ55" i="7"/>
  <c r="DU55" i="7"/>
  <c r="DV55" i="7"/>
  <c r="DZ55" i="7"/>
  <c r="EA55" i="7"/>
  <c r="DK56" i="7"/>
  <c r="DL56" i="7"/>
  <c r="DP56" i="7"/>
  <c r="DQ56" i="7"/>
  <c r="DU56" i="7"/>
  <c r="DV56" i="7"/>
  <c r="DZ56" i="7"/>
  <c r="EA56" i="7"/>
  <c r="DK57" i="7"/>
  <c r="DL57" i="7"/>
  <c r="DP57" i="7"/>
  <c r="DQ57" i="7"/>
  <c r="DU57" i="7"/>
  <c r="DV57" i="7"/>
  <c r="DZ57" i="7"/>
  <c r="EA57" i="7"/>
  <c r="DK58" i="7"/>
  <c r="DL58" i="7"/>
  <c r="DP58" i="7"/>
  <c r="DQ58" i="7"/>
  <c r="DU58" i="7"/>
  <c r="DV58" i="7"/>
  <c r="DZ58" i="7"/>
  <c r="EA58" i="7"/>
  <c r="DK59" i="7"/>
  <c r="DL59" i="7"/>
  <c r="DP59" i="7"/>
  <c r="DQ59" i="7"/>
  <c r="DU59" i="7"/>
  <c r="DV59" i="7"/>
  <c r="DZ59" i="7"/>
  <c r="EA59" i="7"/>
  <c r="DK60" i="7"/>
  <c r="DL60" i="7"/>
  <c r="DP60" i="7"/>
  <c r="DQ60" i="7"/>
  <c r="DU60" i="7"/>
  <c r="DV60" i="7"/>
  <c r="DZ60" i="7"/>
  <c r="EA60" i="7"/>
  <c r="DK61" i="7"/>
  <c r="DL61" i="7"/>
  <c r="DP61" i="7"/>
  <c r="DQ61" i="7"/>
  <c r="DU61" i="7"/>
  <c r="DV61" i="7"/>
  <c r="DZ61" i="7"/>
  <c r="EA61" i="7"/>
  <c r="DK62" i="7"/>
  <c r="DL62" i="7"/>
  <c r="DP62" i="7"/>
  <c r="DQ62" i="7"/>
  <c r="DU62" i="7"/>
  <c r="DV62" i="7"/>
  <c r="DZ62" i="7"/>
  <c r="EA62" i="7"/>
  <c r="DK63" i="7"/>
  <c r="DL63" i="7"/>
  <c r="DP63" i="7"/>
  <c r="DQ63" i="7"/>
  <c r="DU63" i="7"/>
  <c r="DV63" i="7"/>
  <c r="DZ63" i="7"/>
  <c r="EA63" i="7"/>
  <c r="DK64" i="7"/>
  <c r="DL64" i="7"/>
  <c r="DP64" i="7"/>
  <c r="DQ64" i="7"/>
  <c r="DU64" i="7"/>
  <c r="DV64" i="7"/>
  <c r="DZ64" i="7"/>
  <c r="EA64" i="7"/>
  <c r="DK65" i="7"/>
  <c r="DL65" i="7"/>
  <c r="DP65" i="7"/>
  <c r="DQ65" i="7"/>
  <c r="DU65" i="7"/>
  <c r="DV65" i="7"/>
  <c r="DZ65" i="7"/>
  <c r="EA65" i="7"/>
  <c r="DK66" i="7"/>
  <c r="DL66" i="7"/>
  <c r="DP66" i="7"/>
  <c r="DQ66" i="7"/>
  <c r="DU66" i="7"/>
  <c r="DV66" i="7"/>
  <c r="DZ66" i="7"/>
  <c r="EA66" i="7"/>
  <c r="DK67" i="7"/>
  <c r="DL67" i="7"/>
  <c r="DP67" i="7"/>
  <c r="DQ67" i="7"/>
  <c r="DU67" i="7"/>
  <c r="DV67" i="7"/>
  <c r="DZ67" i="7"/>
  <c r="EA67" i="7"/>
  <c r="DK68" i="7"/>
  <c r="DL68" i="7"/>
  <c r="DP68" i="7"/>
  <c r="DQ68" i="7"/>
  <c r="DU68" i="7"/>
  <c r="DV68" i="7"/>
  <c r="DZ68" i="7"/>
  <c r="EA68" i="7"/>
  <c r="DK69" i="7"/>
  <c r="DL69" i="7"/>
  <c r="DP69" i="7"/>
  <c r="DQ69" i="7"/>
  <c r="DU69" i="7"/>
  <c r="DV69" i="7"/>
  <c r="DZ69" i="7"/>
  <c r="EA69" i="7"/>
  <c r="DK70" i="7"/>
  <c r="DL70" i="7"/>
  <c r="DP70" i="7"/>
  <c r="DQ70" i="7"/>
  <c r="DU70" i="7"/>
  <c r="DV70" i="7"/>
  <c r="DZ70" i="7"/>
  <c r="EA70" i="7"/>
  <c r="DK71" i="7"/>
  <c r="DL71" i="7"/>
  <c r="DP71" i="7"/>
  <c r="DQ71" i="7"/>
  <c r="DU71" i="7"/>
  <c r="DV71" i="7"/>
  <c r="DZ71" i="7"/>
  <c r="EA71" i="7"/>
  <c r="DK72" i="7"/>
  <c r="DL72" i="7"/>
  <c r="DP72" i="7"/>
  <c r="DQ72" i="7"/>
  <c r="DU72" i="7"/>
  <c r="DV72" i="7"/>
  <c r="DZ72" i="7"/>
  <c r="EA72" i="7"/>
  <c r="DK73" i="7"/>
  <c r="DL73" i="7"/>
  <c r="DP73" i="7"/>
  <c r="DQ73" i="7"/>
  <c r="DU73" i="7"/>
  <c r="DV73" i="7"/>
  <c r="DZ73" i="7"/>
  <c r="EA73" i="7"/>
  <c r="DK74" i="7"/>
  <c r="DL74" i="7"/>
  <c r="DP74" i="7"/>
  <c r="DQ74" i="7"/>
  <c r="DU74" i="7"/>
  <c r="DV74" i="7"/>
  <c r="DZ74" i="7"/>
  <c r="EA74" i="7"/>
  <c r="DK75" i="7"/>
  <c r="DL75" i="7"/>
  <c r="DP75" i="7"/>
  <c r="DQ75" i="7"/>
  <c r="DU75" i="7"/>
  <c r="DV75" i="7"/>
  <c r="DZ75" i="7"/>
  <c r="EA75" i="7"/>
  <c r="DK76" i="7"/>
  <c r="DL76" i="7"/>
  <c r="DP76" i="7"/>
  <c r="DQ76" i="7"/>
  <c r="DU76" i="7"/>
  <c r="DV76" i="7"/>
  <c r="DZ76" i="7"/>
  <c r="EA76" i="7"/>
  <c r="DK77" i="7"/>
  <c r="DL77" i="7"/>
  <c r="DP77" i="7"/>
  <c r="DQ77" i="7"/>
  <c r="DU77" i="7"/>
  <c r="DV77" i="7"/>
  <c r="DZ77" i="7"/>
  <c r="EA77" i="7"/>
  <c r="DK78" i="7"/>
  <c r="DL78" i="7"/>
  <c r="DP78" i="7"/>
  <c r="DQ78" i="7"/>
  <c r="DU78" i="7"/>
  <c r="DV78" i="7"/>
  <c r="DZ78" i="7"/>
  <c r="EA78" i="7"/>
  <c r="DK79" i="7"/>
  <c r="DL79" i="7"/>
  <c r="DP79" i="7"/>
  <c r="DQ79" i="7"/>
  <c r="DU79" i="7"/>
  <c r="DV79" i="7"/>
  <c r="DZ79" i="7"/>
  <c r="EA79" i="7"/>
  <c r="DK80" i="7"/>
  <c r="DL80" i="7"/>
  <c r="DP80" i="7"/>
  <c r="DQ80" i="7"/>
  <c r="DU80" i="7"/>
  <c r="DV80" i="7"/>
  <c r="DZ80" i="7"/>
  <c r="EA80" i="7"/>
  <c r="DK81" i="7"/>
  <c r="DL81" i="7"/>
  <c r="DP81" i="7"/>
  <c r="DQ81" i="7"/>
  <c r="DU81" i="7"/>
  <c r="DV81" i="7"/>
  <c r="DZ81" i="7"/>
  <c r="EA81" i="7"/>
  <c r="DK82" i="7"/>
  <c r="DL82" i="7"/>
  <c r="DP82" i="7"/>
  <c r="DQ82" i="7"/>
  <c r="DU82" i="7"/>
  <c r="DV82" i="7"/>
  <c r="DZ82" i="7"/>
  <c r="EA82" i="7"/>
  <c r="DK83" i="7"/>
  <c r="DL83" i="7"/>
  <c r="DP83" i="7"/>
  <c r="DQ83" i="7"/>
  <c r="DU83" i="7"/>
  <c r="DV83" i="7"/>
  <c r="DZ83" i="7"/>
  <c r="EA83" i="7"/>
  <c r="DK84" i="7"/>
  <c r="DL84" i="7"/>
  <c r="DP84" i="7"/>
  <c r="DQ84" i="7"/>
  <c r="DU84" i="7"/>
  <c r="DV84" i="7"/>
  <c r="DZ84" i="7"/>
  <c r="EA84" i="7"/>
  <c r="DK85" i="7"/>
  <c r="DL85" i="7"/>
  <c r="DP85" i="7"/>
  <c r="DQ85" i="7"/>
  <c r="DU85" i="7"/>
  <c r="DV85" i="7"/>
  <c r="DZ85" i="7"/>
  <c r="EA85" i="7"/>
  <c r="DK86" i="7"/>
  <c r="DL86" i="7"/>
  <c r="DP86" i="7"/>
  <c r="DQ86" i="7"/>
  <c r="DU86" i="7"/>
  <c r="DV86" i="7"/>
  <c r="DZ86" i="7"/>
  <c r="EA86" i="7"/>
  <c r="DK87" i="7"/>
  <c r="DL87" i="7"/>
  <c r="DP87" i="7"/>
  <c r="DQ87" i="7"/>
  <c r="DU87" i="7"/>
  <c r="DV87" i="7"/>
  <c r="DZ87" i="7"/>
  <c r="EA87" i="7"/>
  <c r="DK88" i="7"/>
  <c r="DL88" i="7"/>
  <c r="DP88" i="7"/>
  <c r="DQ88" i="7"/>
  <c r="DU88" i="7"/>
  <c r="DV88" i="7"/>
  <c r="DZ88" i="7"/>
  <c r="EA88" i="7"/>
  <c r="DK89" i="7"/>
  <c r="DL89" i="7"/>
  <c r="DP89" i="7"/>
  <c r="DQ89" i="7"/>
  <c r="DU89" i="7"/>
  <c r="DV89" i="7"/>
  <c r="DZ89" i="7"/>
  <c r="EA89" i="7"/>
  <c r="DK90" i="7"/>
  <c r="DL90" i="7"/>
  <c r="DP90" i="7"/>
  <c r="DQ90" i="7"/>
  <c r="DU90" i="7"/>
  <c r="DV90" i="7"/>
  <c r="DZ90" i="7"/>
  <c r="EA90" i="7"/>
  <c r="DK91" i="7"/>
  <c r="DL91" i="7"/>
  <c r="DP91" i="7"/>
  <c r="DQ91" i="7"/>
  <c r="DU91" i="7"/>
  <c r="DV91" i="7"/>
  <c r="DZ91" i="7"/>
  <c r="EA91" i="7"/>
  <c r="DK92" i="7"/>
  <c r="DL92" i="7"/>
  <c r="DP92" i="7"/>
  <c r="DQ92" i="7"/>
  <c r="DU92" i="7"/>
  <c r="DV92" i="7"/>
  <c r="DZ92" i="7"/>
  <c r="EA92" i="7"/>
  <c r="DK93" i="7"/>
  <c r="DL93" i="7"/>
  <c r="DP93" i="7"/>
  <c r="DQ93" i="7"/>
  <c r="DU93" i="7"/>
  <c r="DV93" i="7"/>
  <c r="DZ93" i="7"/>
  <c r="EA93" i="7"/>
  <c r="DK94" i="7"/>
  <c r="DL94" i="7"/>
  <c r="DP94" i="7"/>
  <c r="DQ94" i="7"/>
  <c r="DU94" i="7"/>
  <c r="DV94" i="7"/>
  <c r="DZ94" i="7"/>
  <c r="EA94" i="7"/>
  <c r="DK95" i="7"/>
  <c r="DL95" i="7"/>
  <c r="DP95" i="7"/>
  <c r="DQ95" i="7"/>
  <c r="DU95" i="7"/>
  <c r="DV95" i="7"/>
  <c r="DZ95" i="7"/>
  <c r="EA95" i="7"/>
  <c r="DK96" i="7"/>
  <c r="DL96" i="7"/>
  <c r="DP96" i="7"/>
  <c r="DQ96" i="7"/>
  <c r="DU96" i="7"/>
  <c r="DV96" i="7"/>
  <c r="DZ96" i="7"/>
  <c r="EA96" i="7"/>
  <c r="DK97" i="7"/>
  <c r="DL97" i="7"/>
  <c r="DP97" i="7"/>
  <c r="DQ97" i="7"/>
  <c r="DU97" i="7"/>
  <c r="DV97" i="7"/>
  <c r="DZ97" i="7"/>
  <c r="EA97" i="7"/>
  <c r="DK98" i="7"/>
  <c r="DL98" i="7"/>
  <c r="DP98" i="7"/>
  <c r="DQ98" i="7"/>
  <c r="DU98" i="7"/>
  <c r="DV98" i="7"/>
  <c r="DZ98" i="7"/>
  <c r="EA98" i="7"/>
  <c r="DK99" i="7"/>
  <c r="DL99" i="7"/>
  <c r="DP99" i="7"/>
  <c r="DQ99" i="7"/>
  <c r="DU99" i="7"/>
  <c r="DV99" i="7"/>
  <c r="DZ99" i="7"/>
  <c r="EA99" i="7"/>
  <c r="DK100" i="7"/>
  <c r="DL100" i="7"/>
  <c r="DP100" i="7"/>
  <c r="DQ100" i="7"/>
  <c r="DU100" i="7"/>
  <c r="DV100" i="7"/>
  <c r="DZ100" i="7"/>
  <c r="EA100" i="7"/>
  <c r="DK101" i="7"/>
  <c r="DL101" i="7"/>
  <c r="DP101" i="7"/>
  <c r="DQ101" i="7"/>
  <c r="DU101" i="7"/>
  <c r="DV101" i="7"/>
  <c r="DZ101" i="7"/>
  <c r="EA101" i="7"/>
  <c r="DK102" i="7"/>
  <c r="DL102" i="7"/>
  <c r="DP102" i="7"/>
  <c r="DQ102" i="7"/>
  <c r="DU102" i="7"/>
  <c r="DV102" i="7"/>
  <c r="DZ102" i="7"/>
  <c r="EA102" i="7"/>
  <c r="DK103" i="7"/>
  <c r="DL103" i="7"/>
  <c r="DP103" i="7"/>
  <c r="DQ103" i="7"/>
  <c r="DU103" i="7"/>
  <c r="DV103" i="7"/>
  <c r="DZ103" i="7"/>
  <c r="EA103" i="7"/>
  <c r="DK104" i="7"/>
  <c r="DL104" i="7"/>
  <c r="DP104" i="7"/>
  <c r="DQ104" i="7"/>
  <c r="DU104" i="7"/>
  <c r="DV104" i="7"/>
  <c r="DZ104" i="7"/>
  <c r="EA104" i="7"/>
  <c r="DK105" i="7"/>
  <c r="DL105" i="7"/>
  <c r="DP105" i="7"/>
  <c r="DQ105" i="7"/>
  <c r="DU105" i="7"/>
  <c r="DV105" i="7"/>
  <c r="DZ105" i="7"/>
  <c r="EA105" i="7"/>
  <c r="DK106" i="7"/>
  <c r="DL106" i="7"/>
  <c r="DP106" i="7"/>
  <c r="DQ106" i="7"/>
  <c r="DU106" i="7"/>
  <c r="DV106" i="7"/>
  <c r="DZ106" i="7"/>
  <c r="EA106" i="7"/>
  <c r="DK107" i="7"/>
  <c r="DL107" i="7"/>
  <c r="DP107" i="7"/>
  <c r="DQ107" i="7"/>
  <c r="DU107" i="7"/>
  <c r="DV107" i="7"/>
  <c r="DZ107" i="7"/>
  <c r="EA107" i="7"/>
  <c r="DK108" i="7"/>
  <c r="DL108" i="7"/>
  <c r="DP108" i="7"/>
  <c r="DQ108" i="7"/>
  <c r="DU108" i="7"/>
  <c r="DV108" i="7"/>
  <c r="DZ108" i="7"/>
  <c r="EA108" i="7"/>
  <c r="DK109" i="7"/>
  <c r="DL109" i="7"/>
  <c r="DP109" i="7"/>
  <c r="DQ109" i="7"/>
  <c r="DU109" i="7"/>
  <c r="DV109" i="7"/>
  <c r="DZ109" i="7"/>
  <c r="EA109" i="7"/>
  <c r="DK110" i="7"/>
  <c r="DL110" i="7"/>
  <c r="DP110" i="7"/>
  <c r="DQ110" i="7"/>
  <c r="DU110" i="7"/>
  <c r="DV110" i="7"/>
  <c r="DZ110" i="7"/>
  <c r="EA110" i="7"/>
  <c r="DK111" i="7"/>
  <c r="DL111" i="7"/>
  <c r="DP111" i="7"/>
  <c r="DQ111" i="7"/>
  <c r="DU111" i="7"/>
  <c r="DV111" i="7"/>
  <c r="DZ111" i="7"/>
  <c r="EA111" i="7"/>
  <c r="DK112" i="7"/>
  <c r="DL112" i="7"/>
  <c r="DP112" i="7"/>
  <c r="DQ112" i="7"/>
  <c r="DU112" i="7"/>
  <c r="DV112" i="7"/>
  <c r="DZ112" i="7"/>
  <c r="EA112" i="7"/>
  <c r="DK3" i="7"/>
  <c r="DL3" i="7"/>
  <c r="DP3" i="7"/>
  <c r="DQ3" i="7"/>
  <c r="DU3" i="7"/>
  <c r="DV3" i="7"/>
  <c r="DZ3" i="7"/>
  <c r="EA3" i="7"/>
  <c r="EA2" i="7"/>
  <c r="DZ2" i="7"/>
  <c r="DV2" i="7"/>
  <c r="DU2" i="7"/>
  <c r="DQ2" i="7"/>
  <c r="DP2" i="7"/>
  <c r="DL2" i="7"/>
  <c r="DK2" i="7"/>
  <c r="DG2" i="7"/>
  <c r="DF2" i="7"/>
  <c r="DF3" i="7"/>
  <c r="DG3" i="7"/>
  <c r="DF4" i="7"/>
  <c r="DG4" i="7"/>
  <c r="DF5" i="7"/>
  <c r="DG5" i="7"/>
  <c r="DF6" i="7"/>
  <c r="DG6" i="7"/>
  <c r="DF7" i="7"/>
  <c r="DG7" i="7"/>
  <c r="DF8" i="7"/>
  <c r="DG8" i="7"/>
  <c r="DF9" i="7"/>
  <c r="DG9" i="7"/>
  <c r="DF10" i="7"/>
  <c r="DG10" i="7"/>
  <c r="DF11" i="7"/>
  <c r="DG11" i="7"/>
  <c r="DF12" i="7"/>
  <c r="DG12" i="7"/>
  <c r="DF13" i="7"/>
  <c r="DG13" i="7"/>
  <c r="DF14" i="7"/>
  <c r="DG14" i="7"/>
  <c r="DF15" i="7"/>
  <c r="DG15" i="7"/>
  <c r="DF16" i="7"/>
  <c r="DG16" i="7"/>
  <c r="DF17" i="7"/>
  <c r="DG17" i="7"/>
  <c r="DF18" i="7"/>
  <c r="DG18" i="7"/>
  <c r="DF19" i="7"/>
  <c r="DG19" i="7"/>
  <c r="DF20" i="7"/>
  <c r="DG20" i="7"/>
  <c r="DF21" i="7"/>
  <c r="DG21" i="7"/>
  <c r="DF22" i="7"/>
  <c r="DG22" i="7"/>
  <c r="DF23" i="7"/>
  <c r="DG23" i="7"/>
  <c r="DF24" i="7"/>
  <c r="DG24" i="7"/>
  <c r="DF25" i="7"/>
  <c r="DG25" i="7"/>
  <c r="DF26" i="7"/>
  <c r="DG26" i="7"/>
  <c r="DF27" i="7"/>
  <c r="DG27" i="7"/>
  <c r="DF28" i="7"/>
  <c r="DG28" i="7"/>
  <c r="DF29" i="7"/>
  <c r="DG29" i="7"/>
  <c r="DF30" i="7"/>
  <c r="DG30" i="7"/>
  <c r="DF31" i="7"/>
  <c r="DG31" i="7"/>
  <c r="DF32" i="7"/>
  <c r="DG32" i="7"/>
  <c r="DF33" i="7"/>
  <c r="DG33" i="7"/>
  <c r="DF34" i="7"/>
  <c r="DG34" i="7"/>
  <c r="DF35" i="7"/>
  <c r="DG35" i="7"/>
  <c r="DF36" i="7"/>
  <c r="DG36" i="7"/>
  <c r="DF37" i="7"/>
  <c r="DG37" i="7"/>
  <c r="DF38" i="7"/>
  <c r="DG38" i="7"/>
  <c r="DF39" i="7"/>
  <c r="DG39" i="7"/>
  <c r="DF40" i="7"/>
  <c r="DG40" i="7"/>
  <c r="DF53" i="7"/>
  <c r="DG53" i="7"/>
  <c r="DF54" i="7"/>
  <c r="DG54" i="7"/>
  <c r="DF55" i="7"/>
  <c r="DG55" i="7"/>
  <c r="DF56" i="7"/>
  <c r="DG56" i="7"/>
  <c r="DF57" i="7"/>
  <c r="DG57" i="7"/>
  <c r="DF58" i="7"/>
  <c r="DG58" i="7"/>
  <c r="DF59" i="7"/>
  <c r="DG59" i="7"/>
  <c r="DF60" i="7"/>
  <c r="DG60" i="7"/>
  <c r="DF61" i="7"/>
  <c r="DG61" i="7"/>
  <c r="DF62" i="7"/>
  <c r="DG62" i="7"/>
  <c r="DF63" i="7"/>
  <c r="DG63" i="7"/>
  <c r="DF64" i="7"/>
  <c r="DG64" i="7"/>
  <c r="DF65" i="7"/>
  <c r="DG65" i="7"/>
  <c r="DF66" i="7"/>
  <c r="DG66" i="7"/>
  <c r="DF67" i="7"/>
  <c r="DG67" i="7"/>
  <c r="DF68" i="7"/>
  <c r="DG68" i="7"/>
  <c r="DF69" i="7"/>
  <c r="DG69" i="7"/>
  <c r="DF70" i="7"/>
  <c r="DG70" i="7"/>
  <c r="DF71" i="7"/>
  <c r="DG71" i="7"/>
  <c r="DF72" i="7"/>
  <c r="DG72" i="7"/>
  <c r="DF73" i="7"/>
  <c r="DG73" i="7"/>
  <c r="DF74" i="7"/>
  <c r="DG74" i="7"/>
  <c r="DF75" i="7"/>
  <c r="DG75" i="7"/>
  <c r="DF76" i="7"/>
  <c r="DG76" i="7"/>
  <c r="DF77" i="7"/>
  <c r="DG77" i="7"/>
  <c r="DF78" i="7"/>
  <c r="DG78" i="7"/>
  <c r="DF79" i="7"/>
  <c r="DG79" i="7"/>
  <c r="DF80" i="7"/>
  <c r="DG80" i="7"/>
  <c r="DF81" i="7"/>
  <c r="DG81" i="7"/>
  <c r="DF82" i="7"/>
  <c r="DG82" i="7"/>
  <c r="DF83" i="7"/>
  <c r="DG83" i="7"/>
  <c r="DF84" i="7"/>
  <c r="DG84" i="7"/>
  <c r="DF85" i="7"/>
  <c r="DG85" i="7"/>
  <c r="DF86" i="7"/>
  <c r="DG86" i="7"/>
  <c r="DF87" i="7"/>
  <c r="DG87" i="7"/>
  <c r="DF88" i="7"/>
  <c r="DG88" i="7"/>
  <c r="DF89" i="7"/>
  <c r="DG89" i="7"/>
  <c r="DF90" i="7"/>
  <c r="DG90" i="7"/>
  <c r="DF91" i="7"/>
  <c r="DG91" i="7"/>
  <c r="DF92" i="7"/>
  <c r="DG92" i="7"/>
  <c r="DF93" i="7"/>
  <c r="DG93" i="7"/>
  <c r="DF94" i="7"/>
  <c r="DG94" i="7"/>
  <c r="DF95" i="7"/>
  <c r="DG95" i="7"/>
  <c r="DF96" i="7"/>
  <c r="DG96" i="7"/>
  <c r="DF97" i="7"/>
  <c r="DG97" i="7"/>
  <c r="DF98" i="7"/>
  <c r="DG98" i="7"/>
  <c r="DF99" i="7"/>
  <c r="DG99" i="7"/>
  <c r="DF100" i="7"/>
  <c r="DG100" i="7"/>
  <c r="DF101" i="7"/>
  <c r="DG101" i="7"/>
  <c r="DF102" i="7"/>
  <c r="DG102" i="7"/>
  <c r="DF103" i="7"/>
  <c r="DG103" i="7"/>
  <c r="DF104" i="7"/>
  <c r="DG104" i="7"/>
  <c r="DF105" i="7"/>
  <c r="DG105" i="7"/>
  <c r="DF106" i="7"/>
  <c r="DG106" i="7"/>
  <c r="DF107" i="7"/>
  <c r="DG107" i="7"/>
  <c r="DF108" i="7"/>
  <c r="DG108" i="7"/>
  <c r="DF109" i="7"/>
  <c r="DG109" i="7"/>
  <c r="DF110" i="7"/>
  <c r="DG110" i="7"/>
  <c r="DF111" i="7"/>
  <c r="DG111" i="7"/>
  <c r="DF112" i="7"/>
  <c r="DG112" i="7"/>
  <c r="CD3" i="7"/>
  <c r="CE3" i="7"/>
  <c r="CF3" i="7"/>
  <c r="CG3" i="7"/>
  <c r="CK3" i="7"/>
  <c r="CL3" i="7"/>
  <c r="CM3" i="7"/>
  <c r="CN3" i="7"/>
  <c r="CR3" i="7"/>
  <c r="CS3" i="7"/>
  <c r="CT3" i="7"/>
  <c r="CU3" i="7"/>
  <c r="CY3" i="7"/>
  <c r="CZ3" i="7"/>
  <c r="DA3" i="7"/>
  <c r="DB3" i="7"/>
  <c r="CD4" i="7"/>
  <c r="CE4" i="7"/>
  <c r="CF4" i="7"/>
  <c r="CG4" i="7"/>
  <c r="CK4" i="7"/>
  <c r="CL4" i="7"/>
  <c r="CM4" i="7"/>
  <c r="CN4" i="7"/>
  <c r="CR4" i="7"/>
  <c r="CS4" i="7"/>
  <c r="CT4" i="7"/>
  <c r="CU4" i="7"/>
  <c r="CY4" i="7"/>
  <c r="CZ4" i="7"/>
  <c r="DA4" i="7"/>
  <c r="DB4" i="7"/>
  <c r="CD5" i="7"/>
  <c r="CE5" i="7"/>
  <c r="CF5" i="7"/>
  <c r="CG5" i="7"/>
  <c r="CK5" i="7"/>
  <c r="CL5" i="7"/>
  <c r="CM5" i="7"/>
  <c r="CN5" i="7"/>
  <c r="CR5" i="7"/>
  <c r="CS5" i="7"/>
  <c r="CT5" i="7"/>
  <c r="CU5" i="7"/>
  <c r="CY5" i="7"/>
  <c r="CZ5" i="7"/>
  <c r="DA5" i="7"/>
  <c r="DB5" i="7"/>
  <c r="CD6" i="7"/>
  <c r="CE6" i="7"/>
  <c r="CF6" i="7"/>
  <c r="CG6" i="7"/>
  <c r="CK6" i="7"/>
  <c r="CL6" i="7"/>
  <c r="CM6" i="7"/>
  <c r="CN6" i="7"/>
  <c r="CR6" i="7"/>
  <c r="CS6" i="7"/>
  <c r="CT6" i="7"/>
  <c r="CU6" i="7"/>
  <c r="CY6" i="7"/>
  <c r="CZ6" i="7"/>
  <c r="DA6" i="7"/>
  <c r="DB6" i="7"/>
  <c r="CD7" i="7"/>
  <c r="CE7" i="7"/>
  <c r="CF7" i="7"/>
  <c r="CG7" i="7"/>
  <c r="CK7" i="7"/>
  <c r="CL7" i="7"/>
  <c r="CM7" i="7"/>
  <c r="CN7" i="7"/>
  <c r="CR7" i="7"/>
  <c r="CS7" i="7"/>
  <c r="CT7" i="7"/>
  <c r="CU7" i="7"/>
  <c r="CY7" i="7"/>
  <c r="CZ7" i="7"/>
  <c r="DA7" i="7"/>
  <c r="DB7" i="7"/>
  <c r="CD8" i="7"/>
  <c r="CE8" i="7"/>
  <c r="CF8" i="7"/>
  <c r="CG8" i="7"/>
  <c r="CK8" i="7"/>
  <c r="CL8" i="7"/>
  <c r="CM8" i="7"/>
  <c r="CN8" i="7"/>
  <c r="CR8" i="7"/>
  <c r="CS8" i="7"/>
  <c r="CT8" i="7"/>
  <c r="CU8" i="7"/>
  <c r="CY8" i="7"/>
  <c r="CZ8" i="7"/>
  <c r="DA8" i="7"/>
  <c r="DB8" i="7"/>
  <c r="CD9" i="7"/>
  <c r="CE9" i="7"/>
  <c r="CF9" i="7"/>
  <c r="CG9" i="7"/>
  <c r="CK9" i="7"/>
  <c r="CL9" i="7"/>
  <c r="CM9" i="7"/>
  <c r="CN9" i="7"/>
  <c r="CR9" i="7"/>
  <c r="CS9" i="7"/>
  <c r="CT9" i="7"/>
  <c r="CU9" i="7"/>
  <c r="CY9" i="7"/>
  <c r="CZ9" i="7"/>
  <c r="DA9" i="7"/>
  <c r="DB9" i="7"/>
  <c r="CD10" i="7"/>
  <c r="CE10" i="7"/>
  <c r="CF10" i="7"/>
  <c r="CG10" i="7"/>
  <c r="CK10" i="7"/>
  <c r="CL10" i="7"/>
  <c r="CM10" i="7"/>
  <c r="CN10" i="7"/>
  <c r="CR10" i="7"/>
  <c r="CS10" i="7"/>
  <c r="CT10" i="7"/>
  <c r="CU10" i="7"/>
  <c r="CY10" i="7"/>
  <c r="CZ10" i="7"/>
  <c r="DA10" i="7"/>
  <c r="DB10" i="7"/>
  <c r="CD11" i="7"/>
  <c r="CE11" i="7"/>
  <c r="CF11" i="7"/>
  <c r="CG11" i="7"/>
  <c r="CK11" i="7"/>
  <c r="CL11" i="7"/>
  <c r="CM11" i="7"/>
  <c r="CN11" i="7"/>
  <c r="CR11" i="7"/>
  <c r="CS11" i="7"/>
  <c r="CT11" i="7"/>
  <c r="CU11" i="7"/>
  <c r="CY11" i="7"/>
  <c r="CZ11" i="7"/>
  <c r="DA11" i="7"/>
  <c r="DB11" i="7"/>
  <c r="CD12" i="7"/>
  <c r="CE12" i="7"/>
  <c r="CF12" i="7"/>
  <c r="CG12" i="7"/>
  <c r="CK12" i="7"/>
  <c r="CL12" i="7"/>
  <c r="CM12" i="7"/>
  <c r="CN12" i="7"/>
  <c r="CR12" i="7"/>
  <c r="CS12" i="7"/>
  <c r="CT12" i="7"/>
  <c r="CU12" i="7"/>
  <c r="CY12" i="7"/>
  <c r="CZ12" i="7"/>
  <c r="DA12" i="7"/>
  <c r="DB12" i="7"/>
  <c r="CD13" i="7"/>
  <c r="CE13" i="7"/>
  <c r="CF13" i="7"/>
  <c r="CG13" i="7"/>
  <c r="CK13" i="7"/>
  <c r="CL13" i="7"/>
  <c r="CM13" i="7"/>
  <c r="CN13" i="7"/>
  <c r="CR13" i="7"/>
  <c r="CS13" i="7"/>
  <c r="CT13" i="7"/>
  <c r="CU13" i="7"/>
  <c r="CY13" i="7"/>
  <c r="CZ13" i="7"/>
  <c r="DA13" i="7"/>
  <c r="DB13" i="7"/>
  <c r="CD14" i="7"/>
  <c r="CE14" i="7"/>
  <c r="CF14" i="7"/>
  <c r="CG14" i="7"/>
  <c r="CK14" i="7"/>
  <c r="CL14" i="7"/>
  <c r="CM14" i="7"/>
  <c r="CN14" i="7"/>
  <c r="CR14" i="7"/>
  <c r="CS14" i="7"/>
  <c r="CT14" i="7"/>
  <c r="CU14" i="7"/>
  <c r="CY14" i="7"/>
  <c r="CZ14" i="7"/>
  <c r="DA14" i="7"/>
  <c r="DB14" i="7"/>
  <c r="CD15" i="7"/>
  <c r="CE15" i="7"/>
  <c r="CF15" i="7"/>
  <c r="CG15" i="7"/>
  <c r="CK15" i="7"/>
  <c r="CL15" i="7"/>
  <c r="CM15" i="7"/>
  <c r="CN15" i="7"/>
  <c r="CR15" i="7"/>
  <c r="CS15" i="7"/>
  <c r="CT15" i="7"/>
  <c r="CU15" i="7"/>
  <c r="CY15" i="7"/>
  <c r="CZ15" i="7"/>
  <c r="DA15" i="7"/>
  <c r="DB15" i="7"/>
  <c r="CD16" i="7"/>
  <c r="CE16" i="7"/>
  <c r="CF16" i="7"/>
  <c r="CG16" i="7"/>
  <c r="CK16" i="7"/>
  <c r="CL16" i="7"/>
  <c r="CM16" i="7"/>
  <c r="CN16" i="7"/>
  <c r="CR16" i="7"/>
  <c r="CS16" i="7"/>
  <c r="CT16" i="7"/>
  <c r="CU16" i="7"/>
  <c r="CY16" i="7"/>
  <c r="CZ16" i="7"/>
  <c r="DA16" i="7"/>
  <c r="DB16" i="7"/>
  <c r="CD17" i="7"/>
  <c r="CE17" i="7"/>
  <c r="CF17" i="7"/>
  <c r="CG17" i="7"/>
  <c r="CK17" i="7"/>
  <c r="CL17" i="7"/>
  <c r="CM17" i="7"/>
  <c r="CN17" i="7"/>
  <c r="CR17" i="7"/>
  <c r="CS17" i="7"/>
  <c r="CT17" i="7"/>
  <c r="CU17" i="7"/>
  <c r="CY17" i="7"/>
  <c r="CZ17" i="7"/>
  <c r="DA17" i="7"/>
  <c r="DB17" i="7"/>
  <c r="CD18" i="7"/>
  <c r="CE18" i="7"/>
  <c r="CF18" i="7"/>
  <c r="CG18" i="7"/>
  <c r="CK18" i="7"/>
  <c r="CL18" i="7"/>
  <c r="CM18" i="7"/>
  <c r="CN18" i="7"/>
  <c r="CR18" i="7"/>
  <c r="CS18" i="7"/>
  <c r="CT18" i="7"/>
  <c r="CU18" i="7"/>
  <c r="CY18" i="7"/>
  <c r="CZ18" i="7"/>
  <c r="DA18" i="7"/>
  <c r="DB18" i="7"/>
  <c r="CD19" i="7"/>
  <c r="CE19" i="7"/>
  <c r="CF19" i="7"/>
  <c r="CG19" i="7"/>
  <c r="CK19" i="7"/>
  <c r="CL19" i="7"/>
  <c r="CM19" i="7"/>
  <c r="CN19" i="7"/>
  <c r="CR19" i="7"/>
  <c r="CS19" i="7"/>
  <c r="CT19" i="7"/>
  <c r="CU19" i="7"/>
  <c r="CY19" i="7"/>
  <c r="CZ19" i="7"/>
  <c r="DA19" i="7"/>
  <c r="DB19" i="7"/>
  <c r="CD20" i="7"/>
  <c r="CE20" i="7"/>
  <c r="CF20" i="7"/>
  <c r="CG20" i="7"/>
  <c r="CK20" i="7"/>
  <c r="CL20" i="7"/>
  <c r="CM20" i="7"/>
  <c r="CN20" i="7"/>
  <c r="CR20" i="7"/>
  <c r="CS20" i="7"/>
  <c r="CT20" i="7"/>
  <c r="CU20" i="7"/>
  <c r="CY20" i="7"/>
  <c r="CZ20" i="7"/>
  <c r="DA20" i="7"/>
  <c r="DB20" i="7"/>
  <c r="CD21" i="7"/>
  <c r="CE21" i="7"/>
  <c r="CF21" i="7"/>
  <c r="CG21" i="7"/>
  <c r="CK21" i="7"/>
  <c r="CL21" i="7"/>
  <c r="CM21" i="7"/>
  <c r="CN21" i="7"/>
  <c r="CR21" i="7"/>
  <c r="CS21" i="7"/>
  <c r="CT21" i="7"/>
  <c r="CU21" i="7"/>
  <c r="CY21" i="7"/>
  <c r="CZ21" i="7"/>
  <c r="DA21" i="7"/>
  <c r="DB21" i="7"/>
  <c r="CD22" i="7"/>
  <c r="CE22" i="7"/>
  <c r="CF22" i="7"/>
  <c r="CG22" i="7"/>
  <c r="CK22" i="7"/>
  <c r="CL22" i="7"/>
  <c r="CM22" i="7"/>
  <c r="CN22" i="7"/>
  <c r="CR22" i="7"/>
  <c r="CS22" i="7"/>
  <c r="CT22" i="7"/>
  <c r="CU22" i="7"/>
  <c r="CY22" i="7"/>
  <c r="CZ22" i="7"/>
  <c r="DA22" i="7"/>
  <c r="DB22" i="7"/>
  <c r="CD23" i="7"/>
  <c r="CE23" i="7"/>
  <c r="CF23" i="7"/>
  <c r="CG23" i="7"/>
  <c r="CK23" i="7"/>
  <c r="CL23" i="7"/>
  <c r="CM23" i="7"/>
  <c r="CN23" i="7"/>
  <c r="CR23" i="7"/>
  <c r="CS23" i="7"/>
  <c r="CT23" i="7"/>
  <c r="CU23" i="7"/>
  <c r="CY23" i="7"/>
  <c r="CZ23" i="7"/>
  <c r="DA23" i="7"/>
  <c r="DB23" i="7"/>
  <c r="CD24" i="7"/>
  <c r="CE24" i="7"/>
  <c r="CF24" i="7"/>
  <c r="CG24" i="7"/>
  <c r="CK24" i="7"/>
  <c r="CL24" i="7"/>
  <c r="CM24" i="7"/>
  <c r="CN24" i="7"/>
  <c r="CR24" i="7"/>
  <c r="CS24" i="7"/>
  <c r="CT24" i="7"/>
  <c r="CU24" i="7"/>
  <c r="CY24" i="7"/>
  <c r="CZ24" i="7"/>
  <c r="DA24" i="7"/>
  <c r="DB24" i="7"/>
  <c r="CD25" i="7"/>
  <c r="CE25" i="7"/>
  <c r="CF25" i="7"/>
  <c r="CG25" i="7"/>
  <c r="CK25" i="7"/>
  <c r="CL25" i="7"/>
  <c r="CM25" i="7"/>
  <c r="CN25" i="7"/>
  <c r="CR25" i="7"/>
  <c r="CS25" i="7"/>
  <c r="CT25" i="7"/>
  <c r="CU25" i="7"/>
  <c r="CY25" i="7"/>
  <c r="CZ25" i="7"/>
  <c r="DA25" i="7"/>
  <c r="DB25" i="7"/>
  <c r="CD26" i="7"/>
  <c r="CE26" i="7"/>
  <c r="CF26" i="7"/>
  <c r="CG26" i="7"/>
  <c r="CK26" i="7"/>
  <c r="CL26" i="7"/>
  <c r="CM26" i="7"/>
  <c r="CN26" i="7"/>
  <c r="CR26" i="7"/>
  <c r="CS26" i="7"/>
  <c r="CT26" i="7"/>
  <c r="CU26" i="7"/>
  <c r="CY26" i="7"/>
  <c r="CZ26" i="7"/>
  <c r="DA26" i="7"/>
  <c r="DB26" i="7"/>
  <c r="CD27" i="7"/>
  <c r="CE27" i="7"/>
  <c r="CF27" i="7"/>
  <c r="CG27" i="7"/>
  <c r="CK27" i="7"/>
  <c r="CL27" i="7"/>
  <c r="CM27" i="7"/>
  <c r="CN27" i="7"/>
  <c r="CR27" i="7"/>
  <c r="CS27" i="7"/>
  <c r="CT27" i="7"/>
  <c r="CU27" i="7"/>
  <c r="CY27" i="7"/>
  <c r="CZ27" i="7"/>
  <c r="DA27" i="7"/>
  <c r="DB27" i="7"/>
  <c r="CD28" i="7"/>
  <c r="CE28" i="7"/>
  <c r="CF28" i="7"/>
  <c r="CG28" i="7"/>
  <c r="CK28" i="7"/>
  <c r="CL28" i="7"/>
  <c r="CM28" i="7"/>
  <c r="CN28" i="7"/>
  <c r="CR28" i="7"/>
  <c r="CS28" i="7"/>
  <c r="CT28" i="7"/>
  <c r="CU28" i="7"/>
  <c r="CY28" i="7"/>
  <c r="CZ28" i="7"/>
  <c r="DA28" i="7"/>
  <c r="DB28" i="7"/>
  <c r="CD29" i="7"/>
  <c r="CE29" i="7"/>
  <c r="CF29" i="7"/>
  <c r="CG29" i="7"/>
  <c r="CK29" i="7"/>
  <c r="CL29" i="7"/>
  <c r="CM29" i="7"/>
  <c r="CN29" i="7"/>
  <c r="CR29" i="7"/>
  <c r="CS29" i="7"/>
  <c r="CT29" i="7"/>
  <c r="CU29" i="7"/>
  <c r="CY29" i="7"/>
  <c r="CZ29" i="7"/>
  <c r="DA29" i="7"/>
  <c r="DB29" i="7"/>
  <c r="CD30" i="7"/>
  <c r="CE30" i="7"/>
  <c r="CF30" i="7"/>
  <c r="CG30" i="7"/>
  <c r="CK30" i="7"/>
  <c r="CL30" i="7"/>
  <c r="CM30" i="7"/>
  <c r="CN30" i="7"/>
  <c r="CR30" i="7"/>
  <c r="CS30" i="7"/>
  <c r="CT30" i="7"/>
  <c r="CU30" i="7"/>
  <c r="CY30" i="7"/>
  <c r="CZ30" i="7"/>
  <c r="DA30" i="7"/>
  <c r="DB30" i="7"/>
  <c r="CD31" i="7"/>
  <c r="CE31" i="7"/>
  <c r="CF31" i="7"/>
  <c r="CG31" i="7"/>
  <c r="CK31" i="7"/>
  <c r="CL31" i="7"/>
  <c r="CM31" i="7"/>
  <c r="CN31" i="7"/>
  <c r="CR31" i="7"/>
  <c r="CS31" i="7"/>
  <c r="CT31" i="7"/>
  <c r="CU31" i="7"/>
  <c r="CY31" i="7"/>
  <c r="CZ31" i="7"/>
  <c r="DA31" i="7"/>
  <c r="DB31" i="7"/>
  <c r="CD32" i="7"/>
  <c r="CE32" i="7"/>
  <c r="CF32" i="7"/>
  <c r="CG32" i="7"/>
  <c r="CK32" i="7"/>
  <c r="CL32" i="7"/>
  <c r="CM32" i="7"/>
  <c r="CN32" i="7"/>
  <c r="CR32" i="7"/>
  <c r="CS32" i="7"/>
  <c r="CT32" i="7"/>
  <c r="CU32" i="7"/>
  <c r="CY32" i="7"/>
  <c r="CZ32" i="7"/>
  <c r="DA32" i="7"/>
  <c r="DB32" i="7"/>
  <c r="CD33" i="7"/>
  <c r="CE33" i="7"/>
  <c r="CF33" i="7"/>
  <c r="CG33" i="7"/>
  <c r="CK33" i="7"/>
  <c r="CL33" i="7"/>
  <c r="CM33" i="7"/>
  <c r="CN33" i="7"/>
  <c r="CR33" i="7"/>
  <c r="CS33" i="7"/>
  <c r="CT33" i="7"/>
  <c r="CU33" i="7"/>
  <c r="CY33" i="7"/>
  <c r="CZ33" i="7"/>
  <c r="DA33" i="7"/>
  <c r="DB33" i="7"/>
  <c r="CD34" i="7"/>
  <c r="CE34" i="7"/>
  <c r="CF34" i="7"/>
  <c r="CG34" i="7"/>
  <c r="CK34" i="7"/>
  <c r="CL34" i="7"/>
  <c r="CM34" i="7"/>
  <c r="CN34" i="7"/>
  <c r="CR34" i="7"/>
  <c r="CS34" i="7"/>
  <c r="CT34" i="7"/>
  <c r="CU34" i="7"/>
  <c r="CY34" i="7"/>
  <c r="CZ34" i="7"/>
  <c r="DA34" i="7"/>
  <c r="DB34" i="7"/>
  <c r="CD35" i="7"/>
  <c r="CE35" i="7"/>
  <c r="CF35" i="7"/>
  <c r="CG35" i="7"/>
  <c r="CK35" i="7"/>
  <c r="CL35" i="7"/>
  <c r="CM35" i="7"/>
  <c r="CN35" i="7"/>
  <c r="CR35" i="7"/>
  <c r="CS35" i="7"/>
  <c r="CT35" i="7"/>
  <c r="CU35" i="7"/>
  <c r="CY35" i="7"/>
  <c r="CZ35" i="7"/>
  <c r="DA35" i="7"/>
  <c r="DB35" i="7"/>
  <c r="CD36" i="7"/>
  <c r="CE36" i="7"/>
  <c r="CF36" i="7"/>
  <c r="CG36" i="7"/>
  <c r="CK36" i="7"/>
  <c r="CL36" i="7"/>
  <c r="CM36" i="7"/>
  <c r="CN36" i="7"/>
  <c r="CR36" i="7"/>
  <c r="CS36" i="7"/>
  <c r="CT36" i="7"/>
  <c r="CU36" i="7"/>
  <c r="CY36" i="7"/>
  <c r="CZ36" i="7"/>
  <c r="DA36" i="7"/>
  <c r="DB36" i="7"/>
  <c r="CD37" i="7"/>
  <c r="CE37" i="7"/>
  <c r="CF37" i="7"/>
  <c r="CG37" i="7"/>
  <c r="CK37" i="7"/>
  <c r="CL37" i="7"/>
  <c r="CM37" i="7"/>
  <c r="CN37" i="7"/>
  <c r="CR37" i="7"/>
  <c r="CS37" i="7"/>
  <c r="CT37" i="7"/>
  <c r="CU37" i="7"/>
  <c r="CY37" i="7"/>
  <c r="CZ37" i="7"/>
  <c r="DA37" i="7"/>
  <c r="DB37" i="7"/>
  <c r="CD38" i="7"/>
  <c r="CE38" i="7"/>
  <c r="CF38" i="7"/>
  <c r="CG38" i="7"/>
  <c r="CK38" i="7"/>
  <c r="CL38" i="7"/>
  <c r="CM38" i="7"/>
  <c r="CN38" i="7"/>
  <c r="CR38" i="7"/>
  <c r="CS38" i="7"/>
  <c r="CT38" i="7"/>
  <c r="CU38" i="7"/>
  <c r="CY38" i="7"/>
  <c r="CZ38" i="7"/>
  <c r="DA38" i="7"/>
  <c r="DB38" i="7"/>
  <c r="CD39" i="7"/>
  <c r="CE39" i="7"/>
  <c r="CF39" i="7"/>
  <c r="CG39" i="7"/>
  <c r="CK39" i="7"/>
  <c r="CL39" i="7"/>
  <c r="CM39" i="7"/>
  <c r="CN39" i="7"/>
  <c r="CR39" i="7"/>
  <c r="CS39" i="7"/>
  <c r="CT39" i="7"/>
  <c r="CU39" i="7"/>
  <c r="CY39" i="7"/>
  <c r="CZ39" i="7"/>
  <c r="DA39" i="7"/>
  <c r="DB39" i="7"/>
  <c r="CD40" i="7"/>
  <c r="CE40" i="7"/>
  <c r="CF40" i="7"/>
  <c r="CG40" i="7"/>
  <c r="CK40" i="7"/>
  <c r="CL40" i="7"/>
  <c r="CM40" i="7"/>
  <c r="CN40" i="7"/>
  <c r="CR40" i="7"/>
  <c r="CS40" i="7"/>
  <c r="CT40" i="7"/>
  <c r="CU40" i="7"/>
  <c r="CY40" i="7"/>
  <c r="CZ40" i="7"/>
  <c r="DA40" i="7"/>
  <c r="DB40" i="7"/>
  <c r="CD53" i="7"/>
  <c r="CE53" i="7"/>
  <c r="CF53" i="7"/>
  <c r="CG53" i="7"/>
  <c r="CK53" i="7"/>
  <c r="CL53" i="7"/>
  <c r="CM53" i="7"/>
  <c r="CN53" i="7"/>
  <c r="CR53" i="7"/>
  <c r="CS53" i="7"/>
  <c r="CT53" i="7"/>
  <c r="CU53" i="7"/>
  <c r="CY53" i="7"/>
  <c r="CZ53" i="7"/>
  <c r="DA53" i="7"/>
  <c r="DB53" i="7"/>
  <c r="CD54" i="7"/>
  <c r="CE54" i="7"/>
  <c r="CF54" i="7"/>
  <c r="CG54" i="7"/>
  <c r="CK54" i="7"/>
  <c r="CL54" i="7"/>
  <c r="CM54" i="7"/>
  <c r="CN54" i="7"/>
  <c r="CR54" i="7"/>
  <c r="CS54" i="7"/>
  <c r="CT54" i="7"/>
  <c r="CU54" i="7"/>
  <c r="CY54" i="7"/>
  <c r="CZ54" i="7"/>
  <c r="DA54" i="7"/>
  <c r="DB54" i="7"/>
  <c r="CD55" i="7"/>
  <c r="CE55" i="7"/>
  <c r="CF55" i="7"/>
  <c r="CG55" i="7"/>
  <c r="CK55" i="7"/>
  <c r="CL55" i="7"/>
  <c r="CM55" i="7"/>
  <c r="CN55" i="7"/>
  <c r="CR55" i="7"/>
  <c r="CS55" i="7"/>
  <c r="CT55" i="7"/>
  <c r="CU55" i="7"/>
  <c r="CY55" i="7"/>
  <c r="CZ55" i="7"/>
  <c r="DA55" i="7"/>
  <c r="DB55" i="7"/>
  <c r="CD56" i="7"/>
  <c r="CE56" i="7"/>
  <c r="CF56" i="7"/>
  <c r="CG56" i="7"/>
  <c r="CK56" i="7"/>
  <c r="CL56" i="7"/>
  <c r="CM56" i="7"/>
  <c r="CN56" i="7"/>
  <c r="CR56" i="7"/>
  <c r="CS56" i="7"/>
  <c r="CT56" i="7"/>
  <c r="CU56" i="7"/>
  <c r="CY56" i="7"/>
  <c r="CZ56" i="7"/>
  <c r="DA56" i="7"/>
  <c r="DB56" i="7"/>
  <c r="CD57" i="7"/>
  <c r="CE57" i="7"/>
  <c r="CF57" i="7"/>
  <c r="CG57" i="7"/>
  <c r="CK57" i="7"/>
  <c r="CL57" i="7"/>
  <c r="CM57" i="7"/>
  <c r="CN57" i="7"/>
  <c r="CR57" i="7"/>
  <c r="CS57" i="7"/>
  <c r="CT57" i="7"/>
  <c r="CU57" i="7"/>
  <c r="CY57" i="7"/>
  <c r="CZ57" i="7"/>
  <c r="DA57" i="7"/>
  <c r="DB57" i="7"/>
  <c r="CD58" i="7"/>
  <c r="CE58" i="7"/>
  <c r="CF58" i="7"/>
  <c r="CG58" i="7"/>
  <c r="CK58" i="7"/>
  <c r="CL58" i="7"/>
  <c r="CM58" i="7"/>
  <c r="CN58" i="7"/>
  <c r="CR58" i="7"/>
  <c r="CS58" i="7"/>
  <c r="CT58" i="7"/>
  <c r="CU58" i="7"/>
  <c r="CY58" i="7"/>
  <c r="CZ58" i="7"/>
  <c r="DA58" i="7"/>
  <c r="DB58" i="7"/>
  <c r="CD59" i="7"/>
  <c r="CE59" i="7"/>
  <c r="CF59" i="7"/>
  <c r="CG59" i="7"/>
  <c r="CK59" i="7"/>
  <c r="CL59" i="7"/>
  <c r="CM59" i="7"/>
  <c r="CN59" i="7"/>
  <c r="CR59" i="7"/>
  <c r="CS59" i="7"/>
  <c r="CT59" i="7"/>
  <c r="CU59" i="7"/>
  <c r="CY59" i="7"/>
  <c r="CZ59" i="7"/>
  <c r="DA59" i="7"/>
  <c r="DB59" i="7"/>
  <c r="CD60" i="7"/>
  <c r="CE60" i="7"/>
  <c r="CF60" i="7"/>
  <c r="CG60" i="7"/>
  <c r="CK60" i="7"/>
  <c r="CL60" i="7"/>
  <c r="CM60" i="7"/>
  <c r="CN60" i="7"/>
  <c r="CR60" i="7"/>
  <c r="CS60" i="7"/>
  <c r="CT60" i="7"/>
  <c r="CU60" i="7"/>
  <c r="CY60" i="7"/>
  <c r="CZ60" i="7"/>
  <c r="DA60" i="7"/>
  <c r="DB60" i="7"/>
  <c r="CD61" i="7"/>
  <c r="CE61" i="7"/>
  <c r="CF61" i="7"/>
  <c r="CG61" i="7"/>
  <c r="CK61" i="7"/>
  <c r="CL61" i="7"/>
  <c r="CM61" i="7"/>
  <c r="CN61" i="7"/>
  <c r="CR61" i="7"/>
  <c r="CS61" i="7"/>
  <c r="CT61" i="7"/>
  <c r="CU61" i="7"/>
  <c r="CY61" i="7"/>
  <c r="CZ61" i="7"/>
  <c r="DA61" i="7"/>
  <c r="DB61" i="7"/>
  <c r="CD62" i="7"/>
  <c r="CE62" i="7"/>
  <c r="CF62" i="7"/>
  <c r="CG62" i="7"/>
  <c r="CK62" i="7"/>
  <c r="CL62" i="7"/>
  <c r="CM62" i="7"/>
  <c r="CN62" i="7"/>
  <c r="CR62" i="7"/>
  <c r="CS62" i="7"/>
  <c r="CT62" i="7"/>
  <c r="CU62" i="7"/>
  <c r="CY62" i="7"/>
  <c r="CZ62" i="7"/>
  <c r="DA62" i="7"/>
  <c r="DB62" i="7"/>
  <c r="CD63" i="7"/>
  <c r="CE63" i="7"/>
  <c r="CF63" i="7"/>
  <c r="CG63" i="7"/>
  <c r="CK63" i="7"/>
  <c r="CL63" i="7"/>
  <c r="CM63" i="7"/>
  <c r="CN63" i="7"/>
  <c r="CR63" i="7"/>
  <c r="CS63" i="7"/>
  <c r="CT63" i="7"/>
  <c r="CU63" i="7"/>
  <c r="CY63" i="7"/>
  <c r="CZ63" i="7"/>
  <c r="DA63" i="7"/>
  <c r="DB63" i="7"/>
  <c r="CD64" i="7"/>
  <c r="CE64" i="7"/>
  <c r="CF64" i="7"/>
  <c r="CG64" i="7"/>
  <c r="CK64" i="7"/>
  <c r="CL64" i="7"/>
  <c r="CM64" i="7"/>
  <c r="CN64" i="7"/>
  <c r="CR64" i="7"/>
  <c r="CS64" i="7"/>
  <c r="CT64" i="7"/>
  <c r="CU64" i="7"/>
  <c r="CY64" i="7"/>
  <c r="CZ64" i="7"/>
  <c r="DA64" i="7"/>
  <c r="DB64" i="7"/>
  <c r="CD65" i="7"/>
  <c r="CE65" i="7"/>
  <c r="CF65" i="7"/>
  <c r="CG65" i="7"/>
  <c r="CK65" i="7"/>
  <c r="CL65" i="7"/>
  <c r="CM65" i="7"/>
  <c r="CN65" i="7"/>
  <c r="CR65" i="7"/>
  <c r="CS65" i="7"/>
  <c r="CT65" i="7"/>
  <c r="CU65" i="7"/>
  <c r="CY65" i="7"/>
  <c r="CZ65" i="7"/>
  <c r="DA65" i="7"/>
  <c r="DB65" i="7"/>
  <c r="CD66" i="7"/>
  <c r="CE66" i="7"/>
  <c r="CF66" i="7"/>
  <c r="CG66" i="7"/>
  <c r="CK66" i="7"/>
  <c r="CL66" i="7"/>
  <c r="CM66" i="7"/>
  <c r="CN66" i="7"/>
  <c r="CR66" i="7"/>
  <c r="CS66" i="7"/>
  <c r="CT66" i="7"/>
  <c r="CU66" i="7"/>
  <c r="CY66" i="7"/>
  <c r="CZ66" i="7"/>
  <c r="DA66" i="7"/>
  <c r="DB66" i="7"/>
  <c r="CD67" i="7"/>
  <c r="CE67" i="7"/>
  <c r="CF67" i="7"/>
  <c r="CG67" i="7"/>
  <c r="CK67" i="7"/>
  <c r="CL67" i="7"/>
  <c r="CM67" i="7"/>
  <c r="CN67" i="7"/>
  <c r="CR67" i="7"/>
  <c r="CS67" i="7"/>
  <c r="CT67" i="7"/>
  <c r="CU67" i="7"/>
  <c r="CY67" i="7"/>
  <c r="CZ67" i="7"/>
  <c r="DA67" i="7"/>
  <c r="DB67" i="7"/>
  <c r="CD68" i="7"/>
  <c r="CE68" i="7"/>
  <c r="CF68" i="7"/>
  <c r="CG68" i="7"/>
  <c r="CK68" i="7"/>
  <c r="CL68" i="7"/>
  <c r="CM68" i="7"/>
  <c r="CN68" i="7"/>
  <c r="CR68" i="7"/>
  <c r="CS68" i="7"/>
  <c r="CT68" i="7"/>
  <c r="CU68" i="7"/>
  <c r="CY68" i="7"/>
  <c r="CZ68" i="7"/>
  <c r="DA68" i="7"/>
  <c r="DB68" i="7"/>
  <c r="CD69" i="7"/>
  <c r="CE69" i="7"/>
  <c r="CF69" i="7"/>
  <c r="CG69" i="7"/>
  <c r="CK69" i="7"/>
  <c r="CL69" i="7"/>
  <c r="CM69" i="7"/>
  <c r="CN69" i="7"/>
  <c r="CR69" i="7"/>
  <c r="CS69" i="7"/>
  <c r="CT69" i="7"/>
  <c r="CU69" i="7"/>
  <c r="CY69" i="7"/>
  <c r="CZ69" i="7"/>
  <c r="DA69" i="7"/>
  <c r="DB69" i="7"/>
  <c r="CD70" i="7"/>
  <c r="CE70" i="7"/>
  <c r="CF70" i="7"/>
  <c r="CG70" i="7"/>
  <c r="CK70" i="7"/>
  <c r="CL70" i="7"/>
  <c r="CM70" i="7"/>
  <c r="CN70" i="7"/>
  <c r="CR70" i="7"/>
  <c r="CS70" i="7"/>
  <c r="CT70" i="7"/>
  <c r="CU70" i="7"/>
  <c r="CY70" i="7"/>
  <c r="CZ70" i="7"/>
  <c r="DA70" i="7"/>
  <c r="DB70" i="7"/>
  <c r="CD71" i="7"/>
  <c r="CE71" i="7"/>
  <c r="CF71" i="7"/>
  <c r="CG71" i="7"/>
  <c r="CK71" i="7"/>
  <c r="CL71" i="7"/>
  <c r="CM71" i="7"/>
  <c r="CN71" i="7"/>
  <c r="CR71" i="7"/>
  <c r="CS71" i="7"/>
  <c r="CT71" i="7"/>
  <c r="CU71" i="7"/>
  <c r="CY71" i="7"/>
  <c r="CZ71" i="7"/>
  <c r="DA71" i="7"/>
  <c r="DB71" i="7"/>
  <c r="CD72" i="7"/>
  <c r="CE72" i="7"/>
  <c r="CF72" i="7"/>
  <c r="CG72" i="7"/>
  <c r="CK72" i="7"/>
  <c r="CL72" i="7"/>
  <c r="CM72" i="7"/>
  <c r="CN72" i="7"/>
  <c r="CR72" i="7"/>
  <c r="CS72" i="7"/>
  <c r="CT72" i="7"/>
  <c r="CU72" i="7"/>
  <c r="CY72" i="7"/>
  <c r="CZ72" i="7"/>
  <c r="DA72" i="7"/>
  <c r="DB72" i="7"/>
  <c r="CD73" i="7"/>
  <c r="CE73" i="7"/>
  <c r="CF73" i="7"/>
  <c r="CG73" i="7"/>
  <c r="CK73" i="7"/>
  <c r="CL73" i="7"/>
  <c r="CM73" i="7"/>
  <c r="CN73" i="7"/>
  <c r="CR73" i="7"/>
  <c r="CS73" i="7"/>
  <c r="CT73" i="7"/>
  <c r="CU73" i="7"/>
  <c r="CY73" i="7"/>
  <c r="CZ73" i="7"/>
  <c r="DA73" i="7"/>
  <c r="DB73" i="7"/>
  <c r="CD74" i="7"/>
  <c r="CE74" i="7"/>
  <c r="CF74" i="7"/>
  <c r="CG74" i="7"/>
  <c r="CK74" i="7"/>
  <c r="CL74" i="7"/>
  <c r="CM74" i="7"/>
  <c r="CN74" i="7"/>
  <c r="CR74" i="7"/>
  <c r="CS74" i="7"/>
  <c r="CT74" i="7"/>
  <c r="CU74" i="7"/>
  <c r="CY74" i="7"/>
  <c r="CZ74" i="7"/>
  <c r="DA74" i="7"/>
  <c r="DB74" i="7"/>
  <c r="CD75" i="7"/>
  <c r="CE75" i="7"/>
  <c r="CF75" i="7"/>
  <c r="CG75" i="7"/>
  <c r="CK75" i="7"/>
  <c r="CL75" i="7"/>
  <c r="CM75" i="7"/>
  <c r="CN75" i="7"/>
  <c r="CR75" i="7"/>
  <c r="CS75" i="7"/>
  <c r="CT75" i="7"/>
  <c r="CU75" i="7"/>
  <c r="CY75" i="7"/>
  <c r="CZ75" i="7"/>
  <c r="DA75" i="7"/>
  <c r="DB75" i="7"/>
  <c r="CD76" i="7"/>
  <c r="CE76" i="7"/>
  <c r="CF76" i="7"/>
  <c r="CG76" i="7"/>
  <c r="CK76" i="7"/>
  <c r="CL76" i="7"/>
  <c r="CM76" i="7"/>
  <c r="CN76" i="7"/>
  <c r="CR76" i="7"/>
  <c r="CS76" i="7"/>
  <c r="CT76" i="7"/>
  <c r="CU76" i="7"/>
  <c r="CY76" i="7"/>
  <c r="CZ76" i="7"/>
  <c r="DA76" i="7"/>
  <c r="DB76" i="7"/>
  <c r="CD77" i="7"/>
  <c r="CE77" i="7"/>
  <c r="CF77" i="7"/>
  <c r="CG77" i="7"/>
  <c r="CK77" i="7"/>
  <c r="CL77" i="7"/>
  <c r="CM77" i="7"/>
  <c r="CN77" i="7"/>
  <c r="CR77" i="7"/>
  <c r="CS77" i="7"/>
  <c r="CT77" i="7"/>
  <c r="CU77" i="7"/>
  <c r="CY77" i="7"/>
  <c r="CZ77" i="7"/>
  <c r="DA77" i="7"/>
  <c r="DB77" i="7"/>
  <c r="CD78" i="7"/>
  <c r="CE78" i="7"/>
  <c r="CF78" i="7"/>
  <c r="CG78" i="7"/>
  <c r="CK78" i="7"/>
  <c r="CL78" i="7"/>
  <c r="CM78" i="7"/>
  <c r="CN78" i="7"/>
  <c r="CR78" i="7"/>
  <c r="CS78" i="7"/>
  <c r="CT78" i="7"/>
  <c r="CU78" i="7"/>
  <c r="CY78" i="7"/>
  <c r="CZ78" i="7"/>
  <c r="DA78" i="7"/>
  <c r="DB78" i="7"/>
  <c r="CD79" i="7"/>
  <c r="CE79" i="7"/>
  <c r="CF79" i="7"/>
  <c r="CG79" i="7"/>
  <c r="CK79" i="7"/>
  <c r="CL79" i="7"/>
  <c r="CM79" i="7"/>
  <c r="CN79" i="7"/>
  <c r="CR79" i="7"/>
  <c r="CS79" i="7"/>
  <c r="CT79" i="7"/>
  <c r="CU79" i="7"/>
  <c r="CY79" i="7"/>
  <c r="CZ79" i="7"/>
  <c r="DA79" i="7"/>
  <c r="DB79" i="7"/>
  <c r="CD80" i="7"/>
  <c r="CE80" i="7"/>
  <c r="CF80" i="7"/>
  <c r="CG80" i="7"/>
  <c r="CK80" i="7"/>
  <c r="CL80" i="7"/>
  <c r="CM80" i="7"/>
  <c r="CN80" i="7"/>
  <c r="CR80" i="7"/>
  <c r="CS80" i="7"/>
  <c r="CT80" i="7"/>
  <c r="CU80" i="7"/>
  <c r="CY80" i="7"/>
  <c r="CZ80" i="7"/>
  <c r="DA80" i="7"/>
  <c r="DB80" i="7"/>
  <c r="CD81" i="7"/>
  <c r="CE81" i="7"/>
  <c r="CF81" i="7"/>
  <c r="CG81" i="7"/>
  <c r="CK81" i="7"/>
  <c r="CL81" i="7"/>
  <c r="CM81" i="7"/>
  <c r="CN81" i="7"/>
  <c r="CR81" i="7"/>
  <c r="CS81" i="7"/>
  <c r="CT81" i="7"/>
  <c r="CU81" i="7"/>
  <c r="CY81" i="7"/>
  <c r="CZ81" i="7"/>
  <c r="DA81" i="7"/>
  <c r="DB81" i="7"/>
  <c r="CD82" i="7"/>
  <c r="CE82" i="7"/>
  <c r="CF82" i="7"/>
  <c r="CG82" i="7"/>
  <c r="CK82" i="7"/>
  <c r="CL82" i="7"/>
  <c r="CM82" i="7"/>
  <c r="CN82" i="7"/>
  <c r="CR82" i="7"/>
  <c r="CS82" i="7"/>
  <c r="CT82" i="7"/>
  <c r="CU82" i="7"/>
  <c r="CY82" i="7"/>
  <c r="CZ82" i="7"/>
  <c r="DA82" i="7"/>
  <c r="DB82" i="7"/>
  <c r="CD83" i="7"/>
  <c r="CE83" i="7"/>
  <c r="CF83" i="7"/>
  <c r="CG83" i="7"/>
  <c r="CK83" i="7"/>
  <c r="CL83" i="7"/>
  <c r="CM83" i="7"/>
  <c r="CN83" i="7"/>
  <c r="CR83" i="7"/>
  <c r="CS83" i="7"/>
  <c r="CT83" i="7"/>
  <c r="CU83" i="7"/>
  <c r="CY83" i="7"/>
  <c r="CZ83" i="7"/>
  <c r="DA83" i="7"/>
  <c r="DB83" i="7"/>
  <c r="CD84" i="7"/>
  <c r="CE84" i="7"/>
  <c r="CF84" i="7"/>
  <c r="CG84" i="7"/>
  <c r="CK84" i="7"/>
  <c r="CL84" i="7"/>
  <c r="CM84" i="7"/>
  <c r="CN84" i="7"/>
  <c r="CR84" i="7"/>
  <c r="CS84" i="7"/>
  <c r="CT84" i="7"/>
  <c r="CU84" i="7"/>
  <c r="CY84" i="7"/>
  <c r="CZ84" i="7"/>
  <c r="DA84" i="7"/>
  <c r="DB84" i="7"/>
  <c r="CD85" i="7"/>
  <c r="CE85" i="7"/>
  <c r="CF85" i="7"/>
  <c r="CG85" i="7"/>
  <c r="CK85" i="7"/>
  <c r="CL85" i="7"/>
  <c r="CM85" i="7"/>
  <c r="CN85" i="7"/>
  <c r="CR85" i="7"/>
  <c r="CS85" i="7"/>
  <c r="CT85" i="7"/>
  <c r="CU85" i="7"/>
  <c r="CY85" i="7"/>
  <c r="CZ85" i="7"/>
  <c r="DA85" i="7"/>
  <c r="DB85" i="7"/>
  <c r="CD86" i="7"/>
  <c r="CE86" i="7"/>
  <c r="CF86" i="7"/>
  <c r="CG86" i="7"/>
  <c r="CK86" i="7"/>
  <c r="CL86" i="7"/>
  <c r="CM86" i="7"/>
  <c r="CN86" i="7"/>
  <c r="CR86" i="7"/>
  <c r="CS86" i="7"/>
  <c r="CT86" i="7"/>
  <c r="CU86" i="7"/>
  <c r="CY86" i="7"/>
  <c r="CZ86" i="7"/>
  <c r="DA86" i="7"/>
  <c r="DB86" i="7"/>
  <c r="CD87" i="7"/>
  <c r="CE87" i="7"/>
  <c r="CF87" i="7"/>
  <c r="CG87" i="7"/>
  <c r="CK87" i="7"/>
  <c r="CL87" i="7"/>
  <c r="CM87" i="7"/>
  <c r="CN87" i="7"/>
  <c r="CR87" i="7"/>
  <c r="CS87" i="7"/>
  <c r="CT87" i="7"/>
  <c r="CU87" i="7"/>
  <c r="CY87" i="7"/>
  <c r="CZ87" i="7"/>
  <c r="DA87" i="7"/>
  <c r="DB87" i="7"/>
  <c r="CD88" i="7"/>
  <c r="CE88" i="7"/>
  <c r="CF88" i="7"/>
  <c r="CG88" i="7"/>
  <c r="CK88" i="7"/>
  <c r="CL88" i="7"/>
  <c r="CM88" i="7"/>
  <c r="CN88" i="7"/>
  <c r="CR88" i="7"/>
  <c r="CS88" i="7"/>
  <c r="CT88" i="7"/>
  <c r="CU88" i="7"/>
  <c r="CY88" i="7"/>
  <c r="CZ88" i="7"/>
  <c r="DA88" i="7"/>
  <c r="DB88" i="7"/>
  <c r="CD89" i="7"/>
  <c r="CE89" i="7"/>
  <c r="CF89" i="7"/>
  <c r="CG89" i="7"/>
  <c r="CK89" i="7"/>
  <c r="CL89" i="7"/>
  <c r="CM89" i="7"/>
  <c r="CN89" i="7"/>
  <c r="CR89" i="7"/>
  <c r="CS89" i="7"/>
  <c r="CT89" i="7"/>
  <c r="CU89" i="7"/>
  <c r="CY89" i="7"/>
  <c r="CZ89" i="7"/>
  <c r="DA89" i="7"/>
  <c r="DB89" i="7"/>
  <c r="CD90" i="7"/>
  <c r="CE90" i="7"/>
  <c r="CF90" i="7"/>
  <c r="CG90" i="7"/>
  <c r="CK90" i="7"/>
  <c r="CL90" i="7"/>
  <c r="CM90" i="7"/>
  <c r="CN90" i="7"/>
  <c r="CR90" i="7"/>
  <c r="CS90" i="7"/>
  <c r="CT90" i="7"/>
  <c r="CU90" i="7"/>
  <c r="CY90" i="7"/>
  <c r="CZ90" i="7"/>
  <c r="DA90" i="7"/>
  <c r="DB90" i="7"/>
  <c r="CD91" i="7"/>
  <c r="CE91" i="7"/>
  <c r="CF91" i="7"/>
  <c r="CG91" i="7"/>
  <c r="CK91" i="7"/>
  <c r="CL91" i="7"/>
  <c r="CM91" i="7"/>
  <c r="CN91" i="7"/>
  <c r="CR91" i="7"/>
  <c r="CS91" i="7"/>
  <c r="CT91" i="7"/>
  <c r="CU91" i="7"/>
  <c r="CY91" i="7"/>
  <c r="CZ91" i="7"/>
  <c r="DA91" i="7"/>
  <c r="DB91" i="7"/>
  <c r="CD92" i="7"/>
  <c r="CE92" i="7"/>
  <c r="CF92" i="7"/>
  <c r="CG92" i="7"/>
  <c r="CK92" i="7"/>
  <c r="CL92" i="7"/>
  <c r="CM92" i="7"/>
  <c r="CN92" i="7"/>
  <c r="CR92" i="7"/>
  <c r="CS92" i="7"/>
  <c r="CT92" i="7"/>
  <c r="CU92" i="7"/>
  <c r="CY92" i="7"/>
  <c r="CZ92" i="7"/>
  <c r="DA92" i="7"/>
  <c r="DB92" i="7"/>
  <c r="CD93" i="7"/>
  <c r="CE93" i="7"/>
  <c r="CF93" i="7"/>
  <c r="CG93" i="7"/>
  <c r="CK93" i="7"/>
  <c r="CL93" i="7"/>
  <c r="CM93" i="7"/>
  <c r="CN93" i="7"/>
  <c r="CR93" i="7"/>
  <c r="CS93" i="7"/>
  <c r="CT93" i="7"/>
  <c r="CU93" i="7"/>
  <c r="CY93" i="7"/>
  <c r="CZ93" i="7"/>
  <c r="DA93" i="7"/>
  <c r="DB93" i="7"/>
  <c r="CD94" i="7"/>
  <c r="CE94" i="7"/>
  <c r="CF94" i="7"/>
  <c r="CG94" i="7"/>
  <c r="CK94" i="7"/>
  <c r="CL94" i="7"/>
  <c r="CM94" i="7"/>
  <c r="CN94" i="7"/>
  <c r="CR94" i="7"/>
  <c r="CS94" i="7"/>
  <c r="CT94" i="7"/>
  <c r="CU94" i="7"/>
  <c r="CY94" i="7"/>
  <c r="CZ94" i="7"/>
  <c r="DA94" i="7"/>
  <c r="DB94" i="7"/>
  <c r="CD95" i="7"/>
  <c r="CE95" i="7"/>
  <c r="CF95" i="7"/>
  <c r="CG95" i="7"/>
  <c r="CK95" i="7"/>
  <c r="CL95" i="7"/>
  <c r="CM95" i="7"/>
  <c r="CN95" i="7"/>
  <c r="CR95" i="7"/>
  <c r="CS95" i="7"/>
  <c r="CT95" i="7"/>
  <c r="CU95" i="7"/>
  <c r="CY95" i="7"/>
  <c r="CZ95" i="7"/>
  <c r="DA95" i="7"/>
  <c r="DB95" i="7"/>
  <c r="CD96" i="7"/>
  <c r="CE96" i="7"/>
  <c r="CF96" i="7"/>
  <c r="CG96" i="7"/>
  <c r="CK96" i="7"/>
  <c r="CL96" i="7"/>
  <c r="CM96" i="7"/>
  <c r="CN96" i="7"/>
  <c r="CR96" i="7"/>
  <c r="CS96" i="7"/>
  <c r="CT96" i="7"/>
  <c r="CU96" i="7"/>
  <c r="CY96" i="7"/>
  <c r="CZ96" i="7"/>
  <c r="DA96" i="7"/>
  <c r="DB96" i="7"/>
  <c r="CD97" i="7"/>
  <c r="CE97" i="7"/>
  <c r="CF97" i="7"/>
  <c r="CG97" i="7"/>
  <c r="CK97" i="7"/>
  <c r="CL97" i="7"/>
  <c r="CM97" i="7"/>
  <c r="CN97" i="7"/>
  <c r="CR97" i="7"/>
  <c r="CS97" i="7"/>
  <c r="CT97" i="7"/>
  <c r="CU97" i="7"/>
  <c r="CY97" i="7"/>
  <c r="CZ97" i="7"/>
  <c r="DA97" i="7"/>
  <c r="DB97" i="7"/>
  <c r="CD98" i="7"/>
  <c r="CE98" i="7"/>
  <c r="CF98" i="7"/>
  <c r="CG98" i="7"/>
  <c r="CK98" i="7"/>
  <c r="CL98" i="7"/>
  <c r="CM98" i="7"/>
  <c r="CN98" i="7"/>
  <c r="CR98" i="7"/>
  <c r="CS98" i="7"/>
  <c r="CT98" i="7"/>
  <c r="CU98" i="7"/>
  <c r="CY98" i="7"/>
  <c r="CZ98" i="7"/>
  <c r="DA98" i="7"/>
  <c r="DB98" i="7"/>
  <c r="CD99" i="7"/>
  <c r="CE99" i="7"/>
  <c r="CF99" i="7"/>
  <c r="CG99" i="7"/>
  <c r="CK99" i="7"/>
  <c r="CL99" i="7"/>
  <c r="CM99" i="7"/>
  <c r="CN99" i="7"/>
  <c r="CR99" i="7"/>
  <c r="CS99" i="7"/>
  <c r="CT99" i="7"/>
  <c r="CU99" i="7"/>
  <c r="CY99" i="7"/>
  <c r="CZ99" i="7"/>
  <c r="DA99" i="7"/>
  <c r="DB99" i="7"/>
  <c r="CD100" i="7"/>
  <c r="CE100" i="7"/>
  <c r="CF100" i="7"/>
  <c r="CG100" i="7"/>
  <c r="CK100" i="7"/>
  <c r="CL100" i="7"/>
  <c r="CM100" i="7"/>
  <c r="CN100" i="7"/>
  <c r="CR100" i="7"/>
  <c r="CS100" i="7"/>
  <c r="CT100" i="7"/>
  <c r="CU100" i="7"/>
  <c r="CY100" i="7"/>
  <c r="CZ100" i="7"/>
  <c r="DA100" i="7"/>
  <c r="DB100" i="7"/>
  <c r="CD101" i="7"/>
  <c r="CE101" i="7"/>
  <c r="CF101" i="7"/>
  <c r="CG101" i="7"/>
  <c r="CK101" i="7"/>
  <c r="CL101" i="7"/>
  <c r="CM101" i="7"/>
  <c r="CN101" i="7"/>
  <c r="CR101" i="7"/>
  <c r="CS101" i="7"/>
  <c r="CT101" i="7"/>
  <c r="CU101" i="7"/>
  <c r="CY101" i="7"/>
  <c r="CZ101" i="7"/>
  <c r="DA101" i="7"/>
  <c r="DB101" i="7"/>
  <c r="CD102" i="7"/>
  <c r="CE102" i="7"/>
  <c r="CF102" i="7"/>
  <c r="CG102" i="7"/>
  <c r="CK102" i="7"/>
  <c r="CL102" i="7"/>
  <c r="CM102" i="7"/>
  <c r="CN102" i="7"/>
  <c r="CR102" i="7"/>
  <c r="CS102" i="7"/>
  <c r="CT102" i="7"/>
  <c r="CU102" i="7"/>
  <c r="CY102" i="7"/>
  <c r="CZ102" i="7"/>
  <c r="DA102" i="7"/>
  <c r="DB102" i="7"/>
  <c r="CD103" i="7"/>
  <c r="CE103" i="7"/>
  <c r="CF103" i="7"/>
  <c r="CG103" i="7"/>
  <c r="CK103" i="7"/>
  <c r="CL103" i="7"/>
  <c r="CM103" i="7"/>
  <c r="CN103" i="7"/>
  <c r="CR103" i="7"/>
  <c r="CS103" i="7"/>
  <c r="CT103" i="7"/>
  <c r="CU103" i="7"/>
  <c r="CY103" i="7"/>
  <c r="CZ103" i="7"/>
  <c r="DA103" i="7"/>
  <c r="DB103" i="7"/>
  <c r="CD104" i="7"/>
  <c r="CE104" i="7"/>
  <c r="CF104" i="7"/>
  <c r="CG104" i="7"/>
  <c r="CK104" i="7"/>
  <c r="CL104" i="7"/>
  <c r="CM104" i="7"/>
  <c r="CN104" i="7"/>
  <c r="CR104" i="7"/>
  <c r="CS104" i="7"/>
  <c r="CT104" i="7"/>
  <c r="CU104" i="7"/>
  <c r="CY104" i="7"/>
  <c r="CZ104" i="7"/>
  <c r="DA104" i="7"/>
  <c r="DB104" i="7"/>
  <c r="CD105" i="7"/>
  <c r="CE105" i="7"/>
  <c r="CF105" i="7"/>
  <c r="CG105" i="7"/>
  <c r="CK105" i="7"/>
  <c r="CL105" i="7"/>
  <c r="CM105" i="7"/>
  <c r="CN105" i="7"/>
  <c r="CR105" i="7"/>
  <c r="CS105" i="7"/>
  <c r="CT105" i="7"/>
  <c r="CU105" i="7"/>
  <c r="CY105" i="7"/>
  <c r="CZ105" i="7"/>
  <c r="DA105" i="7"/>
  <c r="DB105" i="7"/>
  <c r="CD106" i="7"/>
  <c r="CE106" i="7"/>
  <c r="CF106" i="7"/>
  <c r="CG106" i="7"/>
  <c r="CK106" i="7"/>
  <c r="CL106" i="7"/>
  <c r="CM106" i="7"/>
  <c r="CN106" i="7"/>
  <c r="CR106" i="7"/>
  <c r="CS106" i="7"/>
  <c r="CT106" i="7"/>
  <c r="CU106" i="7"/>
  <c r="CY106" i="7"/>
  <c r="CZ106" i="7"/>
  <c r="DA106" i="7"/>
  <c r="DB106" i="7"/>
  <c r="CD107" i="7"/>
  <c r="CE107" i="7"/>
  <c r="CF107" i="7"/>
  <c r="CG107" i="7"/>
  <c r="CK107" i="7"/>
  <c r="CL107" i="7"/>
  <c r="CM107" i="7"/>
  <c r="CN107" i="7"/>
  <c r="CR107" i="7"/>
  <c r="CS107" i="7"/>
  <c r="CT107" i="7"/>
  <c r="CU107" i="7"/>
  <c r="CY107" i="7"/>
  <c r="CZ107" i="7"/>
  <c r="DA107" i="7"/>
  <c r="DB107" i="7"/>
  <c r="CD108" i="7"/>
  <c r="CE108" i="7"/>
  <c r="CF108" i="7"/>
  <c r="CG108" i="7"/>
  <c r="CK108" i="7"/>
  <c r="CL108" i="7"/>
  <c r="CM108" i="7"/>
  <c r="CN108" i="7"/>
  <c r="CR108" i="7"/>
  <c r="CS108" i="7"/>
  <c r="CT108" i="7"/>
  <c r="CU108" i="7"/>
  <c r="CY108" i="7"/>
  <c r="CZ108" i="7"/>
  <c r="DA108" i="7"/>
  <c r="DB108" i="7"/>
  <c r="CD109" i="7"/>
  <c r="CE109" i="7"/>
  <c r="CF109" i="7"/>
  <c r="CG109" i="7"/>
  <c r="CK109" i="7"/>
  <c r="CL109" i="7"/>
  <c r="CM109" i="7"/>
  <c r="CN109" i="7"/>
  <c r="CR109" i="7"/>
  <c r="CS109" i="7"/>
  <c r="CT109" i="7"/>
  <c r="CU109" i="7"/>
  <c r="CY109" i="7"/>
  <c r="CZ109" i="7"/>
  <c r="DA109" i="7"/>
  <c r="DB109" i="7"/>
  <c r="CD110" i="7"/>
  <c r="CE110" i="7"/>
  <c r="CF110" i="7"/>
  <c r="CG110" i="7"/>
  <c r="CK110" i="7"/>
  <c r="CL110" i="7"/>
  <c r="CM110" i="7"/>
  <c r="CN110" i="7"/>
  <c r="CR110" i="7"/>
  <c r="CS110" i="7"/>
  <c r="CT110" i="7"/>
  <c r="CU110" i="7"/>
  <c r="CY110" i="7"/>
  <c r="CZ110" i="7"/>
  <c r="DA110" i="7"/>
  <c r="DB110" i="7"/>
  <c r="CD111" i="7"/>
  <c r="CE111" i="7"/>
  <c r="CF111" i="7"/>
  <c r="CG111" i="7"/>
  <c r="CK111" i="7"/>
  <c r="CL111" i="7"/>
  <c r="CM111" i="7"/>
  <c r="CN111" i="7"/>
  <c r="CR111" i="7"/>
  <c r="CS111" i="7"/>
  <c r="CT111" i="7"/>
  <c r="CU111" i="7"/>
  <c r="CY111" i="7"/>
  <c r="CZ111" i="7"/>
  <c r="DA111" i="7"/>
  <c r="DB111" i="7"/>
  <c r="CD112" i="7"/>
  <c r="CE112" i="7"/>
  <c r="CF112" i="7"/>
  <c r="CG112" i="7"/>
  <c r="CK112" i="7"/>
  <c r="CL112" i="7"/>
  <c r="CM112" i="7"/>
  <c r="CN112" i="7"/>
  <c r="CR112" i="7"/>
  <c r="CS112" i="7"/>
  <c r="CT112" i="7"/>
  <c r="CU112" i="7"/>
  <c r="CY112" i="7"/>
  <c r="CZ112" i="7"/>
  <c r="DA112" i="7"/>
  <c r="DB112" i="7"/>
  <c r="DB2" i="7"/>
  <c r="DA2" i="7"/>
  <c r="CZ2" i="7"/>
  <c r="CY2" i="7"/>
  <c r="CU2" i="7"/>
  <c r="CT2" i="7"/>
  <c r="CS2" i="7"/>
  <c r="CR2" i="7"/>
  <c r="CN2" i="7"/>
  <c r="CM2" i="7"/>
  <c r="CL2" i="7"/>
  <c r="CK2" i="7"/>
  <c r="CG2" i="7"/>
  <c r="CF2" i="7"/>
  <c r="CE2" i="7"/>
  <c r="CD2" i="7"/>
  <c r="BW3" i="7"/>
  <c r="BX3" i="7"/>
  <c r="BY3" i="7"/>
  <c r="BZ3" i="7"/>
  <c r="BW4" i="7"/>
  <c r="BX4" i="7"/>
  <c r="BY4" i="7"/>
  <c r="BZ4" i="7"/>
  <c r="BW5" i="7"/>
  <c r="BX5" i="7"/>
  <c r="BY5" i="7"/>
  <c r="BZ5" i="7"/>
  <c r="BW6" i="7"/>
  <c r="BX6" i="7"/>
  <c r="BY6" i="7"/>
  <c r="BZ6" i="7"/>
  <c r="BW7" i="7"/>
  <c r="BX7" i="7"/>
  <c r="BY7" i="7"/>
  <c r="BZ7" i="7"/>
  <c r="BW8" i="7"/>
  <c r="BX8" i="7"/>
  <c r="BY8" i="7"/>
  <c r="BZ8" i="7"/>
  <c r="BW9" i="7"/>
  <c r="BX9" i="7"/>
  <c r="BY9" i="7"/>
  <c r="BZ9" i="7"/>
  <c r="BW10" i="7"/>
  <c r="BX10" i="7"/>
  <c r="BY10" i="7"/>
  <c r="BZ10" i="7"/>
  <c r="BW11" i="7"/>
  <c r="BX11" i="7"/>
  <c r="BY11" i="7"/>
  <c r="BZ11" i="7"/>
  <c r="BW12" i="7"/>
  <c r="BX12" i="7"/>
  <c r="BY12" i="7"/>
  <c r="BZ12" i="7"/>
  <c r="BW13" i="7"/>
  <c r="BX13" i="7"/>
  <c r="BY13" i="7"/>
  <c r="BZ13" i="7"/>
  <c r="BW14" i="7"/>
  <c r="BX14" i="7"/>
  <c r="BY14" i="7"/>
  <c r="BZ14" i="7"/>
  <c r="BW15" i="7"/>
  <c r="BX15" i="7"/>
  <c r="BY15" i="7"/>
  <c r="BZ15" i="7"/>
  <c r="BW16" i="7"/>
  <c r="BX16" i="7"/>
  <c r="BY16" i="7"/>
  <c r="BZ16" i="7"/>
  <c r="BW17" i="7"/>
  <c r="BX17" i="7"/>
  <c r="BY17" i="7"/>
  <c r="BZ17" i="7"/>
  <c r="BW18" i="7"/>
  <c r="BX18" i="7"/>
  <c r="BY18" i="7"/>
  <c r="BZ18" i="7"/>
  <c r="BW19" i="7"/>
  <c r="BX19" i="7"/>
  <c r="BY19" i="7"/>
  <c r="BZ19" i="7"/>
  <c r="BW20" i="7"/>
  <c r="BX20" i="7"/>
  <c r="BY20" i="7"/>
  <c r="BZ20" i="7"/>
  <c r="BW21" i="7"/>
  <c r="BX21" i="7"/>
  <c r="BY21" i="7"/>
  <c r="BZ21" i="7"/>
  <c r="BW22" i="7"/>
  <c r="BX22" i="7"/>
  <c r="BY22" i="7"/>
  <c r="BZ22" i="7"/>
  <c r="BW23" i="7"/>
  <c r="BX23" i="7"/>
  <c r="BY23" i="7"/>
  <c r="BZ23" i="7"/>
  <c r="BW24" i="7"/>
  <c r="BX24" i="7"/>
  <c r="BY24" i="7"/>
  <c r="BZ24" i="7"/>
  <c r="BW25" i="7"/>
  <c r="BX25" i="7"/>
  <c r="BY25" i="7"/>
  <c r="BZ25" i="7"/>
  <c r="BW26" i="7"/>
  <c r="BX26" i="7"/>
  <c r="BY26" i="7"/>
  <c r="BZ26" i="7"/>
  <c r="BW27" i="7"/>
  <c r="BX27" i="7"/>
  <c r="BY27" i="7"/>
  <c r="BZ27" i="7"/>
  <c r="BW28" i="7"/>
  <c r="BX28" i="7"/>
  <c r="BY28" i="7"/>
  <c r="BZ28" i="7"/>
  <c r="BW29" i="7"/>
  <c r="BX29" i="7"/>
  <c r="BY29" i="7"/>
  <c r="BZ29" i="7"/>
  <c r="BW30" i="7"/>
  <c r="BX30" i="7"/>
  <c r="BY30" i="7"/>
  <c r="BZ30" i="7"/>
  <c r="BW31" i="7"/>
  <c r="BX31" i="7"/>
  <c r="BY31" i="7"/>
  <c r="BZ31" i="7"/>
  <c r="BW32" i="7"/>
  <c r="BX32" i="7"/>
  <c r="BY32" i="7"/>
  <c r="BZ32" i="7"/>
  <c r="BW33" i="7"/>
  <c r="BX33" i="7"/>
  <c r="BY33" i="7"/>
  <c r="BZ33" i="7"/>
  <c r="BW34" i="7"/>
  <c r="BX34" i="7"/>
  <c r="BY34" i="7"/>
  <c r="BZ34" i="7"/>
  <c r="BW35" i="7"/>
  <c r="BX35" i="7"/>
  <c r="BY35" i="7"/>
  <c r="BZ35" i="7"/>
  <c r="BW36" i="7"/>
  <c r="BX36" i="7"/>
  <c r="BY36" i="7"/>
  <c r="BZ36" i="7"/>
  <c r="BW37" i="7"/>
  <c r="BX37" i="7"/>
  <c r="BY37" i="7"/>
  <c r="BZ37" i="7"/>
  <c r="BW38" i="7"/>
  <c r="BX38" i="7"/>
  <c r="BY38" i="7"/>
  <c r="BZ38" i="7"/>
  <c r="BW39" i="7"/>
  <c r="BX39" i="7"/>
  <c r="BY39" i="7"/>
  <c r="BZ39" i="7"/>
  <c r="BW40" i="7"/>
  <c r="BX40" i="7"/>
  <c r="BY40" i="7"/>
  <c r="BZ40" i="7"/>
  <c r="BW53" i="7"/>
  <c r="BX53" i="7"/>
  <c r="BY53" i="7"/>
  <c r="BZ53" i="7"/>
  <c r="BW54" i="7"/>
  <c r="BX54" i="7"/>
  <c r="BY54" i="7"/>
  <c r="BZ54" i="7"/>
  <c r="BW55" i="7"/>
  <c r="BX55" i="7"/>
  <c r="BY55" i="7"/>
  <c r="BZ55" i="7"/>
  <c r="BW56" i="7"/>
  <c r="BX56" i="7"/>
  <c r="BY56" i="7"/>
  <c r="BZ56" i="7"/>
  <c r="BW57" i="7"/>
  <c r="BX57" i="7"/>
  <c r="BY57" i="7"/>
  <c r="BZ57" i="7"/>
  <c r="BW58" i="7"/>
  <c r="BX58" i="7"/>
  <c r="BY58" i="7"/>
  <c r="BZ58" i="7"/>
  <c r="BW59" i="7"/>
  <c r="BX59" i="7"/>
  <c r="BY59" i="7"/>
  <c r="BZ59" i="7"/>
  <c r="BW60" i="7"/>
  <c r="BX60" i="7"/>
  <c r="BY60" i="7"/>
  <c r="BZ60" i="7"/>
  <c r="BW61" i="7"/>
  <c r="BX61" i="7"/>
  <c r="BY61" i="7"/>
  <c r="BZ61" i="7"/>
  <c r="BW62" i="7"/>
  <c r="BX62" i="7"/>
  <c r="BY62" i="7"/>
  <c r="BZ62" i="7"/>
  <c r="BW63" i="7"/>
  <c r="BX63" i="7"/>
  <c r="BY63" i="7"/>
  <c r="BZ63" i="7"/>
  <c r="BW64" i="7"/>
  <c r="BX64" i="7"/>
  <c r="BY64" i="7"/>
  <c r="BZ64" i="7"/>
  <c r="BW65" i="7"/>
  <c r="BX65" i="7"/>
  <c r="BY65" i="7"/>
  <c r="BZ65" i="7"/>
  <c r="BW66" i="7"/>
  <c r="BX66" i="7"/>
  <c r="BY66" i="7"/>
  <c r="BZ66" i="7"/>
  <c r="BW67" i="7"/>
  <c r="BX67" i="7"/>
  <c r="BY67" i="7"/>
  <c r="BZ67" i="7"/>
  <c r="BW68" i="7"/>
  <c r="BX68" i="7"/>
  <c r="BY68" i="7"/>
  <c r="BZ68" i="7"/>
  <c r="BW69" i="7"/>
  <c r="BX69" i="7"/>
  <c r="BY69" i="7"/>
  <c r="BZ69" i="7"/>
  <c r="BW70" i="7"/>
  <c r="BX70" i="7"/>
  <c r="BY70" i="7"/>
  <c r="BZ70" i="7"/>
  <c r="BW71" i="7"/>
  <c r="BX71" i="7"/>
  <c r="BY71" i="7"/>
  <c r="BZ71" i="7"/>
  <c r="BW72" i="7"/>
  <c r="BX72" i="7"/>
  <c r="BY72" i="7"/>
  <c r="BZ72" i="7"/>
  <c r="BW73" i="7"/>
  <c r="BX73" i="7"/>
  <c r="BY73" i="7"/>
  <c r="BZ73" i="7"/>
  <c r="BW74" i="7"/>
  <c r="BX74" i="7"/>
  <c r="BY74" i="7"/>
  <c r="BZ74" i="7"/>
  <c r="BW75" i="7"/>
  <c r="BX75" i="7"/>
  <c r="BY75" i="7"/>
  <c r="BZ75" i="7"/>
  <c r="BW76" i="7"/>
  <c r="BX76" i="7"/>
  <c r="BY76" i="7"/>
  <c r="BZ76" i="7"/>
  <c r="BW77" i="7"/>
  <c r="BX77" i="7"/>
  <c r="BY77" i="7"/>
  <c r="BZ77" i="7"/>
  <c r="BW78" i="7"/>
  <c r="BX78" i="7"/>
  <c r="BY78" i="7"/>
  <c r="BZ78" i="7"/>
  <c r="BW79" i="7"/>
  <c r="BX79" i="7"/>
  <c r="BY79" i="7"/>
  <c r="BZ79" i="7"/>
  <c r="BW80" i="7"/>
  <c r="BX80" i="7"/>
  <c r="BY80" i="7"/>
  <c r="BZ80" i="7"/>
  <c r="BW81" i="7"/>
  <c r="BX81" i="7"/>
  <c r="BY81" i="7"/>
  <c r="BZ81" i="7"/>
  <c r="BW82" i="7"/>
  <c r="BX82" i="7"/>
  <c r="BY82" i="7"/>
  <c r="BZ82" i="7"/>
  <c r="BW83" i="7"/>
  <c r="BX83" i="7"/>
  <c r="BY83" i="7"/>
  <c r="BZ83" i="7"/>
  <c r="BW84" i="7"/>
  <c r="BX84" i="7"/>
  <c r="BY84" i="7"/>
  <c r="BZ84" i="7"/>
  <c r="BW85" i="7"/>
  <c r="BX85" i="7"/>
  <c r="BY85" i="7"/>
  <c r="BZ85" i="7"/>
  <c r="BW86" i="7"/>
  <c r="BX86" i="7"/>
  <c r="BY86" i="7"/>
  <c r="BZ86" i="7"/>
  <c r="BW87" i="7"/>
  <c r="BX87" i="7"/>
  <c r="BY87" i="7"/>
  <c r="BZ87" i="7"/>
  <c r="BW88" i="7"/>
  <c r="BX88" i="7"/>
  <c r="BY88" i="7"/>
  <c r="BZ88" i="7"/>
  <c r="BW89" i="7"/>
  <c r="BX89" i="7"/>
  <c r="BY89" i="7"/>
  <c r="BZ89" i="7"/>
  <c r="BW90" i="7"/>
  <c r="BX90" i="7"/>
  <c r="BY90" i="7"/>
  <c r="BZ90" i="7"/>
  <c r="BW91" i="7"/>
  <c r="BX91" i="7"/>
  <c r="BY91" i="7"/>
  <c r="BZ91" i="7"/>
  <c r="BW92" i="7"/>
  <c r="BX92" i="7"/>
  <c r="BY92" i="7"/>
  <c r="BZ92" i="7"/>
  <c r="BW93" i="7"/>
  <c r="BX93" i="7"/>
  <c r="BY93" i="7"/>
  <c r="BZ93" i="7"/>
  <c r="BW94" i="7"/>
  <c r="BX94" i="7"/>
  <c r="BY94" i="7"/>
  <c r="BZ94" i="7"/>
  <c r="BW95" i="7"/>
  <c r="BX95" i="7"/>
  <c r="BY95" i="7"/>
  <c r="BZ95" i="7"/>
  <c r="BW96" i="7"/>
  <c r="BX96" i="7"/>
  <c r="BY96" i="7"/>
  <c r="BZ96" i="7"/>
  <c r="BW97" i="7"/>
  <c r="BX97" i="7"/>
  <c r="BY97" i="7"/>
  <c r="BZ97" i="7"/>
  <c r="BW98" i="7"/>
  <c r="BX98" i="7"/>
  <c r="BY98" i="7"/>
  <c r="BZ98" i="7"/>
  <c r="BW99" i="7"/>
  <c r="BX99" i="7"/>
  <c r="BY99" i="7"/>
  <c r="BZ99" i="7"/>
  <c r="BW100" i="7"/>
  <c r="BX100" i="7"/>
  <c r="BY100" i="7"/>
  <c r="BZ100" i="7"/>
  <c r="BW101" i="7"/>
  <c r="BX101" i="7"/>
  <c r="BY101" i="7"/>
  <c r="BZ101" i="7"/>
  <c r="BW102" i="7"/>
  <c r="BX102" i="7"/>
  <c r="BY102" i="7"/>
  <c r="BZ102" i="7"/>
  <c r="BW103" i="7"/>
  <c r="BX103" i="7"/>
  <c r="BY103" i="7"/>
  <c r="BZ103" i="7"/>
  <c r="BW104" i="7"/>
  <c r="BX104" i="7"/>
  <c r="BY104" i="7"/>
  <c r="BZ104" i="7"/>
  <c r="BW105" i="7"/>
  <c r="BX105" i="7"/>
  <c r="BY105" i="7"/>
  <c r="BZ105" i="7"/>
  <c r="BW106" i="7"/>
  <c r="BX106" i="7"/>
  <c r="BY106" i="7"/>
  <c r="BZ106" i="7"/>
  <c r="BW107" i="7"/>
  <c r="BX107" i="7"/>
  <c r="BY107" i="7"/>
  <c r="BZ107" i="7"/>
  <c r="BW108" i="7"/>
  <c r="BX108" i="7"/>
  <c r="BY108" i="7"/>
  <c r="BZ108" i="7"/>
  <c r="BW109" i="7"/>
  <c r="BX109" i="7"/>
  <c r="BY109" i="7"/>
  <c r="BZ109" i="7"/>
  <c r="BW110" i="7"/>
  <c r="BX110" i="7"/>
  <c r="BY110" i="7"/>
  <c r="BZ110" i="7"/>
  <c r="BW111" i="7"/>
  <c r="BX111" i="7"/>
  <c r="BY111" i="7"/>
  <c r="BZ111" i="7"/>
  <c r="BW112" i="7"/>
  <c r="BX112" i="7"/>
  <c r="BY112" i="7"/>
  <c r="BZ112" i="7"/>
  <c r="BY2" i="7"/>
  <c r="BX2" i="7"/>
  <c r="BZ2" i="7"/>
  <c r="BW2" i="7"/>
  <c r="EC2" i="7" l="1"/>
  <c r="DX2" i="7"/>
  <c r="DS2" i="7"/>
  <c r="DN2" i="7"/>
  <c r="EB2" i="7"/>
  <c r="DW2" i="7"/>
  <c r="DR2" i="7"/>
  <c r="DM2" i="7"/>
  <c r="DI2" i="7"/>
  <c r="DH2" i="7"/>
  <c r="DC4" i="7"/>
  <c r="CV82" i="7"/>
  <c r="DC81" i="7"/>
  <c r="DC78" i="7"/>
  <c r="DC75" i="7"/>
  <c r="CV70" i="7"/>
  <c r="CO73" i="7"/>
  <c r="CO81" i="7"/>
  <c r="CI74" i="7"/>
  <c r="CH81" i="7"/>
  <c r="CI75" i="7"/>
  <c r="CH69" i="7"/>
  <c r="DC69" i="7"/>
  <c r="CO66" i="7"/>
  <c r="CH59" i="7"/>
  <c r="CI68" i="7"/>
  <c r="CH75" i="7"/>
  <c r="CH87" i="7"/>
  <c r="CH72" i="7"/>
  <c r="CH66" i="7"/>
  <c r="CH63" i="7"/>
  <c r="CI69" i="7"/>
  <c r="CB2" i="7"/>
  <c r="CB5" i="7"/>
  <c r="CA17" i="7"/>
  <c r="CB8" i="7"/>
  <c r="CA5" i="7"/>
  <c r="CV64" i="7"/>
  <c r="CV67" i="7"/>
  <c r="CV85" i="7"/>
  <c r="CV61" i="7"/>
  <c r="DC68" i="7"/>
  <c r="DC62" i="7"/>
  <c r="DC65" i="7"/>
  <c r="DC83" i="7"/>
  <c r="DC89" i="7"/>
  <c r="DC86" i="7"/>
  <c r="DC59" i="7"/>
  <c r="CV83" i="7"/>
  <c r="CV74" i="7"/>
  <c r="CW66" i="7"/>
  <c r="CW87" i="7"/>
  <c r="CW84" i="7"/>
  <c r="CO60" i="7"/>
  <c r="DC112" i="7"/>
  <c r="DC109" i="7"/>
  <c r="DC106" i="7"/>
  <c r="DC103" i="7"/>
  <c r="DC100" i="7"/>
  <c r="DC97" i="7"/>
  <c r="DC94" i="7"/>
  <c r="DC91" i="7"/>
  <c r="DD56" i="7"/>
  <c r="DC32" i="7"/>
  <c r="DC29" i="7"/>
  <c r="DC26" i="7"/>
  <c r="DC23" i="7"/>
  <c r="DC20" i="7"/>
  <c r="DC17" i="7"/>
  <c r="DC14" i="7"/>
  <c r="DC11" i="7"/>
  <c r="DC7" i="7"/>
  <c r="DC111" i="7"/>
  <c r="DC108" i="7"/>
  <c r="DC105" i="7"/>
  <c r="DC102" i="7"/>
  <c r="DC99" i="7"/>
  <c r="DC96" i="7"/>
  <c r="DC93" i="7"/>
  <c r="DC90" i="7"/>
  <c r="DC87" i="7"/>
  <c r="DC84" i="7"/>
  <c r="DC25" i="7"/>
  <c r="DC19" i="7"/>
  <c r="DC13" i="7"/>
  <c r="DC72" i="7"/>
  <c r="DC9" i="7"/>
  <c r="DC3" i="7"/>
  <c r="DC110" i="7"/>
  <c r="DC107" i="7"/>
  <c r="DC104" i="7"/>
  <c r="DC101" i="7"/>
  <c r="DC98" i="7"/>
  <c r="DC95" i="7"/>
  <c r="DC92" i="7"/>
  <c r="DD89" i="7"/>
  <c r="DC80" i="7"/>
  <c r="DC77" i="7"/>
  <c r="DC66" i="7"/>
  <c r="DC63" i="7"/>
  <c r="DC60" i="7"/>
  <c r="DC57" i="7"/>
  <c r="DC27" i="7"/>
  <c r="DC21" i="7"/>
  <c r="DC15" i="7"/>
  <c r="DC71" i="7"/>
  <c r="DC74" i="7"/>
  <c r="DC8" i="7"/>
  <c r="DC5" i="7"/>
  <c r="CV65" i="7"/>
  <c r="CV62" i="7"/>
  <c r="CV112" i="7"/>
  <c r="CV106" i="7"/>
  <c r="CV100" i="7"/>
  <c r="CV79" i="7"/>
  <c r="CV109" i="7"/>
  <c r="CV103" i="7"/>
  <c r="CV97" i="7"/>
  <c r="CV94" i="7"/>
  <c r="CV91" i="7"/>
  <c r="CV76" i="7"/>
  <c r="CV73" i="7"/>
  <c r="CV88" i="7"/>
  <c r="CV58" i="7"/>
  <c r="CW75" i="7"/>
  <c r="CW60" i="7"/>
  <c r="CH78" i="7"/>
  <c r="CO78" i="7"/>
  <c r="CO3" i="7"/>
  <c r="CO64" i="7"/>
  <c r="CH84" i="7"/>
  <c r="CI87" i="7"/>
  <c r="CI81" i="7"/>
  <c r="CI86" i="7"/>
  <c r="CH60" i="7"/>
  <c r="CI80" i="7"/>
  <c r="CO75" i="7"/>
  <c r="CO61" i="7"/>
  <c r="CO69" i="7"/>
  <c r="CP72" i="7"/>
  <c r="CO88" i="7"/>
  <c r="CO63" i="7"/>
  <c r="CP84" i="7"/>
  <c r="CO58" i="7"/>
  <c r="CO85" i="7"/>
  <c r="CP69" i="7"/>
  <c r="CP63" i="7"/>
  <c r="CP27" i="7"/>
  <c r="CP21" i="7"/>
  <c r="CP3" i="7"/>
  <c r="CO87" i="7"/>
  <c r="CO90" i="7"/>
  <c r="CO70" i="7"/>
  <c r="CO84" i="7"/>
  <c r="CO101" i="7"/>
  <c r="CO95" i="7"/>
  <c r="CO92" i="7"/>
  <c r="CO72" i="7"/>
  <c r="CV80" i="7"/>
  <c r="CV59" i="7"/>
  <c r="CV77" i="7"/>
  <c r="CV90" i="7"/>
  <c r="CW72" i="7"/>
  <c r="CW69" i="7"/>
  <c r="CV111" i="7"/>
  <c r="CV108" i="7"/>
  <c r="CV105" i="7"/>
  <c r="CV102" i="7"/>
  <c r="CV99" i="7"/>
  <c r="CV96" i="7"/>
  <c r="CV93" i="7"/>
  <c r="CW90" i="7"/>
  <c r="CV71" i="7"/>
  <c r="CV89" i="7"/>
  <c r="CV68" i="7"/>
  <c r="CW63" i="7"/>
  <c r="CV110" i="7"/>
  <c r="CV107" i="7"/>
  <c r="CV104" i="7"/>
  <c r="CV101" i="7"/>
  <c r="CV98" i="7"/>
  <c r="CV95" i="7"/>
  <c r="CV92" i="7"/>
  <c r="CW89" i="7"/>
  <c r="CV86" i="7"/>
  <c r="CW81" i="7"/>
  <c r="CW78" i="7"/>
  <c r="CW57" i="7"/>
  <c r="CO110" i="7"/>
  <c r="CO107" i="7"/>
  <c r="CO104" i="7"/>
  <c r="CO98" i="7"/>
  <c r="CO76" i="7"/>
  <c r="CP15" i="7"/>
  <c r="CP9" i="7"/>
  <c r="CP81" i="7"/>
  <c r="CO112" i="7"/>
  <c r="CO109" i="7"/>
  <c r="CO106" i="7"/>
  <c r="CO103" i="7"/>
  <c r="CO100" i="7"/>
  <c r="CO97" i="7"/>
  <c r="CO94" i="7"/>
  <c r="CO91" i="7"/>
  <c r="CP66" i="7"/>
  <c r="CP29" i="7"/>
  <c r="CP23" i="7"/>
  <c r="CP17" i="7"/>
  <c r="CP11" i="7"/>
  <c r="CP5" i="7"/>
  <c r="CP78" i="7"/>
  <c r="CO82" i="7"/>
  <c r="CO111" i="7"/>
  <c r="CO108" i="7"/>
  <c r="CO105" i="7"/>
  <c r="CO102" i="7"/>
  <c r="CO99" i="7"/>
  <c r="CO96" i="7"/>
  <c r="CO93" i="7"/>
  <c r="CP90" i="7"/>
  <c r="CP75" i="7"/>
  <c r="CO67" i="7"/>
  <c r="CP25" i="7"/>
  <c r="CP19" i="7"/>
  <c r="CP13" i="7"/>
  <c r="CP7" i="7"/>
  <c r="CP87" i="7"/>
  <c r="CO79" i="7"/>
  <c r="CP60" i="7"/>
  <c r="CH112" i="7"/>
  <c r="CH109" i="7"/>
  <c r="CH106" i="7"/>
  <c r="CH103" i="7"/>
  <c r="CH100" i="7"/>
  <c r="CH97" i="7"/>
  <c r="CH94" i="7"/>
  <c r="CH91" i="7"/>
  <c r="CH62" i="7"/>
  <c r="CH90" i="7"/>
  <c r="CI83" i="7"/>
  <c r="CI71" i="7"/>
  <c r="CH3" i="7"/>
  <c r="CH111" i="7"/>
  <c r="CH108" i="7"/>
  <c r="CH105" i="7"/>
  <c r="CH102" i="7"/>
  <c r="CH99" i="7"/>
  <c r="CH96" i="7"/>
  <c r="CH93" i="7"/>
  <c r="CI90" i="7"/>
  <c r="CI78" i="7"/>
  <c r="CI66" i="7"/>
  <c r="CH110" i="7"/>
  <c r="CH107" i="7"/>
  <c r="CH104" i="7"/>
  <c r="CH101" i="7"/>
  <c r="CH98" i="7"/>
  <c r="CH95" i="7"/>
  <c r="CH92" i="7"/>
  <c r="CI89" i="7"/>
  <c r="CI77" i="7"/>
  <c r="CH65" i="7"/>
  <c r="CI63" i="7"/>
  <c r="CI84" i="7"/>
  <c r="CI72" i="7"/>
  <c r="CA32" i="7"/>
  <c r="CA56" i="7"/>
  <c r="CA108" i="7"/>
  <c r="CA96" i="7"/>
  <c r="CB90" i="7"/>
  <c r="CA84" i="7"/>
  <c r="CB78" i="7"/>
  <c r="CA72" i="7"/>
  <c r="CB66" i="7"/>
  <c r="CA60" i="7"/>
  <c r="CB54" i="7"/>
  <c r="CA36" i="7"/>
  <c r="CB30" i="7"/>
  <c r="CA24" i="7"/>
  <c r="CB18" i="7"/>
  <c r="CB9" i="7"/>
  <c r="CB3" i="7"/>
  <c r="CB99" i="7"/>
  <c r="CB93" i="7"/>
  <c r="CB87" i="7"/>
  <c r="CB81" i="7"/>
  <c r="CB75" i="7"/>
  <c r="CB69" i="7"/>
  <c r="CB63" i="7"/>
  <c r="CB57" i="7"/>
  <c r="CB39" i="7"/>
  <c r="CB33" i="7"/>
  <c r="CB27" i="7"/>
  <c r="CB21" i="7"/>
  <c r="CB15" i="7"/>
  <c r="CA12" i="7"/>
  <c r="CB6" i="7"/>
  <c r="CB111" i="7"/>
  <c r="CB104" i="7"/>
  <c r="CB98" i="7"/>
  <c r="CB92" i="7"/>
  <c r="CB86" i="7"/>
  <c r="CB80" i="7"/>
  <c r="CB74" i="7"/>
  <c r="CB68" i="7"/>
  <c r="CB62" i="7"/>
  <c r="CB56" i="7"/>
  <c r="CA20" i="7"/>
  <c r="CB102" i="7"/>
  <c r="CB110" i="7"/>
  <c r="CB101" i="7"/>
  <c r="CA95" i="7"/>
  <c r="CB89" i="7"/>
  <c r="CA83" i="7"/>
  <c r="CB77" i="7"/>
  <c r="CA71" i="7"/>
  <c r="CB65" i="7"/>
  <c r="CA59" i="7"/>
  <c r="CB35" i="7"/>
  <c r="CB23" i="7"/>
  <c r="CA8" i="7"/>
  <c r="CB105" i="7"/>
  <c r="CA107" i="7"/>
  <c r="DD88" i="7"/>
  <c r="DD85" i="7"/>
  <c r="DD82" i="7"/>
  <c r="DD79" i="7"/>
  <c r="DD76" i="7"/>
  <c r="DD73" i="7"/>
  <c r="DD70" i="7"/>
  <c r="DD67" i="7"/>
  <c r="DD64" i="7"/>
  <c r="DD61" i="7"/>
  <c r="DD58" i="7"/>
  <c r="CP89" i="7"/>
  <c r="CP86" i="7"/>
  <c r="CP83" i="7"/>
  <c r="CP80" i="7"/>
  <c r="CP77" i="7"/>
  <c r="CP74" i="7"/>
  <c r="CP71" i="7"/>
  <c r="CP68" i="7"/>
  <c r="CP65" i="7"/>
  <c r="CP62" i="7"/>
  <c r="CP59" i="7"/>
  <c r="CH56" i="7"/>
  <c r="CI56" i="7"/>
  <c r="CP55" i="7"/>
  <c r="CO55" i="7"/>
  <c r="CV54" i="7"/>
  <c r="CW54" i="7"/>
  <c r="DD53" i="7"/>
  <c r="DC53" i="7"/>
  <c r="CH53" i="7"/>
  <c r="CI53" i="7"/>
  <c r="CP40" i="7"/>
  <c r="CO40" i="7"/>
  <c r="CV39" i="7"/>
  <c r="CW39" i="7"/>
  <c r="DD38" i="7"/>
  <c r="DC38" i="7"/>
  <c r="CH38" i="7"/>
  <c r="CI38" i="7"/>
  <c r="CP37" i="7"/>
  <c r="CO37" i="7"/>
  <c r="CV36" i="7"/>
  <c r="CW36" i="7"/>
  <c r="DD35" i="7"/>
  <c r="DC35" i="7"/>
  <c r="CH35" i="7"/>
  <c r="CI35" i="7"/>
  <c r="CP34" i="7"/>
  <c r="CO34" i="7"/>
  <c r="CV33" i="7"/>
  <c r="CW33" i="7"/>
  <c r="CP31" i="7"/>
  <c r="CO31" i="7"/>
  <c r="CP28" i="7"/>
  <c r="CO28" i="7"/>
  <c r="CP22" i="7"/>
  <c r="CO22" i="7"/>
  <c r="CP16" i="7"/>
  <c r="CO16" i="7"/>
  <c r="CP10" i="7"/>
  <c r="CO10" i="7"/>
  <c r="CP4" i="7"/>
  <c r="CO4" i="7"/>
  <c r="CH89" i="7"/>
  <c r="CH83" i="7"/>
  <c r="CI82" i="7"/>
  <c r="CH80" i="7"/>
  <c r="CI79" i="7"/>
  <c r="CH77" i="7"/>
  <c r="CI76" i="7"/>
  <c r="CH74" i="7"/>
  <c r="CI73" i="7"/>
  <c r="CH71" i="7"/>
  <c r="CI70" i="7"/>
  <c r="CH68" i="7"/>
  <c r="CI67" i="7"/>
  <c r="CI64" i="7"/>
  <c r="CI61" i="7"/>
  <c r="CI58" i="7"/>
  <c r="CH86" i="7"/>
  <c r="CI85" i="7"/>
  <c r="CW112" i="7"/>
  <c r="CI112" i="7"/>
  <c r="CW111" i="7"/>
  <c r="CI111" i="7"/>
  <c r="CW110" i="7"/>
  <c r="CI110" i="7"/>
  <c r="CW109" i="7"/>
  <c r="CI109" i="7"/>
  <c r="CW108" i="7"/>
  <c r="CI108" i="7"/>
  <c r="CW107" i="7"/>
  <c r="CI107" i="7"/>
  <c r="CW106" i="7"/>
  <c r="CI106" i="7"/>
  <c r="CW105" i="7"/>
  <c r="CI105" i="7"/>
  <c r="CW104" i="7"/>
  <c r="CI104" i="7"/>
  <c r="CW103" i="7"/>
  <c r="CI103" i="7"/>
  <c r="CW102" i="7"/>
  <c r="CI102" i="7"/>
  <c r="CW101" i="7"/>
  <c r="CI101" i="7"/>
  <c r="CW100" i="7"/>
  <c r="CI100" i="7"/>
  <c r="CW99" i="7"/>
  <c r="CI99" i="7"/>
  <c r="CW98" i="7"/>
  <c r="CI98" i="7"/>
  <c r="CW97" i="7"/>
  <c r="CI97" i="7"/>
  <c r="CW96" i="7"/>
  <c r="CI96" i="7"/>
  <c r="CW95" i="7"/>
  <c r="CI95" i="7"/>
  <c r="CW94" i="7"/>
  <c r="CI94" i="7"/>
  <c r="CW93" i="7"/>
  <c r="CI93" i="7"/>
  <c r="CW92" i="7"/>
  <c r="CI92" i="7"/>
  <c r="CW91" i="7"/>
  <c r="CI91" i="7"/>
  <c r="DD86" i="7"/>
  <c r="DD83" i="7"/>
  <c r="DD80" i="7"/>
  <c r="DD77" i="7"/>
  <c r="DD74" i="7"/>
  <c r="DD71" i="7"/>
  <c r="DD68" i="7"/>
  <c r="DD65" i="7"/>
  <c r="DD62" i="7"/>
  <c r="DD59" i="7"/>
  <c r="DC10" i="7"/>
  <c r="CI88" i="7"/>
  <c r="CW88" i="7"/>
  <c r="CW85" i="7"/>
  <c r="CW82" i="7"/>
  <c r="CW79" i="7"/>
  <c r="CW76" i="7"/>
  <c r="CW73" i="7"/>
  <c r="CW70" i="7"/>
  <c r="CW67" i="7"/>
  <c r="CW64" i="7"/>
  <c r="CW61" i="7"/>
  <c r="CW58" i="7"/>
  <c r="CP57" i="7"/>
  <c r="CO57" i="7"/>
  <c r="CV56" i="7"/>
  <c r="CW56" i="7"/>
  <c r="DD55" i="7"/>
  <c r="DC55" i="7"/>
  <c r="CH55" i="7"/>
  <c r="CI55" i="7"/>
  <c r="CP54" i="7"/>
  <c r="CO54" i="7"/>
  <c r="CV53" i="7"/>
  <c r="CW53" i="7"/>
  <c r="DD40" i="7"/>
  <c r="DC40" i="7"/>
  <c r="CH40" i="7"/>
  <c r="CI40" i="7"/>
  <c r="CP39" i="7"/>
  <c r="CO39" i="7"/>
  <c r="CV38" i="7"/>
  <c r="CW38" i="7"/>
  <c r="DD37" i="7"/>
  <c r="DC37" i="7"/>
  <c r="CH37" i="7"/>
  <c r="CI37" i="7"/>
  <c r="CP36" i="7"/>
  <c r="CO36" i="7"/>
  <c r="CV35" i="7"/>
  <c r="CW35" i="7"/>
  <c r="DD34" i="7"/>
  <c r="DC34" i="7"/>
  <c r="CH34" i="7"/>
  <c r="CI34" i="7"/>
  <c r="CP33" i="7"/>
  <c r="CO33" i="7"/>
  <c r="CV32" i="7"/>
  <c r="CW32" i="7"/>
  <c r="DC31" i="7"/>
  <c r="CP30" i="7"/>
  <c r="CO30" i="7"/>
  <c r="DC28" i="7"/>
  <c r="CP24" i="7"/>
  <c r="CO24" i="7"/>
  <c r="DC22" i="7"/>
  <c r="CP18" i="7"/>
  <c r="CO18" i="7"/>
  <c r="DC16" i="7"/>
  <c r="CP12" i="7"/>
  <c r="CO12" i="7"/>
  <c r="CP6" i="7"/>
  <c r="CO6" i="7"/>
  <c r="CI65" i="7"/>
  <c r="CI62" i="7"/>
  <c r="CI59" i="7"/>
  <c r="DC88" i="7"/>
  <c r="DD87" i="7"/>
  <c r="DC85" i="7"/>
  <c r="DD84" i="7"/>
  <c r="DC82" i="7"/>
  <c r="DD81" i="7"/>
  <c r="DC79" i="7"/>
  <c r="DD78" i="7"/>
  <c r="DC76" i="7"/>
  <c r="DD75" i="7"/>
  <c r="DC73" i="7"/>
  <c r="DD72" i="7"/>
  <c r="DC70" i="7"/>
  <c r="DD69" i="7"/>
  <c r="DC67" i="7"/>
  <c r="DD66" i="7"/>
  <c r="DC64" i="7"/>
  <c r="DD63" i="7"/>
  <c r="DC61" i="7"/>
  <c r="DD60" i="7"/>
  <c r="DC58" i="7"/>
  <c r="DD57" i="7"/>
  <c r="DC6" i="7"/>
  <c r="CV87" i="7"/>
  <c r="CW86" i="7"/>
  <c r="CV84" i="7"/>
  <c r="CW83" i="7"/>
  <c r="CV81" i="7"/>
  <c r="CW80" i="7"/>
  <c r="CV78" i="7"/>
  <c r="CW77" i="7"/>
  <c r="CV75" i="7"/>
  <c r="CW74" i="7"/>
  <c r="CV72" i="7"/>
  <c r="CW71" i="7"/>
  <c r="CV69" i="7"/>
  <c r="CW68" i="7"/>
  <c r="CV66" i="7"/>
  <c r="CW65" i="7"/>
  <c r="CV63" i="7"/>
  <c r="CW62" i="7"/>
  <c r="CV60" i="7"/>
  <c r="CW59" i="7"/>
  <c r="CV57" i="7"/>
  <c r="CH57" i="7"/>
  <c r="CI57" i="7"/>
  <c r="DD112" i="7"/>
  <c r="CP112" i="7"/>
  <c r="DD111" i="7"/>
  <c r="CP111" i="7"/>
  <c r="DD110" i="7"/>
  <c r="CP110" i="7"/>
  <c r="DD109" i="7"/>
  <c r="CP109" i="7"/>
  <c r="DD108" i="7"/>
  <c r="CP108" i="7"/>
  <c r="DD107" i="7"/>
  <c r="CP107" i="7"/>
  <c r="DD106" i="7"/>
  <c r="CP106" i="7"/>
  <c r="DD105" i="7"/>
  <c r="CP105" i="7"/>
  <c r="DD104" i="7"/>
  <c r="CP104" i="7"/>
  <c r="DD103" i="7"/>
  <c r="CP103" i="7"/>
  <c r="DD102" i="7"/>
  <c r="CP102" i="7"/>
  <c r="DD101" i="7"/>
  <c r="CP101" i="7"/>
  <c r="DD100" i="7"/>
  <c r="CP100" i="7"/>
  <c r="DD99" i="7"/>
  <c r="CP99" i="7"/>
  <c r="DD98" i="7"/>
  <c r="CP98" i="7"/>
  <c r="DD97" i="7"/>
  <c r="CP97" i="7"/>
  <c r="DD96" i="7"/>
  <c r="CP96" i="7"/>
  <c r="DD95" i="7"/>
  <c r="CP95" i="7"/>
  <c r="DD94" i="7"/>
  <c r="CP94" i="7"/>
  <c r="DD93" i="7"/>
  <c r="CP93" i="7"/>
  <c r="DD92" i="7"/>
  <c r="CP92" i="7"/>
  <c r="DD91" i="7"/>
  <c r="CP91" i="7"/>
  <c r="DD90" i="7"/>
  <c r="CO89" i="7"/>
  <c r="CP88" i="7"/>
  <c r="CO86" i="7"/>
  <c r="CP85" i="7"/>
  <c r="CO83" i="7"/>
  <c r="CP82" i="7"/>
  <c r="CO80" i="7"/>
  <c r="CP79" i="7"/>
  <c r="CO77" i="7"/>
  <c r="CP76" i="7"/>
  <c r="CO74" i="7"/>
  <c r="CP73" i="7"/>
  <c r="CO71" i="7"/>
  <c r="CP70" i="7"/>
  <c r="CO68" i="7"/>
  <c r="CP67" i="7"/>
  <c r="CO65" i="7"/>
  <c r="CP64" i="7"/>
  <c r="CO62" i="7"/>
  <c r="CP61" i="7"/>
  <c r="CO59" i="7"/>
  <c r="CP58" i="7"/>
  <c r="DC56" i="7"/>
  <c r="CP56" i="7"/>
  <c r="CO56" i="7"/>
  <c r="CV55" i="7"/>
  <c r="CW55" i="7"/>
  <c r="DD54" i="7"/>
  <c r="DC54" i="7"/>
  <c r="CH54" i="7"/>
  <c r="CI54" i="7"/>
  <c r="CP53" i="7"/>
  <c r="CO53" i="7"/>
  <c r="CV40" i="7"/>
  <c r="CW40" i="7"/>
  <c r="DD39" i="7"/>
  <c r="DC39" i="7"/>
  <c r="CH39" i="7"/>
  <c r="CI39" i="7"/>
  <c r="CP38" i="7"/>
  <c r="CO38" i="7"/>
  <c r="CV37" i="7"/>
  <c r="CW37" i="7"/>
  <c r="DD36" i="7"/>
  <c r="DC36" i="7"/>
  <c r="CH36" i="7"/>
  <c r="CI36" i="7"/>
  <c r="CP35" i="7"/>
  <c r="CO35" i="7"/>
  <c r="CV34" i="7"/>
  <c r="CW34" i="7"/>
  <c r="DC33" i="7"/>
  <c r="CH33" i="7"/>
  <c r="CI33" i="7"/>
  <c r="CP32" i="7"/>
  <c r="CO32" i="7"/>
  <c r="DC30" i="7"/>
  <c r="CP26" i="7"/>
  <c r="CO26" i="7"/>
  <c r="DC24" i="7"/>
  <c r="CP20" i="7"/>
  <c r="CO20" i="7"/>
  <c r="DC18" i="7"/>
  <c r="CP14" i="7"/>
  <c r="CO14" i="7"/>
  <c r="DC12" i="7"/>
  <c r="CP8" i="7"/>
  <c r="CO8" i="7"/>
  <c r="CH88" i="7"/>
  <c r="CH85" i="7"/>
  <c r="CH82" i="7"/>
  <c r="CH79" i="7"/>
  <c r="CH76" i="7"/>
  <c r="CH73" i="7"/>
  <c r="CH70" i="7"/>
  <c r="CH67" i="7"/>
  <c r="CH64" i="7"/>
  <c r="CH61" i="7"/>
  <c r="CI60" i="7"/>
  <c r="CH58" i="7"/>
  <c r="CV31" i="7"/>
  <c r="CW31" i="7"/>
  <c r="CV29" i="7"/>
  <c r="CW29" i="7"/>
  <c r="CV27" i="7"/>
  <c r="CW27" i="7"/>
  <c r="CV25" i="7"/>
  <c r="CW25" i="7"/>
  <c r="CV23" i="7"/>
  <c r="CW23" i="7"/>
  <c r="CV21" i="7"/>
  <c r="CW21" i="7"/>
  <c r="CV19" i="7"/>
  <c r="CW19" i="7"/>
  <c r="CV17" i="7"/>
  <c r="CW17" i="7"/>
  <c r="CV15" i="7"/>
  <c r="CW15" i="7"/>
  <c r="CV13" i="7"/>
  <c r="CW13" i="7"/>
  <c r="CV11" i="7"/>
  <c r="CW11" i="7"/>
  <c r="CV9" i="7"/>
  <c r="CW9" i="7"/>
  <c r="CV7" i="7"/>
  <c r="CW7" i="7"/>
  <c r="CV5" i="7"/>
  <c r="CW5" i="7"/>
  <c r="CV3" i="7"/>
  <c r="CW3" i="7"/>
  <c r="CO29" i="7"/>
  <c r="CO27" i="7"/>
  <c r="CO25" i="7"/>
  <c r="CO23" i="7"/>
  <c r="CO21" i="7"/>
  <c r="CO19" i="7"/>
  <c r="CO17" i="7"/>
  <c r="CO15" i="7"/>
  <c r="CO13" i="7"/>
  <c r="CO11" i="7"/>
  <c r="CO9" i="7"/>
  <c r="CO7" i="7"/>
  <c r="CO5" i="7"/>
  <c r="DD32" i="7"/>
  <c r="DD30" i="7"/>
  <c r="DD28" i="7"/>
  <c r="DD26" i="7"/>
  <c r="DD24" i="7"/>
  <c r="DD22" i="7"/>
  <c r="DD20" i="7"/>
  <c r="DD18" i="7"/>
  <c r="DD16" i="7"/>
  <c r="DD14" i="7"/>
  <c r="DD12" i="7"/>
  <c r="DD10" i="7"/>
  <c r="DD8" i="7"/>
  <c r="DD6" i="7"/>
  <c r="DD4" i="7"/>
  <c r="CH32" i="7"/>
  <c r="CI32" i="7"/>
  <c r="CH30" i="7"/>
  <c r="CI30" i="7"/>
  <c r="CH28" i="7"/>
  <c r="CI28" i="7"/>
  <c r="CH26" i="7"/>
  <c r="CI26" i="7"/>
  <c r="CH24" i="7"/>
  <c r="CI24" i="7"/>
  <c r="CH22" i="7"/>
  <c r="CI22" i="7"/>
  <c r="CH20" i="7"/>
  <c r="CI20" i="7"/>
  <c r="CH18" i="7"/>
  <c r="CI18" i="7"/>
  <c r="CH16" i="7"/>
  <c r="CI16" i="7"/>
  <c r="CH14" i="7"/>
  <c r="CI14" i="7"/>
  <c r="CH12" i="7"/>
  <c r="CI12" i="7"/>
  <c r="CH10" i="7"/>
  <c r="CI10" i="7"/>
  <c r="CH8" i="7"/>
  <c r="CI8" i="7"/>
  <c r="CH6" i="7"/>
  <c r="CI6" i="7"/>
  <c r="CH4" i="7"/>
  <c r="CI4" i="7"/>
  <c r="CV30" i="7"/>
  <c r="CW30" i="7"/>
  <c r="CV28" i="7"/>
  <c r="CW28" i="7"/>
  <c r="CV26" i="7"/>
  <c r="CW26" i="7"/>
  <c r="CV24" i="7"/>
  <c r="CW24" i="7"/>
  <c r="CV22" i="7"/>
  <c r="CW22" i="7"/>
  <c r="CV20" i="7"/>
  <c r="CW20" i="7"/>
  <c r="CV18" i="7"/>
  <c r="CW18" i="7"/>
  <c r="CV16" i="7"/>
  <c r="CW16" i="7"/>
  <c r="CV14" i="7"/>
  <c r="CW14" i="7"/>
  <c r="CV12" i="7"/>
  <c r="CW12" i="7"/>
  <c r="CV10" i="7"/>
  <c r="CW10" i="7"/>
  <c r="CV8" i="7"/>
  <c r="CW8" i="7"/>
  <c r="CV6" i="7"/>
  <c r="CW6" i="7"/>
  <c r="CV4" i="7"/>
  <c r="CW4" i="7"/>
  <c r="DD33" i="7"/>
  <c r="DD31" i="7"/>
  <c r="DD29" i="7"/>
  <c r="DD27" i="7"/>
  <c r="DD25" i="7"/>
  <c r="DD23" i="7"/>
  <c r="DD21" i="7"/>
  <c r="DD19" i="7"/>
  <c r="DD17" i="7"/>
  <c r="DD15" i="7"/>
  <c r="DD13" i="7"/>
  <c r="DD11" i="7"/>
  <c r="DD9" i="7"/>
  <c r="DD7" i="7"/>
  <c r="DD5" i="7"/>
  <c r="DD3" i="7"/>
  <c r="CH31" i="7"/>
  <c r="CI31" i="7"/>
  <c r="CH29" i="7"/>
  <c r="CI29" i="7"/>
  <c r="CH27" i="7"/>
  <c r="CI27" i="7"/>
  <c r="CH25" i="7"/>
  <c r="CI25" i="7"/>
  <c r="CH23" i="7"/>
  <c r="CI23" i="7"/>
  <c r="CH21" i="7"/>
  <c r="CI21" i="7"/>
  <c r="CH19" i="7"/>
  <c r="CI19" i="7"/>
  <c r="CH17" i="7"/>
  <c r="CI17" i="7"/>
  <c r="CH15" i="7"/>
  <c r="CI15" i="7"/>
  <c r="CH13" i="7"/>
  <c r="CI13" i="7"/>
  <c r="CH11" i="7"/>
  <c r="CI11" i="7"/>
  <c r="CH9" i="7"/>
  <c r="CI9" i="7"/>
  <c r="CH7" i="7"/>
  <c r="CI7" i="7"/>
  <c r="CH5" i="7"/>
  <c r="CI5" i="7"/>
  <c r="CI3" i="7"/>
  <c r="DD2" i="7"/>
  <c r="CW2" i="7"/>
  <c r="CP2" i="7"/>
  <c r="DC2" i="7"/>
  <c r="CV2" i="7"/>
  <c r="CO2" i="7"/>
  <c r="CI2" i="7"/>
  <c r="CH2" i="7"/>
  <c r="CA94" i="7"/>
  <c r="CB76" i="7"/>
  <c r="CB64" i="7"/>
  <c r="CA58" i="7"/>
  <c r="CB55" i="7"/>
  <c r="CB40" i="7"/>
  <c r="CB37" i="7"/>
  <c r="CA34" i="7"/>
  <c r="CB31" i="7"/>
  <c r="CB28" i="7"/>
  <c r="CB25" i="7"/>
  <c r="CA22" i="7"/>
  <c r="CB19" i="7"/>
  <c r="CB16" i="7"/>
  <c r="CB13" i="7"/>
  <c r="CA10" i="7"/>
  <c r="CB7" i="7"/>
  <c r="CB4" i="7"/>
  <c r="CB97" i="7"/>
  <c r="CB73" i="7"/>
  <c r="CB61" i="7"/>
  <c r="CA21" i="7"/>
  <c r="CB107" i="7"/>
  <c r="CA106" i="7"/>
  <c r="CB88" i="7"/>
  <c r="CB67" i="7"/>
  <c r="CA33" i="7"/>
  <c r="CA9" i="7"/>
  <c r="CB95" i="7"/>
  <c r="CB91" i="7"/>
  <c r="CA70" i="7"/>
  <c r="CB83" i="7"/>
  <c r="CB112" i="7"/>
  <c r="CB85" i="7"/>
  <c r="CB71" i="7"/>
  <c r="CB100" i="7"/>
  <c r="CB79" i="7"/>
  <c r="CA104" i="7"/>
  <c r="CB59" i="7"/>
  <c r="CB103" i="7"/>
  <c r="CA82" i="7"/>
  <c r="CA92" i="7"/>
  <c r="CB38" i="7"/>
  <c r="CB32" i="7"/>
  <c r="CB26" i="7"/>
  <c r="CB20" i="7"/>
  <c r="CB14" i="7"/>
  <c r="CA80" i="7"/>
  <c r="CB109" i="7"/>
  <c r="CB53" i="7"/>
  <c r="CA35" i="7"/>
  <c r="CB29" i="7"/>
  <c r="CA23" i="7"/>
  <c r="CB17" i="7"/>
  <c r="CA11" i="7"/>
  <c r="CA68" i="7"/>
  <c r="CB11" i="7"/>
  <c r="CA105" i="7"/>
  <c r="CA93" i="7"/>
  <c r="CA81" i="7"/>
  <c r="CA69" i="7"/>
  <c r="CA57" i="7"/>
  <c r="CB108" i="7"/>
  <c r="CB96" i="7"/>
  <c r="CB84" i="7"/>
  <c r="CB72" i="7"/>
  <c r="CB60" i="7"/>
  <c r="CB36" i="7"/>
  <c r="CB24" i="7"/>
  <c r="CB12" i="7"/>
  <c r="CA103" i="7"/>
  <c r="CA91" i="7"/>
  <c r="CA79" i="7"/>
  <c r="CA67" i="7"/>
  <c r="CA55" i="7"/>
  <c r="CA31" i="7"/>
  <c r="CA19" i="7"/>
  <c r="CA7" i="7"/>
  <c r="CB106" i="7"/>
  <c r="CB94" i="7"/>
  <c r="CB82" i="7"/>
  <c r="CB70" i="7"/>
  <c r="CB58" i="7"/>
  <c r="CB34" i="7"/>
  <c r="CB22" i="7"/>
  <c r="CB10" i="7"/>
  <c r="CA102" i="7"/>
  <c r="CA90" i="7"/>
  <c r="CA78" i="7"/>
  <c r="CA66" i="7"/>
  <c r="CA54" i="7"/>
  <c r="CA30" i="7"/>
  <c r="CA18" i="7"/>
  <c r="CA6" i="7"/>
  <c r="CA2" i="7"/>
  <c r="CA101" i="7"/>
  <c r="CA89" i="7"/>
  <c r="CA77" i="7"/>
  <c r="CA65" i="7"/>
  <c r="CA53" i="7"/>
  <c r="CA29" i="7"/>
  <c r="CA112" i="7"/>
  <c r="CA100" i="7"/>
  <c r="CA88" i="7"/>
  <c r="CA76" i="7"/>
  <c r="CA64" i="7"/>
  <c r="CA40" i="7"/>
  <c r="CA28" i="7"/>
  <c r="CA16" i="7"/>
  <c r="CA4" i="7"/>
  <c r="CA111" i="7"/>
  <c r="CA99" i="7"/>
  <c r="CA87" i="7"/>
  <c r="CA75" i="7"/>
  <c r="CA63" i="7"/>
  <c r="CA39" i="7"/>
  <c r="CA27" i="7"/>
  <c r="CA15" i="7"/>
  <c r="CA3" i="7"/>
  <c r="CA110" i="7"/>
  <c r="CA98" i="7"/>
  <c r="CA86" i="7"/>
  <c r="CA74" i="7"/>
  <c r="CA62" i="7"/>
  <c r="CA38" i="7"/>
  <c r="CA26" i="7"/>
  <c r="CA14" i="7"/>
  <c r="CA109" i="7"/>
  <c r="CA97" i="7"/>
  <c r="CA85" i="7"/>
  <c r="CA73" i="7"/>
  <c r="CA61" i="7"/>
  <c r="CA37" i="7"/>
  <c r="CA25" i="7"/>
  <c r="CA13" i="7"/>
  <c r="W58" i="7" l="1"/>
  <c r="W57" i="7"/>
  <c r="V58" i="7"/>
  <c r="V60" i="7"/>
  <c r="W56" i="7"/>
  <c r="V57" i="7"/>
  <c r="V56" i="7"/>
  <c r="W60" i="7"/>
  <c r="W59" i="7"/>
  <c r="V59" i="7"/>
  <c r="EB3" i="7"/>
  <c r="DW3" i="7"/>
  <c r="DR3" i="7"/>
  <c r="DM3" i="7"/>
  <c r="DH3" i="7"/>
  <c r="EC3" i="7" l="1"/>
  <c r="EB4" i="7"/>
  <c r="DX3" i="7"/>
  <c r="DW4" i="7"/>
  <c r="DS3" i="7"/>
  <c r="DR4" i="7"/>
  <c r="DN3" i="7"/>
  <c r="DM4" i="7"/>
  <c r="DI3" i="7"/>
  <c r="DH4" i="7"/>
  <c r="EB5" i="7" l="1"/>
  <c r="EC4" i="7"/>
  <c r="DW5" i="7"/>
  <c r="DX4" i="7"/>
  <c r="DR5" i="7"/>
  <c r="DS4" i="7"/>
  <c r="DN4" i="7"/>
  <c r="DM5" i="7"/>
  <c r="DH5" i="7"/>
  <c r="DH6" i="7" s="1"/>
  <c r="DH7" i="7" s="1"/>
  <c r="DH8" i="7" s="1"/>
  <c r="DH9" i="7" s="1"/>
  <c r="DH10" i="7" s="1"/>
  <c r="DH11" i="7" s="1"/>
  <c r="DH12" i="7" s="1"/>
  <c r="DH13" i="7" s="1"/>
  <c r="DH14" i="7" s="1"/>
  <c r="DH15" i="7" s="1"/>
  <c r="DH16" i="7" s="1"/>
  <c r="DH17" i="7" s="1"/>
  <c r="DH18" i="7" s="1"/>
  <c r="DH19" i="7" s="1"/>
  <c r="DH20" i="7" s="1"/>
  <c r="DH21" i="7" s="1"/>
  <c r="DH22" i="7" s="1"/>
  <c r="DH23" i="7" s="1"/>
  <c r="DH24" i="7" s="1"/>
  <c r="DH25" i="7" s="1"/>
  <c r="DH26" i="7" s="1"/>
  <c r="DH27" i="7" s="1"/>
  <c r="DH28" i="7" s="1"/>
  <c r="DH29" i="7" s="1"/>
  <c r="DH30" i="7" s="1"/>
  <c r="DH31" i="7" s="1"/>
  <c r="DH32" i="7" s="1"/>
  <c r="DH33" i="7" s="1"/>
  <c r="DH34" i="7" s="1"/>
  <c r="DH35" i="7" s="1"/>
  <c r="DH36" i="7" s="1"/>
  <c r="DH37" i="7" s="1"/>
  <c r="DH38" i="7" s="1"/>
  <c r="DH39" i="7" s="1"/>
  <c r="DH40" i="7" s="1"/>
  <c r="DI4" i="7"/>
  <c r="DH53" i="7" l="1"/>
  <c r="DH54" i="7" s="1"/>
  <c r="DH55" i="7" s="1"/>
  <c r="DH56" i="7" s="1"/>
  <c r="DH57" i="7" s="1"/>
  <c r="DH58" i="7" s="1"/>
  <c r="DH59" i="7" s="1"/>
  <c r="DH60" i="7" s="1"/>
  <c r="DH61" i="7" s="1"/>
  <c r="DH62" i="7" s="1"/>
  <c r="DH63" i="7" s="1"/>
  <c r="DH64" i="7" s="1"/>
  <c r="DH65" i="7" s="1"/>
  <c r="DH66" i="7" s="1"/>
  <c r="DH67" i="7" s="1"/>
  <c r="DH68" i="7" s="1"/>
  <c r="DH69" i="7" s="1"/>
  <c r="DH70" i="7" s="1"/>
  <c r="DH71" i="7" s="1"/>
  <c r="DH72" i="7" s="1"/>
  <c r="DH73" i="7" s="1"/>
  <c r="DH74" i="7" s="1"/>
  <c r="DH75" i="7" s="1"/>
  <c r="DH76" i="7" s="1"/>
  <c r="DH77" i="7" s="1"/>
  <c r="DH78" i="7" s="1"/>
  <c r="DH79" i="7" s="1"/>
  <c r="DH80" i="7" s="1"/>
  <c r="DH81" i="7" s="1"/>
  <c r="DH82" i="7" s="1"/>
  <c r="DH83" i="7" s="1"/>
  <c r="DH84" i="7" s="1"/>
  <c r="DH85" i="7" s="1"/>
  <c r="DH86" i="7" s="1"/>
  <c r="DH87" i="7" s="1"/>
  <c r="DH88" i="7" s="1"/>
  <c r="DH89" i="7" s="1"/>
  <c r="DH90" i="7" s="1"/>
  <c r="DH91" i="7" s="1"/>
  <c r="DH92" i="7" s="1"/>
  <c r="DH93" i="7" s="1"/>
  <c r="DH94" i="7" s="1"/>
  <c r="DH95" i="7" s="1"/>
  <c r="DH96" i="7" s="1"/>
  <c r="DH97" i="7" s="1"/>
  <c r="DH98" i="7" s="1"/>
  <c r="DH99" i="7" s="1"/>
  <c r="DH100" i="7" s="1"/>
  <c r="DH101" i="7" s="1"/>
  <c r="DH102" i="7" s="1"/>
  <c r="DH103" i="7" s="1"/>
  <c r="DH104" i="7" s="1"/>
  <c r="DH105" i="7" s="1"/>
  <c r="DH106" i="7" s="1"/>
  <c r="DH107" i="7" s="1"/>
  <c r="DH108" i="7" s="1"/>
  <c r="DH109" i="7" s="1"/>
  <c r="DH110" i="7" s="1"/>
  <c r="DH111" i="7" s="1"/>
  <c r="DH112" i="7" s="1"/>
  <c r="DH113" i="7" s="1"/>
  <c r="DH114" i="7" s="1"/>
  <c r="DH115" i="7" s="1"/>
  <c r="DH41" i="7"/>
  <c r="DI5" i="7"/>
  <c r="DI6" i="7" s="1"/>
  <c r="DI7" i="7" s="1"/>
  <c r="DI8" i="7" s="1"/>
  <c r="DI9" i="7" s="1"/>
  <c r="DI10" i="7" s="1"/>
  <c r="DI11" i="7" s="1"/>
  <c r="DI12" i="7" s="1"/>
  <c r="DI13" i="7" s="1"/>
  <c r="DI14" i="7" s="1"/>
  <c r="DI15" i="7" s="1"/>
  <c r="DI16" i="7" s="1"/>
  <c r="DI17" i="7" s="1"/>
  <c r="DI18" i="7" s="1"/>
  <c r="DI19" i="7" s="1"/>
  <c r="DI20" i="7" s="1"/>
  <c r="DI21" i="7" s="1"/>
  <c r="DI22" i="7" s="1"/>
  <c r="DI23" i="7" s="1"/>
  <c r="DI24" i="7" s="1"/>
  <c r="DI25" i="7" s="1"/>
  <c r="DI26" i="7" s="1"/>
  <c r="DI27" i="7" s="1"/>
  <c r="DI28" i="7" s="1"/>
  <c r="DI29" i="7" s="1"/>
  <c r="DI30" i="7" s="1"/>
  <c r="DI31" i="7" s="1"/>
  <c r="DI32" i="7" s="1"/>
  <c r="DI33" i="7" s="1"/>
  <c r="DI34" i="7" s="1"/>
  <c r="DI35" i="7" s="1"/>
  <c r="DI36" i="7" s="1"/>
  <c r="DI37" i="7" s="1"/>
  <c r="DI38" i="7" s="1"/>
  <c r="DI39" i="7" s="1"/>
  <c r="DI40" i="7" s="1"/>
  <c r="EC5" i="7"/>
  <c r="EB6" i="7"/>
  <c r="DW6" i="7"/>
  <c r="DX5" i="7"/>
  <c r="DS5" i="7"/>
  <c r="DR6" i="7"/>
  <c r="DM6" i="7"/>
  <c r="DM7" i="7" s="1"/>
  <c r="DN5" i="7"/>
  <c r="DI53" i="7" l="1"/>
  <c r="DI54" i="7" s="1"/>
  <c r="DI55" i="7" s="1"/>
  <c r="DI56" i="7" s="1"/>
  <c r="DI57" i="7" s="1"/>
  <c r="DI58" i="7" s="1"/>
  <c r="DI59" i="7" s="1"/>
  <c r="DI60" i="7" s="1"/>
  <c r="DI61" i="7" s="1"/>
  <c r="DI62" i="7" s="1"/>
  <c r="DI63" i="7" s="1"/>
  <c r="DI64" i="7" s="1"/>
  <c r="DI65" i="7" s="1"/>
  <c r="DI66" i="7" s="1"/>
  <c r="DI67" i="7" s="1"/>
  <c r="DI68" i="7" s="1"/>
  <c r="DI69" i="7" s="1"/>
  <c r="DI70" i="7" s="1"/>
  <c r="DI71" i="7" s="1"/>
  <c r="DI72" i="7" s="1"/>
  <c r="DI73" i="7" s="1"/>
  <c r="DI74" i="7" s="1"/>
  <c r="DI75" i="7" s="1"/>
  <c r="DI76" i="7" s="1"/>
  <c r="DI77" i="7" s="1"/>
  <c r="DI78" i="7" s="1"/>
  <c r="DI79" i="7" s="1"/>
  <c r="DI80" i="7" s="1"/>
  <c r="DI81" i="7" s="1"/>
  <c r="DI82" i="7" s="1"/>
  <c r="DI83" i="7" s="1"/>
  <c r="DI84" i="7" s="1"/>
  <c r="DI85" i="7" s="1"/>
  <c r="DI86" i="7" s="1"/>
  <c r="DI87" i="7" s="1"/>
  <c r="DI88" i="7" s="1"/>
  <c r="DI89" i="7" s="1"/>
  <c r="DI90" i="7" s="1"/>
  <c r="DI91" i="7" s="1"/>
  <c r="DI92" i="7" s="1"/>
  <c r="DI93" i="7" s="1"/>
  <c r="DI94" i="7" s="1"/>
  <c r="DI95" i="7" s="1"/>
  <c r="DI96" i="7" s="1"/>
  <c r="DI97" i="7" s="1"/>
  <c r="DI98" i="7" s="1"/>
  <c r="DI99" i="7" s="1"/>
  <c r="DI100" i="7" s="1"/>
  <c r="DI101" i="7" s="1"/>
  <c r="DI102" i="7" s="1"/>
  <c r="DI103" i="7" s="1"/>
  <c r="DI104" i="7" s="1"/>
  <c r="DI105" i="7" s="1"/>
  <c r="DI106" i="7" s="1"/>
  <c r="DI107" i="7" s="1"/>
  <c r="DI108" i="7" s="1"/>
  <c r="DI109" i="7" s="1"/>
  <c r="DI110" i="7" s="1"/>
  <c r="DI111" i="7" s="1"/>
  <c r="DI112" i="7" s="1"/>
  <c r="DI113" i="7" s="1"/>
  <c r="DI114" i="7" s="1"/>
  <c r="DI115" i="7" s="1"/>
  <c r="DI41" i="7"/>
  <c r="DH42" i="7"/>
  <c r="DH116" i="7"/>
  <c r="EC6" i="7"/>
  <c r="EB7" i="7"/>
  <c r="DX6" i="7"/>
  <c r="DW7" i="7"/>
  <c r="DW8" i="7" s="1"/>
  <c r="DS6" i="7"/>
  <c r="DR7" i="7"/>
  <c r="DN6" i="7"/>
  <c r="DN7" i="7" s="1"/>
  <c r="DM8" i="7"/>
  <c r="DI42" i="7" l="1"/>
  <c r="DH43" i="7"/>
  <c r="DI116" i="7"/>
  <c r="DH117" i="7"/>
  <c r="EB8" i="7"/>
  <c r="EC7" i="7"/>
  <c r="DW9" i="7"/>
  <c r="DX7" i="7"/>
  <c r="DX8" i="7" s="1"/>
  <c r="DS7" i="7"/>
  <c r="DR8" i="7"/>
  <c r="DN8" i="7"/>
  <c r="DM9" i="7"/>
  <c r="DH44" i="7" l="1"/>
  <c r="DI43" i="7"/>
  <c r="DI117" i="7"/>
  <c r="DH118" i="7"/>
  <c r="EC8" i="7"/>
  <c r="EB9" i="7"/>
  <c r="DX9" i="7"/>
  <c r="DW10" i="7"/>
  <c r="DR9" i="7"/>
  <c r="DS8" i="7"/>
  <c r="DN9" i="7"/>
  <c r="DM10" i="7"/>
  <c r="DI44" i="7" l="1"/>
  <c r="DH45" i="7"/>
  <c r="DH46" i="7" s="1"/>
  <c r="DH47" i="7" s="1"/>
  <c r="DH48" i="7" s="1"/>
  <c r="DH119" i="7"/>
  <c r="DI118" i="7"/>
  <c r="EC9" i="7"/>
  <c r="EB10" i="7"/>
  <c r="DX10" i="7"/>
  <c r="DW11" i="7"/>
  <c r="DS9" i="7"/>
  <c r="DR10" i="7"/>
  <c r="DM11" i="7"/>
  <c r="DN10" i="7"/>
  <c r="DH49" i="7" l="1"/>
  <c r="DI45" i="7"/>
  <c r="DI46" i="7" s="1"/>
  <c r="DI47" i="7" s="1"/>
  <c r="DI48" i="7" s="1"/>
  <c r="DI119" i="7"/>
  <c r="DH120" i="7"/>
  <c r="EC10" i="7"/>
  <c r="EB11" i="7"/>
  <c r="DX11" i="7"/>
  <c r="DW12" i="7"/>
  <c r="DS10" i="7"/>
  <c r="DR11" i="7"/>
  <c r="DM12" i="7"/>
  <c r="DN11" i="7"/>
  <c r="DH50" i="7" l="1"/>
  <c r="DI49" i="7"/>
  <c r="DI120" i="7"/>
  <c r="DH121" i="7"/>
  <c r="EC11" i="7"/>
  <c r="EB12" i="7"/>
  <c r="DX12" i="7"/>
  <c r="DW13" i="7"/>
  <c r="DS11" i="7"/>
  <c r="DR12" i="7"/>
  <c r="DM13" i="7"/>
  <c r="DN12" i="7"/>
  <c r="BB3" i="7"/>
  <c r="BC3" i="7"/>
  <c r="BD3" i="7"/>
  <c r="BE3" i="7"/>
  <c r="BF3" i="7"/>
  <c r="BG3" i="7"/>
  <c r="BH3" i="7"/>
  <c r="BI3" i="7"/>
  <c r="BJ3" i="7"/>
  <c r="BK3" i="7"/>
  <c r="BL3" i="7"/>
  <c r="BM3" i="7"/>
  <c r="BN3" i="7"/>
  <c r="BO3" i="7"/>
  <c r="BP3" i="7"/>
  <c r="BQ3" i="7"/>
  <c r="BR3" i="7"/>
  <c r="BS3" i="7"/>
  <c r="BT3" i="7"/>
  <c r="BU3" i="7"/>
  <c r="BB4" i="7"/>
  <c r="BC4" i="7"/>
  <c r="BD4" i="7"/>
  <c r="BE4" i="7"/>
  <c r="BF4" i="7"/>
  <c r="BG4" i="7"/>
  <c r="BH4" i="7"/>
  <c r="BI4" i="7"/>
  <c r="BJ4" i="7"/>
  <c r="BK4" i="7"/>
  <c r="BL4" i="7"/>
  <c r="BM4" i="7"/>
  <c r="BN4" i="7"/>
  <c r="BO4" i="7"/>
  <c r="BP4" i="7"/>
  <c r="BQ4" i="7"/>
  <c r="BR4" i="7"/>
  <c r="BS4" i="7"/>
  <c r="BT4" i="7"/>
  <c r="BU4" i="7"/>
  <c r="BB5" i="7"/>
  <c r="BC5" i="7"/>
  <c r="BD5" i="7"/>
  <c r="BE5" i="7"/>
  <c r="BF5" i="7"/>
  <c r="BG5" i="7"/>
  <c r="BH5" i="7"/>
  <c r="BI5" i="7"/>
  <c r="BJ5" i="7"/>
  <c r="BK5" i="7"/>
  <c r="BL5" i="7"/>
  <c r="BM5" i="7"/>
  <c r="BN5" i="7"/>
  <c r="BO5" i="7"/>
  <c r="BP5" i="7"/>
  <c r="BQ5" i="7"/>
  <c r="BR5" i="7"/>
  <c r="BS5" i="7"/>
  <c r="BT5" i="7"/>
  <c r="BU5" i="7"/>
  <c r="BB6" i="7"/>
  <c r="BC6" i="7"/>
  <c r="BD6" i="7"/>
  <c r="BE6" i="7"/>
  <c r="BF6" i="7"/>
  <c r="BG6" i="7"/>
  <c r="BH6" i="7"/>
  <c r="BI6" i="7"/>
  <c r="BJ6" i="7"/>
  <c r="BK6" i="7"/>
  <c r="BL6" i="7"/>
  <c r="BM6" i="7"/>
  <c r="BN6" i="7"/>
  <c r="BO6" i="7"/>
  <c r="BP6" i="7"/>
  <c r="BQ6" i="7"/>
  <c r="BR6" i="7"/>
  <c r="BS6" i="7"/>
  <c r="BT6" i="7"/>
  <c r="BU6" i="7"/>
  <c r="BB7" i="7"/>
  <c r="BC7" i="7"/>
  <c r="BD7" i="7"/>
  <c r="BE7" i="7"/>
  <c r="BF7" i="7"/>
  <c r="BG7" i="7"/>
  <c r="BH7" i="7"/>
  <c r="BI7" i="7"/>
  <c r="BJ7" i="7"/>
  <c r="BK7" i="7"/>
  <c r="BL7" i="7"/>
  <c r="BM7" i="7"/>
  <c r="BN7" i="7"/>
  <c r="BO7" i="7"/>
  <c r="BP7" i="7"/>
  <c r="BQ7" i="7"/>
  <c r="BR7" i="7"/>
  <c r="BS7" i="7"/>
  <c r="BT7" i="7"/>
  <c r="BU7" i="7"/>
  <c r="BB8" i="7"/>
  <c r="BC8" i="7"/>
  <c r="BD8" i="7"/>
  <c r="BE8" i="7"/>
  <c r="BF8" i="7"/>
  <c r="BG8" i="7"/>
  <c r="BH8" i="7"/>
  <c r="BI8" i="7"/>
  <c r="BJ8" i="7"/>
  <c r="BK8" i="7"/>
  <c r="BL8" i="7"/>
  <c r="BM8" i="7"/>
  <c r="BN8" i="7"/>
  <c r="BO8" i="7"/>
  <c r="BP8" i="7"/>
  <c r="BQ8" i="7"/>
  <c r="BR8" i="7"/>
  <c r="BS8" i="7"/>
  <c r="BT8" i="7"/>
  <c r="BU8" i="7"/>
  <c r="BB9" i="7"/>
  <c r="BC9" i="7"/>
  <c r="BD9" i="7"/>
  <c r="BE9" i="7"/>
  <c r="BF9" i="7"/>
  <c r="BG9" i="7"/>
  <c r="BH9" i="7"/>
  <c r="BI9" i="7"/>
  <c r="BJ9" i="7"/>
  <c r="BK9" i="7"/>
  <c r="BL9" i="7"/>
  <c r="BM9" i="7"/>
  <c r="BN9" i="7"/>
  <c r="BO9" i="7"/>
  <c r="BP9" i="7"/>
  <c r="BQ9" i="7"/>
  <c r="BR9" i="7"/>
  <c r="BS9" i="7"/>
  <c r="BT9" i="7"/>
  <c r="BU9" i="7"/>
  <c r="BB10" i="7"/>
  <c r="BC10" i="7"/>
  <c r="BD10" i="7"/>
  <c r="BE10" i="7"/>
  <c r="BF10" i="7"/>
  <c r="BG10" i="7"/>
  <c r="BH10" i="7"/>
  <c r="BI10" i="7"/>
  <c r="BJ10" i="7"/>
  <c r="BK10" i="7"/>
  <c r="BL10" i="7"/>
  <c r="BM10" i="7"/>
  <c r="BN10" i="7"/>
  <c r="BO10" i="7"/>
  <c r="BP10" i="7"/>
  <c r="BQ10" i="7"/>
  <c r="BR10" i="7"/>
  <c r="BS10" i="7"/>
  <c r="BT10" i="7"/>
  <c r="BU10" i="7"/>
  <c r="BB11" i="7"/>
  <c r="BC11" i="7"/>
  <c r="BD11" i="7"/>
  <c r="BE11" i="7"/>
  <c r="BF11" i="7"/>
  <c r="BG11" i="7"/>
  <c r="BH11" i="7"/>
  <c r="BI11" i="7"/>
  <c r="BJ11" i="7"/>
  <c r="BK11" i="7"/>
  <c r="BL11" i="7"/>
  <c r="BM11" i="7"/>
  <c r="BN11" i="7"/>
  <c r="BO11" i="7"/>
  <c r="BP11" i="7"/>
  <c r="BQ11" i="7"/>
  <c r="BR11" i="7"/>
  <c r="BS11" i="7"/>
  <c r="BT11" i="7"/>
  <c r="BU11" i="7"/>
  <c r="BB12" i="7"/>
  <c r="BC12" i="7"/>
  <c r="BD12" i="7"/>
  <c r="BE12" i="7"/>
  <c r="BF12" i="7"/>
  <c r="BG12" i="7"/>
  <c r="BH12" i="7"/>
  <c r="BI12" i="7"/>
  <c r="BJ12" i="7"/>
  <c r="BK12" i="7"/>
  <c r="BL12" i="7"/>
  <c r="BM12" i="7"/>
  <c r="BN12" i="7"/>
  <c r="BO12" i="7"/>
  <c r="BP12" i="7"/>
  <c r="BQ12" i="7"/>
  <c r="BR12" i="7"/>
  <c r="BS12" i="7"/>
  <c r="BT12" i="7"/>
  <c r="BU12" i="7"/>
  <c r="BB13" i="7"/>
  <c r="BC13" i="7"/>
  <c r="BD13" i="7"/>
  <c r="BE13" i="7"/>
  <c r="BF13" i="7"/>
  <c r="BG13" i="7"/>
  <c r="BH13" i="7"/>
  <c r="BI13" i="7"/>
  <c r="BJ13" i="7"/>
  <c r="BK13" i="7"/>
  <c r="BL13" i="7"/>
  <c r="BM13" i="7"/>
  <c r="BN13" i="7"/>
  <c r="BO13" i="7"/>
  <c r="BP13" i="7"/>
  <c r="BQ13" i="7"/>
  <c r="BR13" i="7"/>
  <c r="BS13" i="7"/>
  <c r="BT13" i="7"/>
  <c r="BU13" i="7"/>
  <c r="BB14" i="7"/>
  <c r="BC14" i="7"/>
  <c r="BD14" i="7"/>
  <c r="BE14" i="7"/>
  <c r="BF14" i="7"/>
  <c r="BG14" i="7"/>
  <c r="BH14" i="7"/>
  <c r="BI14" i="7"/>
  <c r="BJ14" i="7"/>
  <c r="BK14" i="7"/>
  <c r="BL14" i="7"/>
  <c r="BM14" i="7"/>
  <c r="BN14" i="7"/>
  <c r="BO14" i="7"/>
  <c r="BP14" i="7"/>
  <c r="BQ14" i="7"/>
  <c r="BR14" i="7"/>
  <c r="BS14" i="7"/>
  <c r="BT14" i="7"/>
  <c r="BU14" i="7"/>
  <c r="BB15" i="7"/>
  <c r="BC15" i="7"/>
  <c r="BD15" i="7"/>
  <c r="BE15" i="7"/>
  <c r="BF15" i="7"/>
  <c r="BG15" i="7"/>
  <c r="BH15" i="7"/>
  <c r="BI15" i="7"/>
  <c r="BJ15" i="7"/>
  <c r="BK15" i="7"/>
  <c r="BL15" i="7"/>
  <c r="BM15" i="7"/>
  <c r="BN15" i="7"/>
  <c r="BO15" i="7"/>
  <c r="BP15" i="7"/>
  <c r="BQ15" i="7"/>
  <c r="BR15" i="7"/>
  <c r="BS15" i="7"/>
  <c r="BT15" i="7"/>
  <c r="BU15" i="7"/>
  <c r="BB16" i="7"/>
  <c r="BC16" i="7"/>
  <c r="BD16" i="7"/>
  <c r="BE16" i="7"/>
  <c r="BF16" i="7"/>
  <c r="BG16" i="7"/>
  <c r="BH16" i="7"/>
  <c r="BI16" i="7"/>
  <c r="BJ16" i="7"/>
  <c r="BK16" i="7"/>
  <c r="BL16" i="7"/>
  <c r="BM16" i="7"/>
  <c r="BN16" i="7"/>
  <c r="BO16" i="7"/>
  <c r="BP16" i="7"/>
  <c r="BQ16" i="7"/>
  <c r="BR16" i="7"/>
  <c r="BS16" i="7"/>
  <c r="BT16" i="7"/>
  <c r="BU16" i="7"/>
  <c r="BB17" i="7"/>
  <c r="BC17" i="7"/>
  <c r="BD17" i="7"/>
  <c r="BE17" i="7"/>
  <c r="BF17" i="7"/>
  <c r="BG17" i="7"/>
  <c r="BH17" i="7"/>
  <c r="BI17" i="7"/>
  <c r="BJ17" i="7"/>
  <c r="BK17" i="7"/>
  <c r="BL17" i="7"/>
  <c r="BM17" i="7"/>
  <c r="BN17" i="7"/>
  <c r="BO17" i="7"/>
  <c r="BP17" i="7"/>
  <c r="BQ17" i="7"/>
  <c r="BR17" i="7"/>
  <c r="BS17" i="7"/>
  <c r="BT17" i="7"/>
  <c r="BU17" i="7"/>
  <c r="BB18" i="7"/>
  <c r="BC18" i="7"/>
  <c r="BD18" i="7"/>
  <c r="BE18" i="7"/>
  <c r="BF18" i="7"/>
  <c r="BG18" i="7"/>
  <c r="BH18" i="7"/>
  <c r="BI18" i="7"/>
  <c r="BJ18" i="7"/>
  <c r="BK18" i="7"/>
  <c r="BL18" i="7"/>
  <c r="BM18" i="7"/>
  <c r="BN18" i="7"/>
  <c r="BO18" i="7"/>
  <c r="BP18" i="7"/>
  <c r="BQ18" i="7"/>
  <c r="BR18" i="7"/>
  <c r="BS18" i="7"/>
  <c r="BT18" i="7"/>
  <c r="BU18" i="7"/>
  <c r="BB19" i="7"/>
  <c r="BC19" i="7"/>
  <c r="BD19" i="7"/>
  <c r="BE19" i="7"/>
  <c r="BF19" i="7"/>
  <c r="BG19" i="7"/>
  <c r="BH19" i="7"/>
  <c r="BI19" i="7"/>
  <c r="BJ19" i="7"/>
  <c r="BK19" i="7"/>
  <c r="BL19" i="7"/>
  <c r="BM19" i="7"/>
  <c r="BN19" i="7"/>
  <c r="BO19" i="7"/>
  <c r="BP19" i="7"/>
  <c r="BQ19" i="7"/>
  <c r="BR19" i="7"/>
  <c r="BS19" i="7"/>
  <c r="BT19" i="7"/>
  <c r="BU19" i="7"/>
  <c r="BB20" i="7"/>
  <c r="BC20" i="7"/>
  <c r="BD20" i="7"/>
  <c r="BE20" i="7"/>
  <c r="BF20" i="7"/>
  <c r="BG20" i="7"/>
  <c r="BH20" i="7"/>
  <c r="BI20" i="7"/>
  <c r="BJ20" i="7"/>
  <c r="BK20" i="7"/>
  <c r="BL20" i="7"/>
  <c r="BM20" i="7"/>
  <c r="BN20" i="7"/>
  <c r="BO20" i="7"/>
  <c r="BP20" i="7"/>
  <c r="BQ20" i="7"/>
  <c r="BR20" i="7"/>
  <c r="BS20" i="7"/>
  <c r="BT20" i="7"/>
  <c r="BU20" i="7"/>
  <c r="BB21" i="7"/>
  <c r="BC21" i="7"/>
  <c r="BD21" i="7"/>
  <c r="BE21" i="7"/>
  <c r="BF21" i="7"/>
  <c r="BG21" i="7"/>
  <c r="BH21" i="7"/>
  <c r="BI21" i="7"/>
  <c r="BJ21" i="7"/>
  <c r="BK21" i="7"/>
  <c r="BL21" i="7"/>
  <c r="BM21" i="7"/>
  <c r="BN21" i="7"/>
  <c r="BO21" i="7"/>
  <c r="BP21" i="7"/>
  <c r="BQ21" i="7"/>
  <c r="BR21" i="7"/>
  <c r="BS21" i="7"/>
  <c r="BT21" i="7"/>
  <c r="BU21" i="7"/>
  <c r="BB22" i="7"/>
  <c r="BC22" i="7"/>
  <c r="BD22" i="7"/>
  <c r="BE22" i="7"/>
  <c r="BF22" i="7"/>
  <c r="BG22" i="7"/>
  <c r="BH22" i="7"/>
  <c r="BI22" i="7"/>
  <c r="BJ22" i="7"/>
  <c r="BK22" i="7"/>
  <c r="BL22" i="7"/>
  <c r="BM22" i="7"/>
  <c r="BN22" i="7"/>
  <c r="BO22" i="7"/>
  <c r="BP22" i="7"/>
  <c r="BQ22" i="7"/>
  <c r="BR22" i="7"/>
  <c r="BS22" i="7"/>
  <c r="BT22" i="7"/>
  <c r="BU22" i="7"/>
  <c r="BB23" i="7"/>
  <c r="BC23" i="7"/>
  <c r="BD23" i="7"/>
  <c r="BE23" i="7"/>
  <c r="BF23" i="7"/>
  <c r="BG23" i="7"/>
  <c r="BH23" i="7"/>
  <c r="BI23" i="7"/>
  <c r="BJ23" i="7"/>
  <c r="BK23" i="7"/>
  <c r="BL23" i="7"/>
  <c r="BM23" i="7"/>
  <c r="BN23" i="7"/>
  <c r="BO23" i="7"/>
  <c r="BP23" i="7"/>
  <c r="BQ23" i="7"/>
  <c r="BR23" i="7"/>
  <c r="BS23" i="7"/>
  <c r="BT23" i="7"/>
  <c r="BU23" i="7"/>
  <c r="BB24" i="7"/>
  <c r="BC24" i="7"/>
  <c r="BD24" i="7"/>
  <c r="BE24" i="7"/>
  <c r="BF24" i="7"/>
  <c r="BG24" i="7"/>
  <c r="BH24" i="7"/>
  <c r="BI24" i="7"/>
  <c r="BJ24" i="7"/>
  <c r="BK24" i="7"/>
  <c r="BL24" i="7"/>
  <c r="BM24" i="7"/>
  <c r="BN24" i="7"/>
  <c r="BO24" i="7"/>
  <c r="BP24" i="7"/>
  <c r="BQ24" i="7"/>
  <c r="BR24" i="7"/>
  <c r="BS24" i="7"/>
  <c r="BT24" i="7"/>
  <c r="BU24" i="7"/>
  <c r="BB25" i="7"/>
  <c r="BC25" i="7"/>
  <c r="BD25" i="7"/>
  <c r="BE25" i="7"/>
  <c r="BF25" i="7"/>
  <c r="BG25" i="7"/>
  <c r="BH25" i="7"/>
  <c r="BI25" i="7"/>
  <c r="BJ25" i="7"/>
  <c r="BK25" i="7"/>
  <c r="BL25" i="7"/>
  <c r="BM25" i="7"/>
  <c r="BN25" i="7"/>
  <c r="BO25" i="7"/>
  <c r="BP25" i="7"/>
  <c r="BQ25" i="7"/>
  <c r="BR25" i="7"/>
  <c r="BS25" i="7"/>
  <c r="BT25" i="7"/>
  <c r="BU25" i="7"/>
  <c r="BB26" i="7"/>
  <c r="BC26" i="7"/>
  <c r="BD26" i="7"/>
  <c r="BE26" i="7"/>
  <c r="BF26" i="7"/>
  <c r="BG26" i="7"/>
  <c r="BH26" i="7"/>
  <c r="BI26" i="7"/>
  <c r="BJ26" i="7"/>
  <c r="BK26" i="7"/>
  <c r="BL26" i="7"/>
  <c r="BM26" i="7"/>
  <c r="BN26" i="7"/>
  <c r="BO26" i="7"/>
  <c r="BP26" i="7"/>
  <c r="BQ26" i="7"/>
  <c r="BR26" i="7"/>
  <c r="BS26" i="7"/>
  <c r="BT26" i="7"/>
  <c r="BU26" i="7"/>
  <c r="BB27" i="7"/>
  <c r="BC27" i="7"/>
  <c r="BD27" i="7"/>
  <c r="BE27" i="7"/>
  <c r="BF27" i="7"/>
  <c r="BG27" i="7"/>
  <c r="BH27" i="7"/>
  <c r="BI27" i="7"/>
  <c r="BJ27" i="7"/>
  <c r="BK27" i="7"/>
  <c r="BL27" i="7"/>
  <c r="BM27" i="7"/>
  <c r="BN27" i="7"/>
  <c r="BO27" i="7"/>
  <c r="BP27" i="7"/>
  <c r="BQ27" i="7"/>
  <c r="BR27" i="7"/>
  <c r="BS27" i="7"/>
  <c r="BT27" i="7"/>
  <c r="BU27" i="7"/>
  <c r="BB28" i="7"/>
  <c r="BC28" i="7"/>
  <c r="BD28" i="7"/>
  <c r="BE28" i="7"/>
  <c r="BF28" i="7"/>
  <c r="BG28" i="7"/>
  <c r="BH28" i="7"/>
  <c r="BI28" i="7"/>
  <c r="BJ28" i="7"/>
  <c r="BK28" i="7"/>
  <c r="BL28" i="7"/>
  <c r="BM28" i="7"/>
  <c r="BN28" i="7"/>
  <c r="BO28" i="7"/>
  <c r="BP28" i="7"/>
  <c r="BQ28" i="7"/>
  <c r="BR28" i="7"/>
  <c r="BS28" i="7"/>
  <c r="BT28" i="7"/>
  <c r="BU28" i="7"/>
  <c r="BB29" i="7"/>
  <c r="BC29" i="7"/>
  <c r="BD29" i="7"/>
  <c r="BE29" i="7"/>
  <c r="BF29" i="7"/>
  <c r="BG29" i="7"/>
  <c r="BH29" i="7"/>
  <c r="BI29" i="7"/>
  <c r="BJ29" i="7"/>
  <c r="BK29" i="7"/>
  <c r="BL29" i="7"/>
  <c r="BM29" i="7"/>
  <c r="BN29" i="7"/>
  <c r="BO29" i="7"/>
  <c r="BP29" i="7"/>
  <c r="BQ29" i="7"/>
  <c r="BR29" i="7"/>
  <c r="BS29" i="7"/>
  <c r="BT29" i="7"/>
  <c r="BU29" i="7"/>
  <c r="BB30" i="7"/>
  <c r="BC30" i="7"/>
  <c r="BD30" i="7"/>
  <c r="BE30" i="7"/>
  <c r="BF30" i="7"/>
  <c r="BG30" i="7"/>
  <c r="BH30" i="7"/>
  <c r="BI30" i="7"/>
  <c r="BJ30" i="7"/>
  <c r="BK30" i="7"/>
  <c r="BL30" i="7"/>
  <c r="BM30" i="7"/>
  <c r="BN30" i="7"/>
  <c r="BO30" i="7"/>
  <c r="BP30" i="7"/>
  <c r="BQ30" i="7"/>
  <c r="BR30" i="7"/>
  <c r="BS30" i="7"/>
  <c r="BT30" i="7"/>
  <c r="BU30" i="7"/>
  <c r="BB31" i="7"/>
  <c r="BC31" i="7"/>
  <c r="BD31" i="7"/>
  <c r="BE31" i="7"/>
  <c r="BF31" i="7"/>
  <c r="BG31" i="7"/>
  <c r="BH31" i="7"/>
  <c r="BI31" i="7"/>
  <c r="BJ31" i="7"/>
  <c r="BK31" i="7"/>
  <c r="BL31" i="7"/>
  <c r="BM31" i="7"/>
  <c r="BN31" i="7"/>
  <c r="BO31" i="7"/>
  <c r="BP31" i="7"/>
  <c r="BQ31" i="7"/>
  <c r="BR31" i="7"/>
  <c r="BS31" i="7"/>
  <c r="BT31" i="7"/>
  <c r="BU31" i="7"/>
  <c r="BB32" i="7"/>
  <c r="BC32" i="7"/>
  <c r="BD32" i="7"/>
  <c r="BE32" i="7"/>
  <c r="BF32" i="7"/>
  <c r="BG32" i="7"/>
  <c r="BH32" i="7"/>
  <c r="BI32" i="7"/>
  <c r="BJ32" i="7"/>
  <c r="BK32" i="7"/>
  <c r="BL32" i="7"/>
  <c r="BM32" i="7"/>
  <c r="BN32" i="7"/>
  <c r="BO32" i="7"/>
  <c r="BP32" i="7"/>
  <c r="BQ32" i="7"/>
  <c r="BR32" i="7"/>
  <c r="BS32" i="7"/>
  <c r="BT32" i="7"/>
  <c r="BU32" i="7"/>
  <c r="BB33" i="7"/>
  <c r="BC33" i="7"/>
  <c r="BD33" i="7"/>
  <c r="BE33" i="7"/>
  <c r="BF33" i="7"/>
  <c r="BG33" i="7"/>
  <c r="BH33" i="7"/>
  <c r="BI33" i="7"/>
  <c r="BJ33" i="7"/>
  <c r="BK33" i="7"/>
  <c r="BL33" i="7"/>
  <c r="BM33" i="7"/>
  <c r="BN33" i="7"/>
  <c r="BO33" i="7"/>
  <c r="BP33" i="7"/>
  <c r="BQ33" i="7"/>
  <c r="BR33" i="7"/>
  <c r="BS33" i="7"/>
  <c r="BT33" i="7"/>
  <c r="BU33" i="7"/>
  <c r="BB34" i="7"/>
  <c r="BC34" i="7"/>
  <c r="BD34" i="7"/>
  <c r="BE34" i="7"/>
  <c r="BF34" i="7"/>
  <c r="BG34" i="7"/>
  <c r="BH34" i="7"/>
  <c r="BI34" i="7"/>
  <c r="BJ34" i="7"/>
  <c r="BK34" i="7"/>
  <c r="BL34" i="7"/>
  <c r="BM34" i="7"/>
  <c r="BN34" i="7"/>
  <c r="BO34" i="7"/>
  <c r="BP34" i="7"/>
  <c r="BQ34" i="7"/>
  <c r="BR34" i="7"/>
  <c r="BS34" i="7"/>
  <c r="BT34" i="7"/>
  <c r="BU34" i="7"/>
  <c r="BB35" i="7"/>
  <c r="BC35" i="7"/>
  <c r="BD35" i="7"/>
  <c r="BE35" i="7"/>
  <c r="BF35" i="7"/>
  <c r="BG35" i="7"/>
  <c r="BH35" i="7"/>
  <c r="BI35" i="7"/>
  <c r="BJ35" i="7"/>
  <c r="BK35" i="7"/>
  <c r="BL35" i="7"/>
  <c r="BM35" i="7"/>
  <c r="BN35" i="7"/>
  <c r="BO35" i="7"/>
  <c r="BP35" i="7"/>
  <c r="BQ35" i="7"/>
  <c r="BR35" i="7"/>
  <c r="BS35" i="7"/>
  <c r="BT35" i="7"/>
  <c r="BU35" i="7"/>
  <c r="BB36" i="7"/>
  <c r="BC36" i="7"/>
  <c r="BD36" i="7"/>
  <c r="BE36" i="7"/>
  <c r="BF36" i="7"/>
  <c r="BG36" i="7"/>
  <c r="BH36" i="7"/>
  <c r="BI36" i="7"/>
  <c r="BJ36" i="7"/>
  <c r="BK36" i="7"/>
  <c r="BL36" i="7"/>
  <c r="BM36" i="7"/>
  <c r="BN36" i="7"/>
  <c r="BO36" i="7"/>
  <c r="BP36" i="7"/>
  <c r="BQ36" i="7"/>
  <c r="BR36" i="7"/>
  <c r="BS36" i="7"/>
  <c r="BT36" i="7"/>
  <c r="BU36" i="7"/>
  <c r="BB37" i="7"/>
  <c r="BC37" i="7"/>
  <c r="BD37" i="7"/>
  <c r="BE37" i="7"/>
  <c r="BF37" i="7"/>
  <c r="BG37" i="7"/>
  <c r="BH37" i="7"/>
  <c r="BI37" i="7"/>
  <c r="BJ37" i="7"/>
  <c r="BK37" i="7"/>
  <c r="BL37" i="7"/>
  <c r="BM37" i="7"/>
  <c r="BN37" i="7"/>
  <c r="BO37" i="7"/>
  <c r="BP37" i="7"/>
  <c r="BQ37" i="7"/>
  <c r="BR37" i="7"/>
  <c r="BS37" i="7"/>
  <c r="BT37" i="7"/>
  <c r="BU37" i="7"/>
  <c r="BB38" i="7"/>
  <c r="BC38" i="7"/>
  <c r="BD38" i="7"/>
  <c r="BE38" i="7"/>
  <c r="BF38" i="7"/>
  <c r="BG38" i="7"/>
  <c r="BH38" i="7"/>
  <c r="BI38" i="7"/>
  <c r="BJ38" i="7"/>
  <c r="BK38" i="7"/>
  <c r="BL38" i="7"/>
  <c r="BM38" i="7"/>
  <c r="BN38" i="7"/>
  <c r="BO38" i="7"/>
  <c r="BP38" i="7"/>
  <c r="BQ38" i="7"/>
  <c r="BR38" i="7"/>
  <c r="BS38" i="7"/>
  <c r="BT38" i="7"/>
  <c r="BU38" i="7"/>
  <c r="BB39" i="7"/>
  <c r="BC39" i="7"/>
  <c r="BD39" i="7"/>
  <c r="BE39" i="7"/>
  <c r="BF39" i="7"/>
  <c r="BG39" i="7"/>
  <c r="BH39" i="7"/>
  <c r="BI39" i="7"/>
  <c r="BJ39" i="7"/>
  <c r="BK39" i="7"/>
  <c r="BL39" i="7"/>
  <c r="BM39" i="7"/>
  <c r="BN39" i="7"/>
  <c r="BO39" i="7"/>
  <c r="BP39" i="7"/>
  <c r="BQ39" i="7"/>
  <c r="BR39" i="7"/>
  <c r="BS39" i="7"/>
  <c r="BT39" i="7"/>
  <c r="BU39" i="7"/>
  <c r="BB40" i="7"/>
  <c r="BC40" i="7"/>
  <c r="BD40" i="7"/>
  <c r="BE40" i="7"/>
  <c r="BF40" i="7"/>
  <c r="BG40" i="7"/>
  <c r="BH40" i="7"/>
  <c r="BI40" i="7"/>
  <c r="BJ40" i="7"/>
  <c r="BK40" i="7"/>
  <c r="BL40" i="7"/>
  <c r="BM40" i="7"/>
  <c r="BN40" i="7"/>
  <c r="BO40" i="7"/>
  <c r="BP40" i="7"/>
  <c r="BQ40" i="7"/>
  <c r="BR40" i="7"/>
  <c r="BS40" i="7"/>
  <c r="BT40" i="7"/>
  <c r="BU40" i="7"/>
  <c r="BB53" i="7"/>
  <c r="BC53" i="7"/>
  <c r="BD53" i="7"/>
  <c r="BE53" i="7"/>
  <c r="BF53" i="7"/>
  <c r="BG53" i="7"/>
  <c r="BH53" i="7"/>
  <c r="BI53" i="7"/>
  <c r="BJ53" i="7"/>
  <c r="BK53" i="7"/>
  <c r="BL53" i="7"/>
  <c r="BM53" i="7"/>
  <c r="BN53" i="7"/>
  <c r="BO53" i="7"/>
  <c r="BP53" i="7"/>
  <c r="BQ53" i="7"/>
  <c r="BR53" i="7"/>
  <c r="BS53" i="7"/>
  <c r="BT53" i="7"/>
  <c r="BU53" i="7"/>
  <c r="BB54" i="7"/>
  <c r="BC54" i="7"/>
  <c r="BD54" i="7"/>
  <c r="BE54" i="7"/>
  <c r="BF54" i="7"/>
  <c r="BG54" i="7"/>
  <c r="BH54" i="7"/>
  <c r="BI54" i="7"/>
  <c r="BJ54" i="7"/>
  <c r="BK54" i="7"/>
  <c r="BL54" i="7"/>
  <c r="BM54" i="7"/>
  <c r="BN54" i="7"/>
  <c r="BO54" i="7"/>
  <c r="BP54" i="7"/>
  <c r="BQ54" i="7"/>
  <c r="BR54" i="7"/>
  <c r="BS54" i="7"/>
  <c r="BT54" i="7"/>
  <c r="BU54" i="7"/>
  <c r="BB55" i="7"/>
  <c r="BC55" i="7"/>
  <c r="BD55" i="7"/>
  <c r="BE55" i="7"/>
  <c r="BF55" i="7"/>
  <c r="BG55" i="7"/>
  <c r="BH55" i="7"/>
  <c r="BI55" i="7"/>
  <c r="BJ55" i="7"/>
  <c r="BK55" i="7"/>
  <c r="BL55" i="7"/>
  <c r="BM55" i="7"/>
  <c r="BN55" i="7"/>
  <c r="BO55" i="7"/>
  <c r="BP55" i="7"/>
  <c r="BQ55" i="7"/>
  <c r="BR55" i="7"/>
  <c r="BS55" i="7"/>
  <c r="BT55" i="7"/>
  <c r="BU55" i="7"/>
  <c r="BB56" i="7"/>
  <c r="BC56" i="7"/>
  <c r="BD56" i="7"/>
  <c r="BE56" i="7"/>
  <c r="BF56" i="7"/>
  <c r="BG56" i="7"/>
  <c r="BH56" i="7"/>
  <c r="BI56" i="7"/>
  <c r="BJ56" i="7"/>
  <c r="BK56" i="7"/>
  <c r="BL56" i="7"/>
  <c r="BM56" i="7"/>
  <c r="BN56" i="7"/>
  <c r="BO56" i="7"/>
  <c r="BP56" i="7"/>
  <c r="BQ56" i="7"/>
  <c r="BR56" i="7"/>
  <c r="BS56" i="7"/>
  <c r="BT56" i="7"/>
  <c r="BU56" i="7"/>
  <c r="BB57" i="7"/>
  <c r="BC57" i="7"/>
  <c r="BD57" i="7"/>
  <c r="BE57" i="7"/>
  <c r="BF57" i="7"/>
  <c r="BG57" i="7"/>
  <c r="BH57" i="7"/>
  <c r="BI57" i="7"/>
  <c r="BJ57" i="7"/>
  <c r="BK57" i="7"/>
  <c r="BL57" i="7"/>
  <c r="BM57" i="7"/>
  <c r="BN57" i="7"/>
  <c r="BO57" i="7"/>
  <c r="BP57" i="7"/>
  <c r="BQ57" i="7"/>
  <c r="BR57" i="7"/>
  <c r="BS57" i="7"/>
  <c r="BT57" i="7"/>
  <c r="BU57" i="7"/>
  <c r="BB58" i="7"/>
  <c r="BC58" i="7"/>
  <c r="BD58" i="7"/>
  <c r="BE58" i="7"/>
  <c r="BF58" i="7"/>
  <c r="BG58" i="7"/>
  <c r="BH58" i="7"/>
  <c r="BI58" i="7"/>
  <c r="BJ58" i="7"/>
  <c r="BK58" i="7"/>
  <c r="BL58" i="7"/>
  <c r="BM58" i="7"/>
  <c r="BN58" i="7"/>
  <c r="BO58" i="7"/>
  <c r="BP58" i="7"/>
  <c r="BQ58" i="7"/>
  <c r="BR58" i="7"/>
  <c r="BS58" i="7"/>
  <c r="BT58" i="7"/>
  <c r="BU58" i="7"/>
  <c r="BB59" i="7"/>
  <c r="BC59" i="7"/>
  <c r="BD59" i="7"/>
  <c r="BE59" i="7"/>
  <c r="BF59" i="7"/>
  <c r="BG59" i="7"/>
  <c r="BH59" i="7"/>
  <c r="BI59" i="7"/>
  <c r="BJ59" i="7"/>
  <c r="BK59" i="7"/>
  <c r="BL59" i="7"/>
  <c r="BM59" i="7"/>
  <c r="BN59" i="7"/>
  <c r="BO59" i="7"/>
  <c r="BP59" i="7"/>
  <c r="BQ59" i="7"/>
  <c r="BR59" i="7"/>
  <c r="BS59" i="7"/>
  <c r="BT59" i="7"/>
  <c r="BU59" i="7"/>
  <c r="BB60" i="7"/>
  <c r="BC60" i="7"/>
  <c r="BD60" i="7"/>
  <c r="BE60" i="7"/>
  <c r="BF60" i="7"/>
  <c r="BG60" i="7"/>
  <c r="BH60" i="7"/>
  <c r="BI60" i="7"/>
  <c r="BJ60" i="7"/>
  <c r="BK60" i="7"/>
  <c r="BL60" i="7"/>
  <c r="BM60" i="7"/>
  <c r="BN60" i="7"/>
  <c r="BO60" i="7"/>
  <c r="BP60" i="7"/>
  <c r="BQ60" i="7"/>
  <c r="BR60" i="7"/>
  <c r="BS60" i="7"/>
  <c r="BT60" i="7"/>
  <c r="BU60" i="7"/>
  <c r="BB61" i="7"/>
  <c r="BC61" i="7"/>
  <c r="BD61" i="7"/>
  <c r="BE61" i="7"/>
  <c r="BF61" i="7"/>
  <c r="BG61" i="7"/>
  <c r="BH61" i="7"/>
  <c r="BI61" i="7"/>
  <c r="BJ61" i="7"/>
  <c r="BK61" i="7"/>
  <c r="BL61" i="7"/>
  <c r="BM61" i="7"/>
  <c r="BN61" i="7"/>
  <c r="BO61" i="7"/>
  <c r="BP61" i="7"/>
  <c r="BQ61" i="7"/>
  <c r="BR61" i="7"/>
  <c r="BS61" i="7"/>
  <c r="BT61" i="7"/>
  <c r="BU61" i="7"/>
  <c r="BB62" i="7"/>
  <c r="BC62" i="7"/>
  <c r="BD62" i="7"/>
  <c r="BE62" i="7"/>
  <c r="BF62" i="7"/>
  <c r="BG62" i="7"/>
  <c r="BH62" i="7"/>
  <c r="BI62" i="7"/>
  <c r="BJ62" i="7"/>
  <c r="BK62" i="7"/>
  <c r="BL62" i="7"/>
  <c r="BM62" i="7"/>
  <c r="BN62" i="7"/>
  <c r="BO62" i="7"/>
  <c r="BP62" i="7"/>
  <c r="BQ62" i="7"/>
  <c r="BR62" i="7"/>
  <c r="BS62" i="7"/>
  <c r="BT62" i="7"/>
  <c r="BU62" i="7"/>
  <c r="BB63" i="7"/>
  <c r="BC63" i="7"/>
  <c r="BD63" i="7"/>
  <c r="BE63" i="7"/>
  <c r="BF63" i="7"/>
  <c r="BG63" i="7"/>
  <c r="BH63" i="7"/>
  <c r="BI63" i="7"/>
  <c r="BJ63" i="7"/>
  <c r="BK63" i="7"/>
  <c r="BL63" i="7"/>
  <c r="BM63" i="7"/>
  <c r="BN63" i="7"/>
  <c r="BO63" i="7"/>
  <c r="BP63" i="7"/>
  <c r="BQ63" i="7"/>
  <c r="BR63" i="7"/>
  <c r="BS63" i="7"/>
  <c r="BT63" i="7"/>
  <c r="BU63" i="7"/>
  <c r="BB64" i="7"/>
  <c r="BC64" i="7"/>
  <c r="BD64" i="7"/>
  <c r="BE64" i="7"/>
  <c r="BF64" i="7"/>
  <c r="BG64" i="7"/>
  <c r="BH64" i="7"/>
  <c r="BI64" i="7"/>
  <c r="BJ64" i="7"/>
  <c r="BK64" i="7"/>
  <c r="BL64" i="7"/>
  <c r="BM64" i="7"/>
  <c r="BN64" i="7"/>
  <c r="BO64" i="7"/>
  <c r="BP64" i="7"/>
  <c r="BQ64" i="7"/>
  <c r="BR64" i="7"/>
  <c r="BS64" i="7"/>
  <c r="BT64" i="7"/>
  <c r="BU64" i="7"/>
  <c r="BB65" i="7"/>
  <c r="BC65" i="7"/>
  <c r="BD65" i="7"/>
  <c r="BE65" i="7"/>
  <c r="BF65" i="7"/>
  <c r="BG65" i="7"/>
  <c r="BH65" i="7"/>
  <c r="BI65" i="7"/>
  <c r="BJ65" i="7"/>
  <c r="BK65" i="7"/>
  <c r="BL65" i="7"/>
  <c r="BM65" i="7"/>
  <c r="BN65" i="7"/>
  <c r="BO65" i="7"/>
  <c r="BP65" i="7"/>
  <c r="BQ65" i="7"/>
  <c r="BR65" i="7"/>
  <c r="BS65" i="7"/>
  <c r="BT65" i="7"/>
  <c r="BU65" i="7"/>
  <c r="BB66" i="7"/>
  <c r="BC66" i="7"/>
  <c r="BD66" i="7"/>
  <c r="BE66" i="7"/>
  <c r="BF66" i="7"/>
  <c r="BG66" i="7"/>
  <c r="BH66" i="7"/>
  <c r="BI66" i="7"/>
  <c r="BJ66" i="7"/>
  <c r="BK66" i="7"/>
  <c r="BL66" i="7"/>
  <c r="BM66" i="7"/>
  <c r="BN66" i="7"/>
  <c r="BO66" i="7"/>
  <c r="BP66" i="7"/>
  <c r="BQ66" i="7"/>
  <c r="BR66" i="7"/>
  <c r="BS66" i="7"/>
  <c r="BT66" i="7"/>
  <c r="BU66" i="7"/>
  <c r="BB67" i="7"/>
  <c r="BC67" i="7"/>
  <c r="BD67" i="7"/>
  <c r="BE67" i="7"/>
  <c r="BF67" i="7"/>
  <c r="BG67" i="7"/>
  <c r="BH67" i="7"/>
  <c r="BI67" i="7"/>
  <c r="BJ67" i="7"/>
  <c r="BK67" i="7"/>
  <c r="BL67" i="7"/>
  <c r="BM67" i="7"/>
  <c r="BN67" i="7"/>
  <c r="BO67" i="7"/>
  <c r="BP67" i="7"/>
  <c r="BQ67" i="7"/>
  <c r="BR67" i="7"/>
  <c r="BS67" i="7"/>
  <c r="BT67" i="7"/>
  <c r="BU67" i="7"/>
  <c r="BB68" i="7"/>
  <c r="BC68" i="7"/>
  <c r="BD68" i="7"/>
  <c r="BE68" i="7"/>
  <c r="BF68" i="7"/>
  <c r="BG68" i="7"/>
  <c r="BH68" i="7"/>
  <c r="BI68" i="7"/>
  <c r="BJ68" i="7"/>
  <c r="BK68" i="7"/>
  <c r="BL68" i="7"/>
  <c r="BM68" i="7"/>
  <c r="BN68" i="7"/>
  <c r="BO68" i="7"/>
  <c r="BP68" i="7"/>
  <c r="BQ68" i="7"/>
  <c r="BR68" i="7"/>
  <c r="BS68" i="7"/>
  <c r="BT68" i="7"/>
  <c r="BU68" i="7"/>
  <c r="BB69" i="7"/>
  <c r="BC69" i="7"/>
  <c r="BD69" i="7"/>
  <c r="BE69" i="7"/>
  <c r="BF69" i="7"/>
  <c r="BG69" i="7"/>
  <c r="BH69" i="7"/>
  <c r="BI69" i="7"/>
  <c r="BJ69" i="7"/>
  <c r="BK69" i="7"/>
  <c r="BL69" i="7"/>
  <c r="BM69" i="7"/>
  <c r="BN69" i="7"/>
  <c r="BO69" i="7"/>
  <c r="BP69" i="7"/>
  <c r="BQ69" i="7"/>
  <c r="BR69" i="7"/>
  <c r="BS69" i="7"/>
  <c r="BT69" i="7"/>
  <c r="BU69" i="7"/>
  <c r="BB70" i="7"/>
  <c r="BC70" i="7"/>
  <c r="BD70" i="7"/>
  <c r="BE70" i="7"/>
  <c r="BF70" i="7"/>
  <c r="BG70" i="7"/>
  <c r="BH70" i="7"/>
  <c r="BI70" i="7"/>
  <c r="BJ70" i="7"/>
  <c r="BK70" i="7"/>
  <c r="BL70" i="7"/>
  <c r="BM70" i="7"/>
  <c r="BN70" i="7"/>
  <c r="BO70" i="7"/>
  <c r="BP70" i="7"/>
  <c r="BQ70" i="7"/>
  <c r="BR70" i="7"/>
  <c r="BS70" i="7"/>
  <c r="BT70" i="7"/>
  <c r="BU70" i="7"/>
  <c r="BB71" i="7"/>
  <c r="BC71" i="7"/>
  <c r="BD71" i="7"/>
  <c r="BE71" i="7"/>
  <c r="BF71" i="7"/>
  <c r="BG71" i="7"/>
  <c r="BH71" i="7"/>
  <c r="BI71" i="7"/>
  <c r="BJ71" i="7"/>
  <c r="BK71" i="7"/>
  <c r="BL71" i="7"/>
  <c r="BM71" i="7"/>
  <c r="BN71" i="7"/>
  <c r="BO71" i="7"/>
  <c r="BP71" i="7"/>
  <c r="BQ71" i="7"/>
  <c r="BR71" i="7"/>
  <c r="BS71" i="7"/>
  <c r="BT71" i="7"/>
  <c r="BU71" i="7"/>
  <c r="BB72" i="7"/>
  <c r="BC72" i="7"/>
  <c r="BD72" i="7"/>
  <c r="BE72" i="7"/>
  <c r="BF72" i="7"/>
  <c r="BG72" i="7"/>
  <c r="BH72" i="7"/>
  <c r="BI72" i="7"/>
  <c r="BJ72" i="7"/>
  <c r="BK72" i="7"/>
  <c r="BL72" i="7"/>
  <c r="BM72" i="7"/>
  <c r="BN72" i="7"/>
  <c r="BO72" i="7"/>
  <c r="BP72" i="7"/>
  <c r="BQ72" i="7"/>
  <c r="BR72" i="7"/>
  <c r="BS72" i="7"/>
  <c r="BT72" i="7"/>
  <c r="BU72" i="7"/>
  <c r="BB73" i="7"/>
  <c r="BC73" i="7"/>
  <c r="BD73" i="7"/>
  <c r="BE73" i="7"/>
  <c r="BF73" i="7"/>
  <c r="BG73" i="7"/>
  <c r="BH73" i="7"/>
  <c r="BI73" i="7"/>
  <c r="BJ73" i="7"/>
  <c r="BK73" i="7"/>
  <c r="BL73" i="7"/>
  <c r="BM73" i="7"/>
  <c r="BN73" i="7"/>
  <c r="BO73" i="7"/>
  <c r="BP73" i="7"/>
  <c r="BQ73" i="7"/>
  <c r="BR73" i="7"/>
  <c r="BS73" i="7"/>
  <c r="BT73" i="7"/>
  <c r="BU73" i="7"/>
  <c r="BB74" i="7"/>
  <c r="BC74" i="7"/>
  <c r="BD74" i="7"/>
  <c r="BE74" i="7"/>
  <c r="BF74" i="7"/>
  <c r="BG74" i="7"/>
  <c r="BH74" i="7"/>
  <c r="BI74" i="7"/>
  <c r="BJ74" i="7"/>
  <c r="BK74" i="7"/>
  <c r="BL74" i="7"/>
  <c r="BM74" i="7"/>
  <c r="BN74" i="7"/>
  <c r="BO74" i="7"/>
  <c r="BP74" i="7"/>
  <c r="BQ74" i="7"/>
  <c r="BR74" i="7"/>
  <c r="BS74" i="7"/>
  <c r="BT74" i="7"/>
  <c r="BU74" i="7"/>
  <c r="BB75" i="7"/>
  <c r="BC75" i="7"/>
  <c r="BD75" i="7"/>
  <c r="BE75" i="7"/>
  <c r="BF75" i="7"/>
  <c r="BG75" i="7"/>
  <c r="BH75" i="7"/>
  <c r="BI75" i="7"/>
  <c r="BJ75" i="7"/>
  <c r="BK75" i="7"/>
  <c r="BL75" i="7"/>
  <c r="BM75" i="7"/>
  <c r="BN75" i="7"/>
  <c r="BO75" i="7"/>
  <c r="BP75" i="7"/>
  <c r="BQ75" i="7"/>
  <c r="BR75" i="7"/>
  <c r="BS75" i="7"/>
  <c r="BT75" i="7"/>
  <c r="BU75" i="7"/>
  <c r="BB76" i="7"/>
  <c r="BC76" i="7"/>
  <c r="BD76" i="7"/>
  <c r="BE76" i="7"/>
  <c r="BF76" i="7"/>
  <c r="BG76" i="7"/>
  <c r="BH76" i="7"/>
  <c r="BI76" i="7"/>
  <c r="BJ76" i="7"/>
  <c r="BK76" i="7"/>
  <c r="BL76" i="7"/>
  <c r="BM76" i="7"/>
  <c r="BN76" i="7"/>
  <c r="BO76" i="7"/>
  <c r="BP76" i="7"/>
  <c r="BQ76" i="7"/>
  <c r="BR76" i="7"/>
  <c r="BS76" i="7"/>
  <c r="BT76" i="7"/>
  <c r="BU76" i="7"/>
  <c r="BB77" i="7"/>
  <c r="BC77" i="7"/>
  <c r="BD77" i="7"/>
  <c r="BE77" i="7"/>
  <c r="BF77" i="7"/>
  <c r="BG77" i="7"/>
  <c r="BH77" i="7"/>
  <c r="BI77" i="7"/>
  <c r="BJ77" i="7"/>
  <c r="BK77" i="7"/>
  <c r="BL77" i="7"/>
  <c r="BM77" i="7"/>
  <c r="BN77" i="7"/>
  <c r="BO77" i="7"/>
  <c r="BP77" i="7"/>
  <c r="BQ77" i="7"/>
  <c r="BR77" i="7"/>
  <c r="BS77" i="7"/>
  <c r="BT77" i="7"/>
  <c r="BU77" i="7"/>
  <c r="BB78" i="7"/>
  <c r="BC78" i="7"/>
  <c r="BD78" i="7"/>
  <c r="BE78" i="7"/>
  <c r="BF78" i="7"/>
  <c r="BG78" i="7"/>
  <c r="BH78" i="7"/>
  <c r="BI78" i="7"/>
  <c r="BJ78" i="7"/>
  <c r="BK78" i="7"/>
  <c r="BL78" i="7"/>
  <c r="BM78" i="7"/>
  <c r="BN78" i="7"/>
  <c r="BO78" i="7"/>
  <c r="BP78" i="7"/>
  <c r="BQ78" i="7"/>
  <c r="BR78" i="7"/>
  <c r="BS78" i="7"/>
  <c r="BT78" i="7"/>
  <c r="BU78" i="7"/>
  <c r="BB79" i="7"/>
  <c r="BC79" i="7"/>
  <c r="BD79" i="7"/>
  <c r="BE79" i="7"/>
  <c r="BF79" i="7"/>
  <c r="BG79" i="7"/>
  <c r="BH79" i="7"/>
  <c r="BI79" i="7"/>
  <c r="BJ79" i="7"/>
  <c r="BK79" i="7"/>
  <c r="BL79" i="7"/>
  <c r="BM79" i="7"/>
  <c r="BN79" i="7"/>
  <c r="BO79" i="7"/>
  <c r="BP79" i="7"/>
  <c r="BQ79" i="7"/>
  <c r="BR79" i="7"/>
  <c r="BS79" i="7"/>
  <c r="BT79" i="7"/>
  <c r="BU79" i="7"/>
  <c r="BB80" i="7"/>
  <c r="BC80" i="7"/>
  <c r="BD80" i="7"/>
  <c r="BE80" i="7"/>
  <c r="BF80" i="7"/>
  <c r="BG80" i="7"/>
  <c r="BH80" i="7"/>
  <c r="BI80" i="7"/>
  <c r="BJ80" i="7"/>
  <c r="BK80" i="7"/>
  <c r="BL80" i="7"/>
  <c r="BM80" i="7"/>
  <c r="BN80" i="7"/>
  <c r="BO80" i="7"/>
  <c r="BP80" i="7"/>
  <c r="BQ80" i="7"/>
  <c r="BR80" i="7"/>
  <c r="BS80" i="7"/>
  <c r="BT80" i="7"/>
  <c r="BU80" i="7"/>
  <c r="BB81" i="7"/>
  <c r="BC81" i="7"/>
  <c r="BD81" i="7"/>
  <c r="BE81" i="7"/>
  <c r="BF81" i="7"/>
  <c r="BG81" i="7"/>
  <c r="BH81" i="7"/>
  <c r="BI81" i="7"/>
  <c r="BJ81" i="7"/>
  <c r="BK81" i="7"/>
  <c r="BL81" i="7"/>
  <c r="BM81" i="7"/>
  <c r="BN81" i="7"/>
  <c r="BO81" i="7"/>
  <c r="BP81" i="7"/>
  <c r="BQ81" i="7"/>
  <c r="BR81" i="7"/>
  <c r="BS81" i="7"/>
  <c r="BT81" i="7"/>
  <c r="BU81" i="7"/>
  <c r="BB82" i="7"/>
  <c r="BC82" i="7"/>
  <c r="BD82" i="7"/>
  <c r="BE82" i="7"/>
  <c r="BF82" i="7"/>
  <c r="BG82" i="7"/>
  <c r="BH82" i="7"/>
  <c r="BI82" i="7"/>
  <c r="BJ82" i="7"/>
  <c r="BK82" i="7"/>
  <c r="BL82" i="7"/>
  <c r="BM82" i="7"/>
  <c r="BN82" i="7"/>
  <c r="BO82" i="7"/>
  <c r="BP82" i="7"/>
  <c r="BQ82" i="7"/>
  <c r="BR82" i="7"/>
  <c r="BS82" i="7"/>
  <c r="BT82" i="7"/>
  <c r="BU82" i="7"/>
  <c r="BB83" i="7"/>
  <c r="BC83" i="7"/>
  <c r="BD83" i="7"/>
  <c r="BE83" i="7"/>
  <c r="BF83" i="7"/>
  <c r="BG83" i="7"/>
  <c r="BH83" i="7"/>
  <c r="BI83" i="7"/>
  <c r="BJ83" i="7"/>
  <c r="BK83" i="7"/>
  <c r="BL83" i="7"/>
  <c r="BM83" i="7"/>
  <c r="BN83" i="7"/>
  <c r="BO83" i="7"/>
  <c r="BP83" i="7"/>
  <c r="BQ83" i="7"/>
  <c r="BR83" i="7"/>
  <c r="BS83" i="7"/>
  <c r="BT83" i="7"/>
  <c r="BU83" i="7"/>
  <c r="BB84" i="7"/>
  <c r="BC84" i="7"/>
  <c r="BD84" i="7"/>
  <c r="BE84" i="7"/>
  <c r="BF84" i="7"/>
  <c r="BG84" i="7"/>
  <c r="BH84" i="7"/>
  <c r="BI84" i="7"/>
  <c r="BJ84" i="7"/>
  <c r="BK84" i="7"/>
  <c r="BL84" i="7"/>
  <c r="BM84" i="7"/>
  <c r="BN84" i="7"/>
  <c r="BO84" i="7"/>
  <c r="BP84" i="7"/>
  <c r="BQ84" i="7"/>
  <c r="BR84" i="7"/>
  <c r="BS84" i="7"/>
  <c r="BT84" i="7"/>
  <c r="BU84" i="7"/>
  <c r="BB85" i="7"/>
  <c r="BC85" i="7"/>
  <c r="BD85" i="7"/>
  <c r="BE85" i="7"/>
  <c r="BF85" i="7"/>
  <c r="BG85" i="7"/>
  <c r="BH85" i="7"/>
  <c r="BI85" i="7"/>
  <c r="BJ85" i="7"/>
  <c r="BK85" i="7"/>
  <c r="BL85" i="7"/>
  <c r="BM85" i="7"/>
  <c r="BN85" i="7"/>
  <c r="BO85" i="7"/>
  <c r="BP85" i="7"/>
  <c r="BQ85" i="7"/>
  <c r="BR85" i="7"/>
  <c r="BS85" i="7"/>
  <c r="BT85" i="7"/>
  <c r="BU85" i="7"/>
  <c r="BB86" i="7"/>
  <c r="BC86" i="7"/>
  <c r="BD86" i="7"/>
  <c r="BE86" i="7"/>
  <c r="BF86" i="7"/>
  <c r="BG86" i="7"/>
  <c r="BH86" i="7"/>
  <c r="BI86" i="7"/>
  <c r="BJ86" i="7"/>
  <c r="BK86" i="7"/>
  <c r="BL86" i="7"/>
  <c r="BM86" i="7"/>
  <c r="BN86" i="7"/>
  <c r="BO86" i="7"/>
  <c r="BP86" i="7"/>
  <c r="BQ86" i="7"/>
  <c r="BR86" i="7"/>
  <c r="BS86" i="7"/>
  <c r="BT86" i="7"/>
  <c r="BU86" i="7"/>
  <c r="BB87" i="7"/>
  <c r="BC87" i="7"/>
  <c r="BD87" i="7"/>
  <c r="BE87" i="7"/>
  <c r="BF87" i="7"/>
  <c r="BG87" i="7"/>
  <c r="BH87" i="7"/>
  <c r="BI87" i="7"/>
  <c r="BJ87" i="7"/>
  <c r="BK87" i="7"/>
  <c r="BL87" i="7"/>
  <c r="BM87" i="7"/>
  <c r="BN87" i="7"/>
  <c r="BO87" i="7"/>
  <c r="BP87" i="7"/>
  <c r="BQ87" i="7"/>
  <c r="BR87" i="7"/>
  <c r="BS87" i="7"/>
  <c r="BT87" i="7"/>
  <c r="BU87" i="7"/>
  <c r="BB88" i="7"/>
  <c r="BC88" i="7"/>
  <c r="BD88" i="7"/>
  <c r="BE88" i="7"/>
  <c r="BF88" i="7"/>
  <c r="BG88" i="7"/>
  <c r="BH88" i="7"/>
  <c r="BI88" i="7"/>
  <c r="BJ88" i="7"/>
  <c r="BK88" i="7"/>
  <c r="BL88" i="7"/>
  <c r="BM88" i="7"/>
  <c r="BN88" i="7"/>
  <c r="BO88" i="7"/>
  <c r="BP88" i="7"/>
  <c r="BQ88" i="7"/>
  <c r="BR88" i="7"/>
  <c r="BS88" i="7"/>
  <c r="BT88" i="7"/>
  <c r="BU88" i="7"/>
  <c r="BB89" i="7"/>
  <c r="BC89" i="7"/>
  <c r="BD89" i="7"/>
  <c r="BE89" i="7"/>
  <c r="BF89" i="7"/>
  <c r="BG89" i="7"/>
  <c r="BH89" i="7"/>
  <c r="BI89" i="7"/>
  <c r="BJ89" i="7"/>
  <c r="BK89" i="7"/>
  <c r="BL89" i="7"/>
  <c r="BM89" i="7"/>
  <c r="BN89" i="7"/>
  <c r="BO89" i="7"/>
  <c r="BP89" i="7"/>
  <c r="BQ89" i="7"/>
  <c r="BR89" i="7"/>
  <c r="BS89" i="7"/>
  <c r="BT89" i="7"/>
  <c r="BU89" i="7"/>
  <c r="BB90" i="7"/>
  <c r="BC90" i="7"/>
  <c r="BD90" i="7"/>
  <c r="BE90" i="7"/>
  <c r="BF90" i="7"/>
  <c r="BG90" i="7"/>
  <c r="BH90" i="7"/>
  <c r="BI90" i="7"/>
  <c r="BJ90" i="7"/>
  <c r="BK90" i="7"/>
  <c r="BL90" i="7"/>
  <c r="BM90" i="7"/>
  <c r="BN90" i="7"/>
  <c r="BO90" i="7"/>
  <c r="BP90" i="7"/>
  <c r="BQ90" i="7"/>
  <c r="BR90" i="7"/>
  <c r="BS90" i="7"/>
  <c r="BT90" i="7"/>
  <c r="BU90" i="7"/>
  <c r="BB91" i="7"/>
  <c r="BC91" i="7"/>
  <c r="BD91" i="7"/>
  <c r="BE91" i="7"/>
  <c r="BF91" i="7"/>
  <c r="BG91" i="7"/>
  <c r="BH91" i="7"/>
  <c r="BI91" i="7"/>
  <c r="BJ91" i="7"/>
  <c r="BK91" i="7"/>
  <c r="BL91" i="7"/>
  <c r="BM91" i="7"/>
  <c r="BN91" i="7"/>
  <c r="BO91" i="7"/>
  <c r="BP91" i="7"/>
  <c r="BQ91" i="7"/>
  <c r="BR91" i="7"/>
  <c r="BS91" i="7"/>
  <c r="BT91" i="7"/>
  <c r="BU91" i="7"/>
  <c r="BB92" i="7"/>
  <c r="BC92" i="7"/>
  <c r="BD92" i="7"/>
  <c r="BE92" i="7"/>
  <c r="BF92" i="7"/>
  <c r="BG92" i="7"/>
  <c r="BH92" i="7"/>
  <c r="BI92" i="7"/>
  <c r="BJ92" i="7"/>
  <c r="BK92" i="7"/>
  <c r="BL92" i="7"/>
  <c r="BM92" i="7"/>
  <c r="BN92" i="7"/>
  <c r="BO92" i="7"/>
  <c r="BP92" i="7"/>
  <c r="BQ92" i="7"/>
  <c r="BR92" i="7"/>
  <c r="BS92" i="7"/>
  <c r="BT92" i="7"/>
  <c r="BU92" i="7"/>
  <c r="BB93" i="7"/>
  <c r="BC93" i="7"/>
  <c r="BD93" i="7"/>
  <c r="BE93" i="7"/>
  <c r="BF93" i="7"/>
  <c r="BG93" i="7"/>
  <c r="BH93" i="7"/>
  <c r="BI93" i="7"/>
  <c r="BJ93" i="7"/>
  <c r="BK93" i="7"/>
  <c r="BL93" i="7"/>
  <c r="BM93" i="7"/>
  <c r="BN93" i="7"/>
  <c r="BO93" i="7"/>
  <c r="BP93" i="7"/>
  <c r="BQ93" i="7"/>
  <c r="BR93" i="7"/>
  <c r="BS93" i="7"/>
  <c r="BT93" i="7"/>
  <c r="BU93" i="7"/>
  <c r="BB94" i="7"/>
  <c r="BC94" i="7"/>
  <c r="BD94" i="7"/>
  <c r="BE94" i="7"/>
  <c r="BF94" i="7"/>
  <c r="BG94" i="7"/>
  <c r="BH94" i="7"/>
  <c r="BI94" i="7"/>
  <c r="BJ94" i="7"/>
  <c r="BK94" i="7"/>
  <c r="BL94" i="7"/>
  <c r="BM94" i="7"/>
  <c r="BN94" i="7"/>
  <c r="BO94" i="7"/>
  <c r="BP94" i="7"/>
  <c r="BQ94" i="7"/>
  <c r="BR94" i="7"/>
  <c r="BS94" i="7"/>
  <c r="BT94" i="7"/>
  <c r="BU94" i="7"/>
  <c r="BB95" i="7"/>
  <c r="BC95" i="7"/>
  <c r="BD95" i="7"/>
  <c r="BE95" i="7"/>
  <c r="BF95" i="7"/>
  <c r="BG95" i="7"/>
  <c r="BH95" i="7"/>
  <c r="BI95" i="7"/>
  <c r="BJ95" i="7"/>
  <c r="BK95" i="7"/>
  <c r="BL95" i="7"/>
  <c r="BM95" i="7"/>
  <c r="BN95" i="7"/>
  <c r="BO95" i="7"/>
  <c r="BP95" i="7"/>
  <c r="BQ95" i="7"/>
  <c r="BR95" i="7"/>
  <c r="BS95" i="7"/>
  <c r="BT95" i="7"/>
  <c r="BU95" i="7"/>
  <c r="BB96" i="7"/>
  <c r="BC96" i="7"/>
  <c r="BD96" i="7"/>
  <c r="BE96" i="7"/>
  <c r="BF96" i="7"/>
  <c r="BG96" i="7"/>
  <c r="BH96" i="7"/>
  <c r="BI96" i="7"/>
  <c r="BJ96" i="7"/>
  <c r="BK96" i="7"/>
  <c r="BL96" i="7"/>
  <c r="BM96" i="7"/>
  <c r="BN96" i="7"/>
  <c r="BO96" i="7"/>
  <c r="BP96" i="7"/>
  <c r="BQ96" i="7"/>
  <c r="BR96" i="7"/>
  <c r="BS96" i="7"/>
  <c r="BT96" i="7"/>
  <c r="BU96" i="7"/>
  <c r="BB97" i="7"/>
  <c r="BC97" i="7"/>
  <c r="BD97" i="7"/>
  <c r="BE97" i="7"/>
  <c r="BF97" i="7"/>
  <c r="BG97" i="7"/>
  <c r="BH97" i="7"/>
  <c r="BI97" i="7"/>
  <c r="BJ97" i="7"/>
  <c r="BK97" i="7"/>
  <c r="BL97" i="7"/>
  <c r="BM97" i="7"/>
  <c r="BN97" i="7"/>
  <c r="BO97" i="7"/>
  <c r="BP97" i="7"/>
  <c r="BQ97" i="7"/>
  <c r="BR97" i="7"/>
  <c r="BS97" i="7"/>
  <c r="BT97" i="7"/>
  <c r="BU97" i="7"/>
  <c r="BB98" i="7"/>
  <c r="BC98" i="7"/>
  <c r="BD98" i="7"/>
  <c r="BE98" i="7"/>
  <c r="BF98" i="7"/>
  <c r="BG98" i="7"/>
  <c r="BH98" i="7"/>
  <c r="BI98" i="7"/>
  <c r="BJ98" i="7"/>
  <c r="BK98" i="7"/>
  <c r="BL98" i="7"/>
  <c r="BM98" i="7"/>
  <c r="BN98" i="7"/>
  <c r="BO98" i="7"/>
  <c r="BP98" i="7"/>
  <c r="BQ98" i="7"/>
  <c r="BR98" i="7"/>
  <c r="BS98" i="7"/>
  <c r="BT98" i="7"/>
  <c r="BU98" i="7"/>
  <c r="BB99" i="7"/>
  <c r="BC99" i="7"/>
  <c r="BD99" i="7"/>
  <c r="BE99" i="7"/>
  <c r="BF99" i="7"/>
  <c r="BG99" i="7"/>
  <c r="BH99" i="7"/>
  <c r="BI99" i="7"/>
  <c r="BJ99" i="7"/>
  <c r="BK99" i="7"/>
  <c r="BL99" i="7"/>
  <c r="BM99" i="7"/>
  <c r="BN99" i="7"/>
  <c r="BO99" i="7"/>
  <c r="BP99" i="7"/>
  <c r="BQ99" i="7"/>
  <c r="BR99" i="7"/>
  <c r="BS99" i="7"/>
  <c r="BT99" i="7"/>
  <c r="BU99" i="7"/>
  <c r="BB100" i="7"/>
  <c r="BC100" i="7"/>
  <c r="BD100" i="7"/>
  <c r="BE100" i="7"/>
  <c r="BF100" i="7"/>
  <c r="BG100" i="7"/>
  <c r="BH100" i="7"/>
  <c r="BI100" i="7"/>
  <c r="BJ100" i="7"/>
  <c r="BK100" i="7"/>
  <c r="BL100" i="7"/>
  <c r="BM100" i="7"/>
  <c r="BN100" i="7"/>
  <c r="BO100" i="7"/>
  <c r="BP100" i="7"/>
  <c r="BQ100" i="7"/>
  <c r="BR100" i="7"/>
  <c r="BS100" i="7"/>
  <c r="BT100" i="7"/>
  <c r="BU100" i="7"/>
  <c r="BB101" i="7"/>
  <c r="BC101" i="7"/>
  <c r="BD101" i="7"/>
  <c r="BE101" i="7"/>
  <c r="BF101" i="7"/>
  <c r="BG101" i="7"/>
  <c r="BH101" i="7"/>
  <c r="BI101" i="7"/>
  <c r="BJ101" i="7"/>
  <c r="BK101" i="7"/>
  <c r="BL101" i="7"/>
  <c r="BM101" i="7"/>
  <c r="BN101" i="7"/>
  <c r="BO101" i="7"/>
  <c r="BP101" i="7"/>
  <c r="BQ101" i="7"/>
  <c r="BR101" i="7"/>
  <c r="BS101" i="7"/>
  <c r="BT101" i="7"/>
  <c r="BU101" i="7"/>
  <c r="BB102" i="7"/>
  <c r="BC102" i="7"/>
  <c r="BD102" i="7"/>
  <c r="BE102" i="7"/>
  <c r="BF102" i="7"/>
  <c r="BG102" i="7"/>
  <c r="BH102" i="7"/>
  <c r="BI102" i="7"/>
  <c r="BJ102" i="7"/>
  <c r="BK102" i="7"/>
  <c r="BL102" i="7"/>
  <c r="BM102" i="7"/>
  <c r="BN102" i="7"/>
  <c r="BO102" i="7"/>
  <c r="BP102" i="7"/>
  <c r="BQ102" i="7"/>
  <c r="BR102" i="7"/>
  <c r="BS102" i="7"/>
  <c r="BT102" i="7"/>
  <c r="BU102" i="7"/>
  <c r="BB103" i="7"/>
  <c r="BC103" i="7"/>
  <c r="BD103" i="7"/>
  <c r="BE103" i="7"/>
  <c r="BF103" i="7"/>
  <c r="BG103" i="7"/>
  <c r="BH103" i="7"/>
  <c r="BI103" i="7"/>
  <c r="BJ103" i="7"/>
  <c r="BK103" i="7"/>
  <c r="BL103" i="7"/>
  <c r="BM103" i="7"/>
  <c r="BN103" i="7"/>
  <c r="BO103" i="7"/>
  <c r="BP103" i="7"/>
  <c r="BQ103" i="7"/>
  <c r="BR103" i="7"/>
  <c r="BS103" i="7"/>
  <c r="BT103" i="7"/>
  <c r="BU103" i="7"/>
  <c r="BB104" i="7"/>
  <c r="BC104" i="7"/>
  <c r="BD104" i="7"/>
  <c r="BE104" i="7"/>
  <c r="BF104" i="7"/>
  <c r="BG104" i="7"/>
  <c r="BH104" i="7"/>
  <c r="BI104" i="7"/>
  <c r="BJ104" i="7"/>
  <c r="BK104" i="7"/>
  <c r="BL104" i="7"/>
  <c r="BM104" i="7"/>
  <c r="BN104" i="7"/>
  <c r="BO104" i="7"/>
  <c r="BP104" i="7"/>
  <c r="BQ104" i="7"/>
  <c r="BR104" i="7"/>
  <c r="BS104" i="7"/>
  <c r="BT104" i="7"/>
  <c r="BU104" i="7"/>
  <c r="BB105" i="7"/>
  <c r="BC105" i="7"/>
  <c r="BD105" i="7"/>
  <c r="BE105" i="7"/>
  <c r="BF105" i="7"/>
  <c r="BG105" i="7"/>
  <c r="BH105" i="7"/>
  <c r="BI105" i="7"/>
  <c r="BJ105" i="7"/>
  <c r="BK105" i="7"/>
  <c r="BL105" i="7"/>
  <c r="BM105" i="7"/>
  <c r="BN105" i="7"/>
  <c r="BO105" i="7"/>
  <c r="BP105" i="7"/>
  <c r="BQ105" i="7"/>
  <c r="BR105" i="7"/>
  <c r="BS105" i="7"/>
  <c r="BT105" i="7"/>
  <c r="BU105" i="7"/>
  <c r="BB106" i="7"/>
  <c r="BC106" i="7"/>
  <c r="BD106" i="7"/>
  <c r="BE106" i="7"/>
  <c r="BF106" i="7"/>
  <c r="BG106" i="7"/>
  <c r="BH106" i="7"/>
  <c r="BI106" i="7"/>
  <c r="BJ106" i="7"/>
  <c r="BK106" i="7"/>
  <c r="BL106" i="7"/>
  <c r="BM106" i="7"/>
  <c r="BN106" i="7"/>
  <c r="BO106" i="7"/>
  <c r="BP106" i="7"/>
  <c r="BQ106" i="7"/>
  <c r="BR106" i="7"/>
  <c r="BS106" i="7"/>
  <c r="BT106" i="7"/>
  <c r="BU106" i="7"/>
  <c r="BB107" i="7"/>
  <c r="BC107" i="7"/>
  <c r="BD107" i="7"/>
  <c r="BE107" i="7"/>
  <c r="BF107" i="7"/>
  <c r="BG107" i="7"/>
  <c r="BH107" i="7"/>
  <c r="BI107" i="7"/>
  <c r="BJ107" i="7"/>
  <c r="BK107" i="7"/>
  <c r="BL107" i="7"/>
  <c r="BM107" i="7"/>
  <c r="BN107" i="7"/>
  <c r="BO107" i="7"/>
  <c r="BP107" i="7"/>
  <c r="BQ107" i="7"/>
  <c r="BR107" i="7"/>
  <c r="BS107" i="7"/>
  <c r="BT107" i="7"/>
  <c r="BU107" i="7"/>
  <c r="BB108" i="7"/>
  <c r="BC108" i="7"/>
  <c r="BD108" i="7"/>
  <c r="BE108" i="7"/>
  <c r="BF108" i="7"/>
  <c r="BG108" i="7"/>
  <c r="BH108" i="7"/>
  <c r="BI108" i="7"/>
  <c r="BJ108" i="7"/>
  <c r="BK108" i="7"/>
  <c r="BL108" i="7"/>
  <c r="BM108" i="7"/>
  <c r="BN108" i="7"/>
  <c r="BO108" i="7"/>
  <c r="BP108" i="7"/>
  <c r="BQ108" i="7"/>
  <c r="BR108" i="7"/>
  <c r="BS108" i="7"/>
  <c r="BT108" i="7"/>
  <c r="BU108" i="7"/>
  <c r="BB109" i="7"/>
  <c r="BC109" i="7"/>
  <c r="BD109" i="7"/>
  <c r="BE109" i="7"/>
  <c r="BF109" i="7"/>
  <c r="BG109" i="7"/>
  <c r="BH109" i="7"/>
  <c r="BI109" i="7"/>
  <c r="BJ109" i="7"/>
  <c r="BK109" i="7"/>
  <c r="BL109" i="7"/>
  <c r="BM109" i="7"/>
  <c r="BN109" i="7"/>
  <c r="BO109" i="7"/>
  <c r="BP109" i="7"/>
  <c r="BQ109" i="7"/>
  <c r="BR109" i="7"/>
  <c r="BS109" i="7"/>
  <c r="BT109" i="7"/>
  <c r="BU109" i="7"/>
  <c r="BB110" i="7"/>
  <c r="BC110" i="7"/>
  <c r="BD110" i="7"/>
  <c r="BE110" i="7"/>
  <c r="BF110" i="7"/>
  <c r="BG110" i="7"/>
  <c r="BH110" i="7"/>
  <c r="BI110" i="7"/>
  <c r="BJ110" i="7"/>
  <c r="BK110" i="7"/>
  <c r="BL110" i="7"/>
  <c r="BM110" i="7"/>
  <c r="BN110" i="7"/>
  <c r="BO110" i="7"/>
  <c r="BP110" i="7"/>
  <c r="BQ110" i="7"/>
  <c r="BR110" i="7"/>
  <c r="BS110" i="7"/>
  <c r="BT110" i="7"/>
  <c r="BU110" i="7"/>
  <c r="BB111" i="7"/>
  <c r="BC111" i="7"/>
  <c r="BD111" i="7"/>
  <c r="BE111" i="7"/>
  <c r="BF111" i="7"/>
  <c r="BG111" i="7"/>
  <c r="BH111" i="7"/>
  <c r="BI111" i="7"/>
  <c r="BJ111" i="7"/>
  <c r="BK111" i="7"/>
  <c r="BL111" i="7"/>
  <c r="BM111" i="7"/>
  <c r="BN111" i="7"/>
  <c r="BO111" i="7"/>
  <c r="BP111" i="7"/>
  <c r="BQ111" i="7"/>
  <c r="BR111" i="7"/>
  <c r="BS111" i="7"/>
  <c r="BT111" i="7"/>
  <c r="BU111" i="7"/>
  <c r="BB112" i="7"/>
  <c r="BC112" i="7"/>
  <c r="BD112" i="7"/>
  <c r="BE112" i="7"/>
  <c r="BF112" i="7"/>
  <c r="BG112" i="7"/>
  <c r="BH112" i="7"/>
  <c r="BI112" i="7"/>
  <c r="BJ112" i="7"/>
  <c r="BK112" i="7"/>
  <c r="BL112" i="7"/>
  <c r="BM112" i="7"/>
  <c r="BN112" i="7"/>
  <c r="BO112" i="7"/>
  <c r="BP112" i="7"/>
  <c r="BQ112" i="7"/>
  <c r="BR112" i="7"/>
  <c r="BS112" i="7"/>
  <c r="BT112" i="7"/>
  <c r="BU112" i="7"/>
  <c r="BU2" i="7"/>
  <c r="BT2" i="7"/>
  <c r="BS2" i="7"/>
  <c r="BR2" i="7"/>
  <c r="BQ2" i="7"/>
  <c r="BP2" i="7"/>
  <c r="BO2" i="7"/>
  <c r="BN2" i="7"/>
  <c r="BM2" i="7"/>
  <c r="BL2" i="7"/>
  <c r="BK2" i="7"/>
  <c r="BJ2" i="7"/>
  <c r="BI2" i="7"/>
  <c r="BH2" i="7"/>
  <c r="BG2" i="7"/>
  <c r="BF2" i="7"/>
  <c r="BE2" i="7"/>
  <c r="BD2" i="7"/>
  <c r="BC2" i="7"/>
  <c r="BB2" i="7"/>
  <c r="AL3" i="7"/>
  <c r="AM3" i="7"/>
  <c r="AN3" i="7"/>
  <c r="AO3" i="7"/>
  <c r="AP3" i="7"/>
  <c r="AQ3" i="7"/>
  <c r="AR3" i="7"/>
  <c r="AS3" i="7"/>
  <c r="AT3" i="7"/>
  <c r="AU3" i="7"/>
  <c r="AV3" i="7"/>
  <c r="AW3" i="7"/>
  <c r="AX3" i="7"/>
  <c r="AY3" i="7"/>
  <c r="AZ3" i="7"/>
  <c r="BA3" i="7"/>
  <c r="AL4" i="7"/>
  <c r="AM4" i="7"/>
  <c r="AN4" i="7"/>
  <c r="AO4" i="7"/>
  <c r="AP4" i="7"/>
  <c r="AQ4" i="7"/>
  <c r="AR4" i="7"/>
  <c r="AS4" i="7"/>
  <c r="AT4" i="7"/>
  <c r="AU4" i="7"/>
  <c r="AV4" i="7"/>
  <c r="AW4" i="7"/>
  <c r="AX4" i="7"/>
  <c r="AY4" i="7"/>
  <c r="AZ4" i="7"/>
  <c r="BA4" i="7"/>
  <c r="AL5" i="7"/>
  <c r="AM5" i="7"/>
  <c r="AN5" i="7"/>
  <c r="AO5" i="7"/>
  <c r="AP5" i="7"/>
  <c r="AQ5" i="7"/>
  <c r="AR5" i="7"/>
  <c r="AS5" i="7"/>
  <c r="AT5" i="7"/>
  <c r="AU5" i="7"/>
  <c r="AV5" i="7"/>
  <c r="AW5" i="7"/>
  <c r="AX5" i="7"/>
  <c r="AY5" i="7"/>
  <c r="AZ5" i="7"/>
  <c r="BA5" i="7"/>
  <c r="AL6" i="7"/>
  <c r="AM6" i="7"/>
  <c r="AN6" i="7"/>
  <c r="AO6" i="7"/>
  <c r="AP6" i="7"/>
  <c r="AQ6" i="7"/>
  <c r="AR6" i="7"/>
  <c r="AS6" i="7"/>
  <c r="AT6" i="7"/>
  <c r="AU6" i="7"/>
  <c r="AV6" i="7"/>
  <c r="AW6" i="7"/>
  <c r="AX6" i="7"/>
  <c r="AY6" i="7"/>
  <c r="AZ6" i="7"/>
  <c r="BA6" i="7"/>
  <c r="AL7" i="7"/>
  <c r="AM7" i="7"/>
  <c r="AN7" i="7"/>
  <c r="AO7" i="7"/>
  <c r="AP7" i="7"/>
  <c r="AQ7" i="7"/>
  <c r="AR7" i="7"/>
  <c r="AS7" i="7"/>
  <c r="AT7" i="7"/>
  <c r="AU7" i="7"/>
  <c r="AV7" i="7"/>
  <c r="AW7" i="7"/>
  <c r="AX7" i="7"/>
  <c r="AY7" i="7"/>
  <c r="AZ7" i="7"/>
  <c r="BA7" i="7"/>
  <c r="AL8" i="7"/>
  <c r="AM8" i="7"/>
  <c r="AN8" i="7"/>
  <c r="AO8" i="7"/>
  <c r="AP8" i="7"/>
  <c r="AQ8" i="7"/>
  <c r="AR8" i="7"/>
  <c r="AS8" i="7"/>
  <c r="AT8" i="7"/>
  <c r="AU8" i="7"/>
  <c r="AV8" i="7"/>
  <c r="AW8" i="7"/>
  <c r="AX8" i="7"/>
  <c r="AY8" i="7"/>
  <c r="AZ8" i="7"/>
  <c r="BA8" i="7"/>
  <c r="AL9" i="7"/>
  <c r="AM9" i="7"/>
  <c r="AN9" i="7"/>
  <c r="AO9" i="7"/>
  <c r="AP9" i="7"/>
  <c r="AQ9" i="7"/>
  <c r="AR9" i="7"/>
  <c r="AS9" i="7"/>
  <c r="AT9" i="7"/>
  <c r="AU9" i="7"/>
  <c r="AV9" i="7"/>
  <c r="AW9" i="7"/>
  <c r="AX9" i="7"/>
  <c r="AY9" i="7"/>
  <c r="AZ9" i="7"/>
  <c r="BA9" i="7"/>
  <c r="AL10" i="7"/>
  <c r="AM10" i="7"/>
  <c r="AN10" i="7"/>
  <c r="AO10" i="7"/>
  <c r="AP10" i="7"/>
  <c r="AQ10" i="7"/>
  <c r="AR10" i="7"/>
  <c r="AS10" i="7"/>
  <c r="AT10" i="7"/>
  <c r="AU10" i="7"/>
  <c r="AV10" i="7"/>
  <c r="AW10" i="7"/>
  <c r="AX10" i="7"/>
  <c r="AY10" i="7"/>
  <c r="AZ10" i="7"/>
  <c r="BA10" i="7"/>
  <c r="AL11" i="7"/>
  <c r="AM11" i="7"/>
  <c r="AN11" i="7"/>
  <c r="AO11" i="7"/>
  <c r="AP11" i="7"/>
  <c r="AQ11" i="7"/>
  <c r="AR11" i="7"/>
  <c r="AS11" i="7"/>
  <c r="AT11" i="7"/>
  <c r="AU11" i="7"/>
  <c r="AV11" i="7"/>
  <c r="AW11" i="7"/>
  <c r="AX11" i="7"/>
  <c r="AY11" i="7"/>
  <c r="AZ11" i="7"/>
  <c r="BA11" i="7"/>
  <c r="AL12" i="7"/>
  <c r="AM12" i="7"/>
  <c r="AN12" i="7"/>
  <c r="AO12" i="7"/>
  <c r="AP12" i="7"/>
  <c r="AQ12" i="7"/>
  <c r="AR12" i="7"/>
  <c r="AS12" i="7"/>
  <c r="AT12" i="7"/>
  <c r="AU12" i="7"/>
  <c r="AV12" i="7"/>
  <c r="AW12" i="7"/>
  <c r="AX12" i="7"/>
  <c r="AY12" i="7"/>
  <c r="AZ12" i="7"/>
  <c r="BA12" i="7"/>
  <c r="AL13" i="7"/>
  <c r="AM13" i="7"/>
  <c r="AN13" i="7"/>
  <c r="AO13" i="7"/>
  <c r="AP13" i="7"/>
  <c r="AQ13" i="7"/>
  <c r="AR13" i="7"/>
  <c r="AS13" i="7"/>
  <c r="AT13" i="7"/>
  <c r="AU13" i="7"/>
  <c r="AV13" i="7"/>
  <c r="AW13" i="7"/>
  <c r="AX13" i="7"/>
  <c r="AY13" i="7"/>
  <c r="AZ13" i="7"/>
  <c r="BA13" i="7"/>
  <c r="AL14" i="7"/>
  <c r="AM14" i="7"/>
  <c r="AN14" i="7"/>
  <c r="AO14" i="7"/>
  <c r="AP14" i="7"/>
  <c r="AQ14" i="7"/>
  <c r="AR14" i="7"/>
  <c r="AS14" i="7"/>
  <c r="AT14" i="7"/>
  <c r="AU14" i="7"/>
  <c r="AV14" i="7"/>
  <c r="AW14" i="7"/>
  <c r="AX14" i="7"/>
  <c r="AY14" i="7"/>
  <c r="AZ14" i="7"/>
  <c r="BA14" i="7"/>
  <c r="AL15" i="7"/>
  <c r="AM15" i="7"/>
  <c r="AN15" i="7"/>
  <c r="AO15" i="7"/>
  <c r="AP15" i="7"/>
  <c r="AQ15" i="7"/>
  <c r="AR15" i="7"/>
  <c r="AS15" i="7"/>
  <c r="AT15" i="7"/>
  <c r="AU15" i="7"/>
  <c r="AV15" i="7"/>
  <c r="AW15" i="7"/>
  <c r="AX15" i="7"/>
  <c r="AY15" i="7"/>
  <c r="AZ15" i="7"/>
  <c r="BA15" i="7"/>
  <c r="AL16" i="7"/>
  <c r="AM16" i="7"/>
  <c r="AN16" i="7"/>
  <c r="AO16" i="7"/>
  <c r="AP16" i="7"/>
  <c r="AQ16" i="7"/>
  <c r="AR16" i="7"/>
  <c r="AS16" i="7"/>
  <c r="AT16" i="7"/>
  <c r="AU16" i="7"/>
  <c r="AV16" i="7"/>
  <c r="AW16" i="7"/>
  <c r="AX16" i="7"/>
  <c r="AY16" i="7"/>
  <c r="AZ16" i="7"/>
  <c r="BA16" i="7"/>
  <c r="AL17" i="7"/>
  <c r="AM17" i="7"/>
  <c r="AN17" i="7"/>
  <c r="AO17" i="7"/>
  <c r="AP17" i="7"/>
  <c r="AQ17" i="7"/>
  <c r="AR17" i="7"/>
  <c r="AS17" i="7"/>
  <c r="AT17" i="7"/>
  <c r="AU17" i="7"/>
  <c r="AV17" i="7"/>
  <c r="AW17" i="7"/>
  <c r="AX17" i="7"/>
  <c r="AY17" i="7"/>
  <c r="AZ17" i="7"/>
  <c r="BA17" i="7"/>
  <c r="AL18" i="7"/>
  <c r="AM18" i="7"/>
  <c r="AN18" i="7"/>
  <c r="AO18" i="7"/>
  <c r="AP18" i="7"/>
  <c r="AQ18" i="7"/>
  <c r="AR18" i="7"/>
  <c r="AS18" i="7"/>
  <c r="AT18" i="7"/>
  <c r="AU18" i="7"/>
  <c r="AV18" i="7"/>
  <c r="AW18" i="7"/>
  <c r="AX18" i="7"/>
  <c r="AY18" i="7"/>
  <c r="AZ18" i="7"/>
  <c r="BA18" i="7"/>
  <c r="AL19" i="7"/>
  <c r="AM19" i="7"/>
  <c r="AN19" i="7"/>
  <c r="AO19" i="7"/>
  <c r="AP19" i="7"/>
  <c r="AQ19" i="7"/>
  <c r="AR19" i="7"/>
  <c r="AS19" i="7"/>
  <c r="AT19" i="7"/>
  <c r="AU19" i="7"/>
  <c r="AV19" i="7"/>
  <c r="AW19" i="7"/>
  <c r="AX19" i="7"/>
  <c r="AY19" i="7"/>
  <c r="AZ19" i="7"/>
  <c r="BA19" i="7"/>
  <c r="AL20" i="7"/>
  <c r="AM20" i="7"/>
  <c r="AN20" i="7"/>
  <c r="AO20" i="7"/>
  <c r="AP20" i="7"/>
  <c r="AQ20" i="7"/>
  <c r="AR20" i="7"/>
  <c r="AS20" i="7"/>
  <c r="AT20" i="7"/>
  <c r="AU20" i="7"/>
  <c r="AV20" i="7"/>
  <c r="AW20" i="7"/>
  <c r="AX20" i="7"/>
  <c r="AY20" i="7"/>
  <c r="AZ20" i="7"/>
  <c r="BA20" i="7"/>
  <c r="AL21" i="7"/>
  <c r="AM21" i="7"/>
  <c r="AN21" i="7"/>
  <c r="AO21" i="7"/>
  <c r="AP21" i="7"/>
  <c r="AQ21" i="7"/>
  <c r="AR21" i="7"/>
  <c r="AS21" i="7"/>
  <c r="AT21" i="7"/>
  <c r="AU21" i="7"/>
  <c r="AV21" i="7"/>
  <c r="AW21" i="7"/>
  <c r="AX21" i="7"/>
  <c r="AY21" i="7"/>
  <c r="AZ21" i="7"/>
  <c r="BA21" i="7"/>
  <c r="AL22" i="7"/>
  <c r="AM22" i="7"/>
  <c r="AN22" i="7"/>
  <c r="AO22" i="7"/>
  <c r="AP22" i="7"/>
  <c r="AQ22" i="7"/>
  <c r="AR22" i="7"/>
  <c r="AS22" i="7"/>
  <c r="AT22" i="7"/>
  <c r="AU22" i="7"/>
  <c r="AV22" i="7"/>
  <c r="AW22" i="7"/>
  <c r="AX22" i="7"/>
  <c r="AY22" i="7"/>
  <c r="AZ22" i="7"/>
  <c r="BA22" i="7"/>
  <c r="AL23" i="7"/>
  <c r="AM23" i="7"/>
  <c r="AN23" i="7"/>
  <c r="AO23" i="7"/>
  <c r="AP23" i="7"/>
  <c r="AQ23" i="7"/>
  <c r="AR23" i="7"/>
  <c r="AS23" i="7"/>
  <c r="AT23" i="7"/>
  <c r="AU23" i="7"/>
  <c r="AV23" i="7"/>
  <c r="AW23" i="7"/>
  <c r="AX23" i="7"/>
  <c r="AY23" i="7"/>
  <c r="AZ23" i="7"/>
  <c r="BA23" i="7"/>
  <c r="AL24" i="7"/>
  <c r="AM24" i="7"/>
  <c r="AN24" i="7"/>
  <c r="AO24" i="7"/>
  <c r="AP24" i="7"/>
  <c r="AQ24" i="7"/>
  <c r="AR24" i="7"/>
  <c r="AS24" i="7"/>
  <c r="AT24" i="7"/>
  <c r="AU24" i="7"/>
  <c r="AV24" i="7"/>
  <c r="AW24" i="7"/>
  <c r="AX24" i="7"/>
  <c r="AY24" i="7"/>
  <c r="AZ24" i="7"/>
  <c r="BA24" i="7"/>
  <c r="AL25" i="7"/>
  <c r="AM25" i="7"/>
  <c r="AN25" i="7"/>
  <c r="AO25" i="7"/>
  <c r="AP25" i="7"/>
  <c r="AQ25" i="7"/>
  <c r="AR25" i="7"/>
  <c r="AS25" i="7"/>
  <c r="AT25" i="7"/>
  <c r="AU25" i="7"/>
  <c r="AV25" i="7"/>
  <c r="AW25" i="7"/>
  <c r="AX25" i="7"/>
  <c r="AY25" i="7"/>
  <c r="AZ25" i="7"/>
  <c r="BA25" i="7"/>
  <c r="AL26" i="7"/>
  <c r="AM26" i="7"/>
  <c r="AN26" i="7"/>
  <c r="AO26" i="7"/>
  <c r="AP26" i="7"/>
  <c r="AQ26" i="7"/>
  <c r="AR26" i="7"/>
  <c r="AS26" i="7"/>
  <c r="AT26" i="7"/>
  <c r="AU26" i="7"/>
  <c r="AV26" i="7"/>
  <c r="AW26" i="7"/>
  <c r="AX26" i="7"/>
  <c r="AY26" i="7"/>
  <c r="AZ26" i="7"/>
  <c r="BA26" i="7"/>
  <c r="AL27" i="7"/>
  <c r="AM27" i="7"/>
  <c r="AN27" i="7"/>
  <c r="AO27" i="7"/>
  <c r="AP27" i="7"/>
  <c r="AQ27" i="7"/>
  <c r="AR27" i="7"/>
  <c r="AS27" i="7"/>
  <c r="AT27" i="7"/>
  <c r="AU27" i="7"/>
  <c r="AV27" i="7"/>
  <c r="AW27" i="7"/>
  <c r="AX27" i="7"/>
  <c r="AY27" i="7"/>
  <c r="AZ27" i="7"/>
  <c r="BA27" i="7"/>
  <c r="AL28" i="7"/>
  <c r="AM28" i="7"/>
  <c r="AN28" i="7"/>
  <c r="AO28" i="7"/>
  <c r="AP28" i="7"/>
  <c r="AQ28" i="7"/>
  <c r="AR28" i="7"/>
  <c r="AS28" i="7"/>
  <c r="AT28" i="7"/>
  <c r="AU28" i="7"/>
  <c r="AV28" i="7"/>
  <c r="AW28" i="7"/>
  <c r="AX28" i="7"/>
  <c r="AY28" i="7"/>
  <c r="AZ28" i="7"/>
  <c r="BA28" i="7"/>
  <c r="AL29" i="7"/>
  <c r="AM29" i="7"/>
  <c r="AN29" i="7"/>
  <c r="AO29" i="7"/>
  <c r="AP29" i="7"/>
  <c r="AQ29" i="7"/>
  <c r="AR29" i="7"/>
  <c r="AS29" i="7"/>
  <c r="AT29" i="7"/>
  <c r="AU29" i="7"/>
  <c r="AV29" i="7"/>
  <c r="AW29" i="7"/>
  <c r="AX29" i="7"/>
  <c r="AY29" i="7"/>
  <c r="AZ29" i="7"/>
  <c r="BA29" i="7"/>
  <c r="AL30" i="7"/>
  <c r="AM30" i="7"/>
  <c r="AN30" i="7"/>
  <c r="AO30" i="7"/>
  <c r="AP30" i="7"/>
  <c r="AQ30" i="7"/>
  <c r="AR30" i="7"/>
  <c r="AS30" i="7"/>
  <c r="AT30" i="7"/>
  <c r="AU30" i="7"/>
  <c r="AV30" i="7"/>
  <c r="AW30" i="7"/>
  <c r="AX30" i="7"/>
  <c r="AY30" i="7"/>
  <c r="AZ30" i="7"/>
  <c r="BA30" i="7"/>
  <c r="AL31" i="7"/>
  <c r="AM31" i="7"/>
  <c r="AN31" i="7"/>
  <c r="AO31" i="7"/>
  <c r="AP31" i="7"/>
  <c r="AQ31" i="7"/>
  <c r="AR31" i="7"/>
  <c r="AS31" i="7"/>
  <c r="AT31" i="7"/>
  <c r="AU31" i="7"/>
  <c r="AV31" i="7"/>
  <c r="AW31" i="7"/>
  <c r="AX31" i="7"/>
  <c r="AY31" i="7"/>
  <c r="AZ31" i="7"/>
  <c r="BA31" i="7"/>
  <c r="AL32" i="7"/>
  <c r="AM32" i="7"/>
  <c r="AN32" i="7"/>
  <c r="AO32" i="7"/>
  <c r="AP32" i="7"/>
  <c r="AQ32" i="7"/>
  <c r="AR32" i="7"/>
  <c r="AS32" i="7"/>
  <c r="AT32" i="7"/>
  <c r="AU32" i="7"/>
  <c r="AV32" i="7"/>
  <c r="AW32" i="7"/>
  <c r="AX32" i="7"/>
  <c r="AY32" i="7"/>
  <c r="AZ32" i="7"/>
  <c r="BA32" i="7"/>
  <c r="AL33" i="7"/>
  <c r="AM33" i="7"/>
  <c r="AN33" i="7"/>
  <c r="AO33" i="7"/>
  <c r="AP33" i="7"/>
  <c r="AQ33" i="7"/>
  <c r="AR33" i="7"/>
  <c r="AS33" i="7"/>
  <c r="AT33" i="7"/>
  <c r="AU33" i="7"/>
  <c r="AV33" i="7"/>
  <c r="AW33" i="7"/>
  <c r="AX33" i="7"/>
  <c r="AY33" i="7"/>
  <c r="AZ33" i="7"/>
  <c r="BA33" i="7"/>
  <c r="AL34" i="7"/>
  <c r="AM34" i="7"/>
  <c r="AN34" i="7"/>
  <c r="AO34" i="7"/>
  <c r="AP34" i="7"/>
  <c r="AQ34" i="7"/>
  <c r="AR34" i="7"/>
  <c r="AS34" i="7"/>
  <c r="AT34" i="7"/>
  <c r="AU34" i="7"/>
  <c r="AV34" i="7"/>
  <c r="AW34" i="7"/>
  <c r="AX34" i="7"/>
  <c r="AY34" i="7"/>
  <c r="AZ34" i="7"/>
  <c r="BA34" i="7"/>
  <c r="AL35" i="7"/>
  <c r="AM35" i="7"/>
  <c r="AN35" i="7"/>
  <c r="AO35" i="7"/>
  <c r="AP35" i="7"/>
  <c r="AQ35" i="7"/>
  <c r="AR35" i="7"/>
  <c r="AS35" i="7"/>
  <c r="AT35" i="7"/>
  <c r="AU35" i="7"/>
  <c r="AV35" i="7"/>
  <c r="AW35" i="7"/>
  <c r="AX35" i="7"/>
  <c r="AY35" i="7"/>
  <c r="AZ35" i="7"/>
  <c r="BA35" i="7"/>
  <c r="AL36" i="7"/>
  <c r="AM36" i="7"/>
  <c r="AN36" i="7"/>
  <c r="AO36" i="7"/>
  <c r="AP36" i="7"/>
  <c r="AQ36" i="7"/>
  <c r="AR36" i="7"/>
  <c r="AS36" i="7"/>
  <c r="AT36" i="7"/>
  <c r="AU36" i="7"/>
  <c r="AV36" i="7"/>
  <c r="AW36" i="7"/>
  <c r="AX36" i="7"/>
  <c r="AY36" i="7"/>
  <c r="AZ36" i="7"/>
  <c r="BA36" i="7"/>
  <c r="AL37" i="7"/>
  <c r="AM37" i="7"/>
  <c r="AN37" i="7"/>
  <c r="AO37" i="7"/>
  <c r="AP37" i="7"/>
  <c r="AQ37" i="7"/>
  <c r="AR37" i="7"/>
  <c r="AS37" i="7"/>
  <c r="AT37" i="7"/>
  <c r="AU37" i="7"/>
  <c r="AV37" i="7"/>
  <c r="AW37" i="7"/>
  <c r="AX37" i="7"/>
  <c r="AY37" i="7"/>
  <c r="AZ37" i="7"/>
  <c r="BA37" i="7"/>
  <c r="AL38" i="7"/>
  <c r="AM38" i="7"/>
  <c r="AN38" i="7"/>
  <c r="AO38" i="7"/>
  <c r="AP38" i="7"/>
  <c r="AQ38" i="7"/>
  <c r="AR38" i="7"/>
  <c r="AS38" i="7"/>
  <c r="AT38" i="7"/>
  <c r="AU38" i="7"/>
  <c r="AV38" i="7"/>
  <c r="AW38" i="7"/>
  <c r="AX38" i="7"/>
  <c r="AY38" i="7"/>
  <c r="AZ38" i="7"/>
  <c r="BA38" i="7"/>
  <c r="AL39" i="7"/>
  <c r="AM39" i="7"/>
  <c r="AN39" i="7"/>
  <c r="AO39" i="7"/>
  <c r="AP39" i="7"/>
  <c r="AQ39" i="7"/>
  <c r="AR39" i="7"/>
  <c r="AS39" i="7"/>
  <c r="AT39" i="7"/>
  <c r="AU39" i="7"/>
  <c r="AV39" i="7"/>
  <c r="AW39" i="7"/>
  <c r="AX39" i="7"/>
  <c r="AY39" i="7"/>
  <c r="AZ39" i="7"/>
  <c r="BA39" i="7"/>
  <c r="AL40" i="7"/>
  <c r="AM40" i="7"/>
  <c r="AN40" i="7"/>
  <c r="AO40" i="7"/>
  <c r="AP40" i="7"/>
  <c r="AQ40" i="7"/>
  <c r="AR40" i="7"/>
  <c r="AS40" i="7"/>
  <c r="AT40" i="7"/>
  <c r="AU40" i="7"/>
  <c r="AV40" i="7"/>
  <c r="AW40" i="7"/>
  <c r="AX40" i="7"/>
  <c r="AY40" i="7"/>
  <c r="AZ40" i="7"/>
  <c r="BA40" i="7"/>
  <c r="AL53" i="7"/>
  <c r="AM53" i="7"/>
  <c r="AN53" i="7"/>
  <c r="AO53" i="7"/>
  <c r="AP53" i="7"/>
  <c r="AQ53" i="7"/>
  <c r="AR53" i="7"/>
  <c r="AS53" i="7"/>
  <c r="AT53" i="7"/>
  <c r="AU53" i="7"/>
  <c r="AV53" i="7"/>
  <c r="AW53" i="7"/>
  <c r="AX53" i="7"/>
  <c r="AY53" i="7"/>
  <c r="AZ53" i="7"/>
  <c r="BA53" i="7"/>
  <c r="AL54" i="7"/>
  <c r="AM54" i="7"/>
  <c r="AN54" i="7"/>
  <c r="AO54" i="7"/>
  <c r="AP54" i="7"/>
  <c r="AQ54" i="7"/>
  <c r="AR54" i="7"/>
  <c r="AS54" i="7"/>
  <c r="AT54" i="7"/>
  <c r="AU54" i="7"/>
  <c r="AV54" i="7"/>
  <c r="AW54" i="7"/>
  <c r="AX54" i="7"/>
  <c r="AY54" i="7"/>
  <c r="AZ54" i="7"/>
  <c r="BA54" i="7"/>
  <c r="AL55" i="7"/>
  <c r="AM55" i="7"/>
  <c r="AN55" i="7"/>
  <c r="AO55" i="7"/>
  <c r="AP55" i="7"/>
  <c r="AQ55" i="7"/>
  <c r="AR55" i="7"/>
  <c r="AS55" i="7"/>
  <c r="AT55" i="7"/>
  <c r="AU55" i="7"/>
  <c r="AV55" i="7"/>
  <c r="AW55" i="7"/>
  <c r="AX55" i="7"/>
  <c r="AY55" i="7"/>
  <c r="AZ55" i="7"/>
  <c r="BA55" i="7"/>
  <c r="AL56" i="7"/>
  <c r="AM56" i="7"/>
  <c r="AN56" i="7"/>
  <c r="AO56" i="7"/>
  <c r="AP56" i="7"/>
  <c r="AQ56" i="7"/>
  <c r="AR56" i="7"/>
  <c r="AS56" i="7"/>
  <c r="AT56" i="7"/>
  <c r="AU56" i="7"/>
  <c r="AV56" i="7"/>
  <c r="AW56" i="7"/>
  <c r="AX56" i="7"/>
  <c r="AY56" i="7"/>
  <c r="AZ56" i="7"/>
  <c r="BA56" i="7"/>
  <c r="AL57" i="7"/>
  <c r="AM57" i="7"/>
  <c r="AN57" i="7"/>
  <c r="AO57" i="7"/>
  <c r="AP57" i="7"/>
  <c r="AQ57" i="7"/>
  <c r="AR57" i="7"/>
  <c r="AS57" i="7"/>
  <c r="AT57" i="7"/>
  <c r="AU57" i="7"/>
  <c r="AV57" i="7"/>
  <c r="AW57" i="7"/>
  <c r="AX57" i="7"/>
  <c r="AY57" i="7"/>
  <c r="AZ57" i="7"/>
  <c r="BA57" i="7"/>
  <c r="AL58" i="7"/>
  <c r="AM58" i="7"/>
  <c r="AN58" i="7"/>
  <c r="AO58" i="7"/>
  <c r="AP58" i="7"/>
  <c r="AQ58" i="7"/>
  <c r="AR58" i="7"/>
  <c r="AS58" i="7"/>
  <c r="AT58" i="7"/>
  <c r="AU58" i="7"/>
  <c r="AV58" i="7"/>
  <c r="AW58" i="7"/>
  <c r="AX58" i="7"/>
  <c r="AY58" i="7"/>
  <c r="AZ58" i="7"/>
  <c r="BA58" i="7"/>
  <c r="AL59" i="7"/>
  <c r="AM59" i="7"/>
  <c r="AN59" i="7"/>
  <c r="AO59" i="7"/>
  <c r="AP59" i="7"/>
  <c r="AQ59" i="7"/>
  <c r="AR59" i="7"/>
  <c r="AS59" i="7"/>
  <c r="AT59" i="7"/>
  <c r="AU59" i="7"/>
  <c r="AV59" i="7"/>
  <c r="AW59" i="7"/>
  <c r="AX59" i="7"/>
  <c r="AY59" i="7"/>
  <c r="AZ59" i="7"/>
  <c r="BA59" i="7"/>
  <c r="AL60" i="7"/>
  <c r="AM60" i="7"/>
  <c r="AN60" i="7"/>
  <c r="AO60" i="7"/>
  <c r="AP60" i="7"/>
  <c r="AQ60" i="7"/>
  <c r="AR60" i="7"/>
  <c r="AS60" i="7"/>
  <c r="AT60" i="7"/>
  <c r="AU60" i="7"/>
  <c r="AV60" i="7"/>
  <c r="AW60" i="7"/>
  <c r="AX60" i="7"/>
  <c r="AY60" i="7"/>
  <c r="AZ60" i="7"/>
  <c r="BA60" i="7"/>
  <c r="AL61" i="7"/>
  <c r="AM61" i="7"/>
  <c r="AN61" i="7"/>
  <c r="AO61" i="7"/>
  <c r="AP61" i="7"/>
  <c r="AQ61" i="7"/>
  <c r="AR61" i="7"/>
  <c r="AS61" i="7"/>
  <c r="AT61" i="7"/>
  <c r="AU61" i="7"/>
  <c r="AV61" i="7"/>
  <c r="AW61" i="7"/>
  <c r="AX61" i="7"/>
  <c r="AY61" i="7"/>
  <c r="AZ61" i="7"/>
  <c r="BA61" i="7"/>
  <c r="AL62" i="7"/>
  <c r="AM62" i="7"/>
  <c r="AN62" i="7"/>
  <c r="AO62" i="7"/>
  <c r="AP62" i="7"/>
  <c r="AQ62" i="7"/>
  <c r="AR62" i="7"/>
  <c r="AS62" i="7"/>
  <c r="AT62" i="7"/>
  <c r="AU62" i="7"/>
  <c r="AV62" i="7"/>
  <c r="AW62" i="7"/>
  <c r="AX62" i="7"/>
  <c r="AY62" i="7"/>
  <c r="AZ62" i="7"/>
  <c r="BA62" i="7"/>
  <c r="AL63" i="7"/>
  <c r="AM63" i="7"/>
  <c r="AN63" i="7"/>
  <c r="AO63" i="7"/>
  <c r="AP63" i="7"/>
  <c r="AQ63" i="7"/>
  <c r="AR63" i="7"/>
  <c r="AS63" i="7"/>
  <c r="AT63" i="7"/>
  <c r="AU63" i="7"/>
  <c r="AV63" i="7"/>
  <c r="AW63" i="7"/>
  <c r="AX63" i="7"/>
  <c r="AY63" i="7"/>
  <c r="AZ63" i="7"/>
  <c r="BA63" i="7"/>
  <c r="AL64" i="7"/>
  <c r="AM64" i="7"/>
  <c r="AN64" i="7"/>
  <c r="AO64" i="7"/>
  <c r="AP64" i="7"/>
  <c r="AQ64" i="7"/>
  <c r="AR64" i="7"/>
  <c r="AS64" i="7"/>
  <c r="AT64" i="7"/>
  <c r="AU64" i="7"/>
  <c r="AV64" i="7"/>
  <c r="AW64" i="7"/>
  <c r="AX64" i="7"/>
  <c r="AY64" i="7"/>
  <c r="AZ64" i="7"/>
  <c r="BA64" i="7"/>
  <c r="AL65" i="7"/>
  <c r="AM65" i="7"/>
  <c r="AN65" i="7"/>
  <c r="AO65" i="7"/>
  <c r="AP65" i="7"/>
  <c r="AQ65" i="7"/>
  <c r="AR65" i="7"/>
  <c r="AS65" i="7"/>
  <c r="AT65" i="7"/>
  <c r="AU65" i="7"/>
  <c r="AV65" i="7"/>
  <c r="AW65" i="7"/>
  <c r="AX65" i="7"/>
  <c r="AY65" i="7"/>
  <c r="AZ65" i="7"/>
  <c r="BA65" i="7"/>
  <c r="AL66" i="7"/>
  <c r="AM66" i="7"/>
  <c r="AN66" i="7"/>
  <c r="AO66" i="7"/>
  <c r="AP66" i="7"/>
  <c r="AQ66" i="7"/>
  <c r="AR66" i="7"/>
  <c r="AS66" i="7"/>
  <c r="AT66" i="7"/>
  <c r="AU66" i="7"/>
  <c r="AV66" i="7"/>
  <c r="AW66" i="7"/>
  <c r="AX66" i="7"/>
  <c r="AY66" i="7"/>
  <c r="AZ66" i="7"/>
  <c r="BA66" i="7"/>
  <c r="AL67" i="7"/>
  <c r="AM67" i="7"/>
  <c r="AN67" i="7"/>
  <c r="AO67" i="7"/>
  <c r="AP67" i="7"/>
  <c r="AQ67" i="7"/>
  <c r="AR67" i="7"/>
  <c r="AS67" i="7"/>
  <c r="AT67" i="7"/>
  <c r="AU67" i="7"/>
  <c r="AV67" i="7"/>
  <c r="AW67" i="7"/>
  <c r="AX67" i="7"/>
  <c r="AY67" i="7"/>
  <c r="AZ67" i="7"/>
  <c r="BA67" i="7"/>
  <c r="AL68" i="7"/>
  <c r="AM68" i="7"/>
  <c r="AN68" i="7"/>
  <c r="AO68" i="7"/>
  <c r="AP68" i="7"/>
  <c r="AQ68" i="7"/>
  <c r="AR68" i="7"/>
  <c r="AS68" i="7"/>
  <c r="AT68" i="7"/>
  <c r="AU68" i="7"/>
  <c r="AV68" i="7"/>
  <c r="AW68" i="7"/>
  <c r="AX68" i="7"/>
  <c r="AY68" i="7"/>
  <c r="AZ68" i="7"/>
  <c r="BA68" i="7"/>
  <c r="AL69" i="7"/>
  <c r="AM69" i="7"/>
  <c r="AN69" i="7"/>
  <c r="AO69" i="7"/>
  <c r="AP69" i="7"/>
  <c r="AQ69" i="7"/>
  <c r="AR69" i="7"/>
  <c r="AS69" i="7"/>
  <c r="AT69" i="7"/>
  <c r="AU69" i="7"/>
  <c r="AV69" i="7"/>
  <c r="AW69" i="7"/>
  <c r="AX69" i="7"/>
  <c r="AY69" i="7"/>
  <c r="AZ69" i="7"/>
  <c r="BA69" i="7"/>
  <c r="AL70" i="7"/>
  <c r="AM70" i="7"/>
  <c r="AN70" i="7"/>
  <c r="AO70" i="7"/>
  <c r="AP70" i="7"/>
  <c r="AQ70" i="7"/>
  <c r="AR70" i="7"/>
  <c r="AS70" i="7"/>
  <c r="AT70" i="7"/>
  <c r="AU70" i="7"/>
  <c r="AV70" i="7"/>
  <c r="AW70" i="7"/>
  <c r="AX70" i="7"/>
  <c r="AY70" i="7"/>
  <c r="AZ70" i="7"/>
  <c r="BA70" i="7"/>
  <c r="AL71" i="7"/>
  <c r="AM71" i="7"/>
  <c r="AN71" i="7"/>
  <c r="AO71" i="7"/>
  <c r="AP71" i="7"/>
  <c r="AQ71" i="7"/>
  <c r="AR71" i="7"/>
  <c r="AS71" i="7"/>
  <c r="AT71" i="7"/>
  <c r="AU71" i="7"/>
  <c r="AV71" i="7"/>
  <c r="AW71" i="7"/>
  <c r="AX71" i="7"/>
  <c r="AY71" i="7"/>
  <c r="AZ71" i="7"/>
  <c r="BA71" i="7"/>
  <c r="AL72" i="7"/>
  <c r="AM72" i="7"/>
  <c r="AN72" i="7"/>
  <c r="AO72" i="7"/>
  <c r="AP72" i="7"/>
  <c r="AQ72" i="7"/>
  <c r="AR72" i="7"/>
  <c r="AS72" i="7"/>
  <c r="AT72" i="7"/>
  <c r="AU72" i="7"/>
  <c r="AV72" i="7"/>
  <c r="AW72" i="7"/>
  <c r="AX72" i="7"/>
  <c r="AY72" i="7"/>
  <c r="AZ72" i="7"/>
  <c r="BA72" i="7"/>
  <c r="AL73" i="7"/>
  <c r="AM73" i="7"/>
  <c r="AN73" i="7"/>
  <c r="AO73" i="7"/>
  <c r="AP73" i="7"/>
  <c r="AQ73" i="7"/>
  <c r="AR73" i="7"/>
  <c r="AS73" i="7"/>
  <c r="AT73" i="7"/>
  <c r="AU73" i="7"/>
  <c r="AV73" i="7"/>
  <c r="AW73" i="7"/>
  <c r="AX73" i="7"/>
  <c r="AY73" i="7"/>
  <c r="AZ73" i="7"/>
  <c r="BA73" i="7"/>
  <c r="AL74" i="7"/>
  <c r="AM74" i="7"/>
  <c r="AN74" i="7"/>
  <c r="AO74" i="7"/>
  <c r="AP74" i="7"/>
  <c r="AQ74" i="7"/>
  <c r="AR74" i="7"/>
  <c r="AS74" i="7"/>
  <c r="AT74" i="7"/>
  <c r="AU74" i="7"/>
  <c r="AV74" i="7"/>
  <c r="AW74" i="7"/>
  <c r="AX74" i="7"/>
  <c r="AY74" i="7"/>
  <c r="AZ74" i="7"/>
  <c r="BA74" i="7"/>
  <c r="AL75" i="7"/>
  <c r="AM75" i="7"/>
  <c r="AN75" i="7"/>
  <c r="AO75" i="7"/>
  <c r="AP75" i="7"/>
  <c r="AQ75" i="7"/>
  <c r="AR75" i="7"/>
  <c r="AS75" i="7"/>
  <c r="AT75" i="7"/>
  <c r="AU75" i="7"/>
  <c r="AV75" i="7"/>
  <c r="AW75" i="7"/>
  <c r="AX75" i="7"/>
  <c r="AY75" i="7"/>
  <c r="AZ75" i="7"/>
  <c r="BA75" i="7"/>
  <c r="AL76" i="7"/>
  <c r="AM76" i="7"/>
  <c r="AN76" i="7"/>
  <c r="AO76" i="7"/>
  <c r="AP76" i="7"/>
  <c r="AQ76" i="7"/>
  <c r="AR76" i="7"/>
  <c r="AS76" i="7"/>
  <c r="AT76" i="7"/>
  <c r="AU76" i="7"/>
  <c r="AV76" i="7"/>
  <c r="AW76" i="7"/>
  <c r="AX76" i="7"/>
  <c r="AY76" i="7"/>
  <c r="AZ76" i="7"/>
  <c r="BA76" i="7"/>
  <c r="AL77" i="7"/>
  <c r="AM77" i="7"/>
  <c r="AN77" i="7"/>
  <c r="AO77" i="7"/>
  <c r="AP77" i="7"/>
  <c r="AQ77" i="7"/>
  <c r="AR77" i="7"/>
  <c r="AS77" i="7"/>
  <c r="AT77" i="7"/>
  <c r="AU77" i="7"/>
  <c r="AV77" i="7"/>
  <c r="AW77" i="7"/>
  <c r="AX77" i="7"/>
  <c r="AY77" i="7"/>
  <c r="AZ77" i="7"/>
  <c r="BA77" i="7"/>
  <c r="AL78" i="7"/>
  <c r="AM78" i="7"/>
  <c r="AN78" i="7"/>
  <c r="AO78" i="7"/>
  <c r="AP78" i="7"/>
  <c r="AQ78" i="7"/>
  <c r="AR78" i="7"/>
  <c r="AS78" i="7"/>
  <c r="AT78" i="7"/>
  <c r="AU78" i="7"/>
  <c r="AV78" i="7"/>
  <c r="AW78" i="7"/>
  <c r="AX78" i="7"/>
  <c r="AY78" i="7"/>
  <c r="AZ78" i="7"/>
  <c r="BA78" i="7"/>
  <c r="AL79" i="7"/>
  <c r="AM79" i="7"/>
  <c r="AN79" i="7"/>
  <c r="AO79" i="7"/>
  <c r="AP79" i="7"/>
  <c r="AQ79" i="7"/>
  <c r="AR79" i="7"/>
  <c r="AS79" i="7"/>
  <c r="AT79" i="7"/>
  <c r="AU79" i="7"/>
  <c r="AV79" i="7"/>
  <c r="AW79" i="7"/>
  <c r="AX79" i="7"/>
  <c r="AY79" i="7"/>
  <c r="AZ79" i="7"/>
  <c r="BA79" i="7"/>
  <c r="AL80" i="7"/>
  <c r="AM80" i="7"/>
  <c r="AN80" i="7"/>
  <c r="AO80" i="7"/>
  <c r="AP80" i="7"/>
  <c r="AQ80" i="7"/>
  <c r="AR80" i="7"/>
  <c r="AS80" i="7"/>
  <c r="AT80" i="7"/>
  <c r="AU80" i="7"/>
  <c r="AV80" i="7"/>
  <c r="AW80" i="7"/>
  <c r="AX80" i="7"/>
  <c r="AY80" i="7"/>
  <c r="AZ80" i="7"/>
  <c r="BA80" i="7"/>
  <c r="AL81" i="7"/>
  <c r="AM81" i="7"/>
  <c r="AN81" i="7"/>
  <c r="AO81" i="7"/>
  <c r="AP81" i="7"/>
  <c r="AQ81" i="7"/>
  <c r="AR81" i="7"/>
  <c r="AS81" i="7"/>
  <c r="AT81" i="7"/>
  <c r="AU81" i="7"/>
  <c r="AV81" i="7"/>
  <c r="AW81" i="7"/>
  <c r="AX81" i="7"/>
  <c r="AY81" i="7"/>
  <c r="AZ81" i="7"/>
  <c r="BA81" i="7"/>
  <c r="AL82" i="7"/>
  <c r="AM82" i="7"/>
  <c r="AN82" i="7"/>
  <c r="AO82" i="7"/>
  <c r="AP82" i="7"/>
  <c r="AQ82" i="7"/>
  <c r="AR82" i="7"/>
  <c r="AS82" i="7"/>
  <c r="AT82" i="7"/>
  <c r="AU82" i="7"/>
  <c r="AV82" i="7"/>
  <c r="AW82" i="7"/>
  <c r="AX82" i="7"/>
  <c r="AY82" i="7"/>
  <c r="AZ82" i="7"/>
  <c r="BA82" i="7"/>
  <c r="AL83" i="7"/>
  <c r="AM83" i="7"/>
  <c r="AN83" i="7"/>
  <c r="AO83" i="7"/>
  <c r="AP83" i="7"/>
  <c r="AQ83" i="7"/>
  <c r="AR83" i="7"/>
  <c r="AS83" i="7"/>
  <c r="AT83" i="7"/>
  <c r="AU83" i="7"/>
  <c r="AV83" i="7"/>
  <c r="AW83" i="7"/>
  <c r="AX83" i="7"/>
  <c r="AY83" i="7"/>
  <c r="AZ83" i="7"/>
  <c r="BA83" i="7"/>
  <c r="AL84" i="7"/>
  <c r="AM84" i="7"/>
  <c r="AN84" i="7"/>
  <c r="AO84" i="7"/>
  <c r="AP84" i="7"/>
  <c r="AQ84" i="7"/>
  <c r="AR84" i="7"/>
  <c r="AS84" i="7"/>
  <c r="AT84" i="7"/>
  <c r="AU84" i="7"/>
  <c r="AV84" i="7"/>
  <c r="AW84" i="7"/>
  <c r="AX84" i="7"/>
  <c r="AY84" i="7"/>
  <c r="AZ84" i="7"/>
  <c r="BA84" i="7"/>
  <c r="AL85" i="7"/>
  <c r="AM85" i="7"/>
  <c r="AN85" i="7"/>
  <c r="AO85" i="7"/>
  <c r="AP85" i="7"/>
  <c r="AQ85" i="7"/>
  <c r="AR85" i="7"/>
  <c r="AS85" i="7"/>
  <c r="AT85" i="7"/>
  <c r="AU85" i="7"/>
  <c r="AV85" i="7"/>
  <c r="AW85" i="7"/>
  <c r="AX85" i="7"/>
  <c r="AY85" i="7"/>
  <c r="AZ85" i="7"/>
  <c r="BA85" i="7"/>
  <c r="AL86" i="7"/>
  <c r="AM86" i="7"/>
  <c r="AN86" i="7"/>
  <c r="AO86" i="7"/>
  <c r="AP86" i="7"/>
  <c r="AQ86" i="7"/>
  <c r="AR86" i="7"/>
  <c r="AS86" i="7"/>
  <c r="AT86" i="7"/>
  <c r="AU86" i="7"/>
  <c r="AV86" i="7"/>
  <c r="AW86" i="7"/>
  <c r="AX86" i="7"/>
  <c r="AY86" i="7"/>
  <c r="AZ86" i="7"/>
  <c r="BA86" i="7"/>
  <c r="AL87" i="7"/>
  <c r="AM87" i="7"/>
  <c r="AN87" i="7"/>
  <c r="AO87" i="7"/>
  <c r="AP87" i="7"/>
  <c r="AQ87" i="7"/>
  <c r="AR87" i="7"/>
  <c r="AS87" i="7"/>
  <c r="AT87" i="7"/>
  <c r="AU87" i="7"/>
  <c r="AV87" i="7"/>
  <c r="AW87" i="7"/>
  <c r="AX87" i="7"/>
  <c r="AY87" i="7"/>
  <c r="AZ87" i="7"/>
  <c r="BA87" i="7"/>
  <c r="AL88" i="7"/>
  <c r="AM88" i="7"/>
  <c r="AN88" i="7"/>
  <c r="AO88" i="7"/>
  <c r="AP88" i="7"/>
  <c r="AQ88" i="7"/>
  <c r="AR88" i="7"/>
  <c r="AS88" i="7"/>
  <c r="AT88" i="7"/>
  <c r="AU88" i="7"/>
  <c r="AV88" i="7"/>
  <c r="AW88" i="7"/>
  <c r="AX88" i="7"/>
  <c r="AY88" i="7"/>
  <c r="AZ88" i="7"/>
  <c r="BA88" i="7"/>
  <c r="AL89" i="7"/>
  <c r="AM89" i="7"/>
  <c r="AN89" i="7"/>
  <c r="AO89" i="7"/>
  <c r="AP89" i="7"/>
  <c r="AQ89" i="7"/>
  <c r="AR89" i="7"/>
  <c r="AS89" i="7"/>
  <c r="AT89" i="7"/>
  <c r="AU89" i="7"/>
  <c r="AV89" i="7"/>
  <c r="AW89" i="7"/>
  <c r="AX89" i="7"/>
  <c r="AY89" i="7"/>
  <c r="AZ89" i="7"/>
  <c r="BA89" i="7"/>
  <c r="AL90" i="7"/>
  <c r="AM90" i="7"/>
  <c r="AN90" i="7"/>
  <c r="AO90" i="7"/>
  <c r="AP90" i="7"/>
  <c r="AQ90" i="7"/>
  <c r="AR90" i="7"/>
  <c r="AS90" i="7"/>
  <c r="AT90" i="7"/>
  <c r="AU90" i="7"/>
  <c r="AV90" i="7"/>
  <c r="AW90" i="7"/>
  <c r="AX90" i="7"/>
  <c r="AY90" i="7"/>
  <c r="AZ90" i="7"/>
  <c r="BA90" i="7"/>
  <c r="AL91" i="7"/>
  <c r="AM91" i="7"/>
  <c r="AN91" i="7"/>
  <c r="AO91" i="7"/>
  <c r="AP91" i="7"/>
  <c r="AQ91" i="7"/>
  <c r="AR91" i="7"/>
  <c r="AS91" i="7"/>
  <c r="AT91" i="7"/>
  <c r="AU91" i="7"/>
  <c r="AV91" i="7"/>
  <c r="AW91" i="7"/>
  <c r="AX91" i="7"/>
  <c r="AY91" i="7"/>
  <c r="AZ91" i="7"/>
  <c r="BA91" i="7"/>
  <c r="AL92" i="7"/>
  <c r="AM92" i="7"/>
  <c r="AN92" i="7"/>
  <c r="AO92" i="7"/>
  <c r="AP92" i="7"/>
  <c r="AQ92" i="7"/>
  <c r="AR92" i="7"/>
  <c r="AS92" i="7"/>
  <c r="AT92" i="7"/>
  <c r="AU92" i="7"/>
  <c r="AV92" i="7"/>
  <c r="AW92" i="7"/>
  <c r="AX92" i="7"/>
  <c r="AY92" i="7"/>
  <c r="AZ92" i="7"/>
  <c r="BA92" i="7"/>
  <c r="AL93" i="7"/>
  <c r="AM93" i="7"/>
  <c r="AN93" i="7"/>
  <c r="AO93" i="7"/>
  <c r="AP93" i="7"/>
  <c r="AQ93" i="7"/>
  <c r="AR93" i="7"/>
  <c r="AS93" i="7"/>
  <c r="AT93" i="7"/>
  <c r="AU93" i="7"/>
  <c r="AV93" i="7"/>
  <c r="AW93" i="7"/>
  <c r="AX93" i="7"/>
  <c r="AY93" i="7"/>
  <c r="AZ93" i="7"/>
  <c r="BA93" i="7"/>
  <c r="AL94" i="7"/>
  <c r="AM94" i="7"/>
  <c r="AN94" i="7"/>
  <c r="AO94" i="7"/>
  <c r="AP94" i="7"/>
  <c r="AQ94" i="7"/>
  <c r="AR94" i="7"/>
  <c r="AS94" i="7"/>
  <c r="AT94" i="7"/>
  <c r="AU94" i="7"/>
  <c r="AV94" i="7"/>
  <c r="AW94" i="7"/>
  <c r="AX94" i="7"/>
  <c r="AY94" i="7"/>
  <c r="AZ94" i="7"/>
  <c r="BA94" i="7"/>
  <c r="AL95" i="7"/>
  <c r="AM95" i="7"/>
  <c r="AN95" i="7"/>
  <c r="AO95" i="7"/>
  <c r="AP95" i="7"/>
  <c r="AQ95" i="7"/>
  <c r="AR95" i="7"/>
  <c r="AS95" i="7"/>
  <c r="AT95" i="7"/>
  <c r="AU95" i="7"/>
  <c r="AV95" i="7"/>
  <c r="AW95" i="7"/>
  <c r="AX95" i="7"/>
  <c r="AY95" i="7"/>
  <c r="AZ95" i="7"/>
  <c r="BA95" i="7"/>
  <c r="AL96" i="7"/>
  <c r="AM96" i="7"/>
  <c r="AN96" i="7"/>
  <c r="AO96" i="7"/>
  <c r="AP96" i="7"/>
  <c r="AQ96" i="7"/>
  <c r="AR96" i="7"/>
  <c r="AS96" i="7"/>
  <c r="AT96" i="7"/>
  <c r="AU96" i="7"/>
  <c r="AV96" i="7"/>
  <c r="AW96" i="7"/>
  <c r="AX96" i="7"/>
  <c r="AY96" i="7"/>
  <c r="AZ96" i="7"/>
  <c r="BA96" i="7"/>
  <c r="AL97" i="7"/>
  <c r="AM97" i="7"/>
  <c r="AN97" i="7"/>
  <c r="AO97" i="7"/>
  <c r="AP97" i="7"/>
  <c r="AQ97" i="7"/>
  <c r="AR97" i="7"/>
  <c r="AS97" i="7"/>
  <c r="AT97" i="7"/>
  <c r="AU97" i="7"/>
  <c r="AV97" i="7"/>
  <c r="AW97" i="7"/>
  <c r="AX97" i="7"/>
  <c r="AY97" i="7"/>
  <c r="AZ97" i="7"/>
  <c r="BA97" i="7"/>
  <c r="AL98" i="7"/>
  <c r="AM98" i="7"/>
  <c r="AN98" i="7"/>
  <c r="AO98" i="7"/>
  <c r="AP98" i="7"/>
  <c r="AQ98" i="7"/>
  <c r="AR98" i="7"/>
  <c r="AS98" i="7"/>
  <c r="AT98" i="7"/>
  <c r="AU98" i="7"/>
  <c r="AV98" i="7"/>
  <c r="AW98" i="7"/>
  <c r="AX98" i="7"/>
  <c r="AY98" i="7"/>
  <c r="AZ98" i="7"/>
  <c r="BA98" i="7"/>
  <c r="AL99" i="7"/>
  <c r="AM99" i="7"/>
  <c r="AN99" i="7"/>
  <c r="AO99" i="7"/>
  <c r="AP99" i="7"/>
  <c r="AQ99" i="7"/>
  <c r="AR99" i="7"/>
  <c r="AS99" i="7"/>
  <c r="AT99" i="7"/>
  <c r="AU99" i="7"/>
  <c r="AV99" i="7"/>
  <c r="AW99" i="7"/>
  <c r="AX99" i="7"/>
  <c r="AY99" i="7"/>
  <c r="AZ99" i="7"/>
  <c r="BA99" i="7"/>
  <c r="AL100" i="7"/>
  <c r="AM100" i="7"/>
  <c r="AN100" i="7"/>
  <c r="AO100" i="7"/>
  <c r="AP100" i="7"/>
  <c r="AQ100" i="7"/>
  <c r="AR100" i="7"/>
  <c r="AS100" i="7"/>
  <c r="AT100" i="7"/>
  <c r="AU100" i="7"/>
  <c r="AV100" i="7"/>
  <c r="AW100" i="7"/>
  <c r="AX100" i="7"/>
  <c r="AY100" i="7"/>
  <c r="AZ100" i="7"/>
  <c r="BA100" i="7"/>
  <c r="AL101" i="7"/>
  <c r="AM101" i="7"/>
  <c r="AN101" i="7"/>
  <c r="AO101" i="7"/>
  <c r="AP101" i="7"/>
  <c r="AQ101" i="7"/>
  <c r="AR101" i="7"/>
  <c r="AS101" i="7"/>
  <c r="AT101" i="7"/>
  <c r="AU101" i="7"/>
  <c r="AV101" i="7"/>
  <c r="AW101" i="7"/>
  <c r="AX101" i="7"/>
  <c r="AY101" i="7"/>
  <c r="AZ101" i="7"/>
  <c r="BA101" i="7"/>
  <c r="AL102" i="7"/>
  <c r="AM102" i="7"/>
  <c r="AN102" i="7"/>
  <c r="AO102" i="7"/>
  <c r="AP102" i="7"/>
  <c r="AQ102" i="7"/>
  <c r="AR102" i="7"/>
  <c r="AS102" i="7"/>
  <c r="AT102" i="7"/>
  <c r="AU102" i="7"/>
  <c r="AV102" i="7"/>
  <c r="AW102" i="7"/>
  <c r="AX102" i="7"/>
  <c r="AY102" i="7"/>
  <c r="AZ102" i="7"/>
  <c r="BA102" i="7"/>
  <c r="AL103" i="7"/>
  <c r="AM103" i="7"/>
  <c r="AN103" i="7"/>
  <c r="AO103" i="7"/>
  <c r="AP103" i="7"/>
  <c r="AQ103" i="7"/>
  <c r="AR103" i="7"/>
  <c r="AS103" i="7"/>
  <c r="AT103" i="7"/>
  <c r="AU103" i="7"/>
  <c r="AV103" i="7"/>
  <c r="AW103" i="7"/>
  <c r="AX103" i="7"/>
  <c r="AY103" i="7"/>
  <c r="AZ103" i="7"/>
  <c r="BA103" i="7"/>
  <c r="AL104" i="7"/>
  <c r="AM104" i="7"/>
  <c r="AN104" i="7"/>
  <c r="AO104" i="7"/>
  <c r="AP104" i="7"/>
  <c r="AQ104" i="7"/>
  <c r="AR104" i="7"/>
  <c r="AS104" i="7"/>
  <c r="AT104" i="7"/>
  <c r="AU104" i="7"/>
  <c r="AV104" i="7"/>
  <c r="AW104" i="7"/>
  <c r="AX104" i="7"/>
  <c r="AY104" i="7"/>
  <c r="AZ104" i="7"/>
  <c r="BA104" i="7"/>
  <c r="AL105" i="7"/>
  <c r="AM105" i="7"/>
  <c r="AN105" i="7"/>
  <c r="AO105" i="7"/>
  <c r="AP105" i="7"/>
  <c r="AQ105" i="7"/>
  <c r="AR105" i="7"/>
  <c r="AS105" i="7"/>
  <c r="AT105" i="7"/>
  <c r="AU105" i="7"/>
  <c r="AV105" i="7"/>
  <c r="AW105" i="7"/>
  <c r="AX105" i="7"/>
  <c r="AY105" i="7"/>
  <c r="AZ105" i="7"/>
  <c r="BA105" i="7"/>
  <c r="AL106" i="7"/>
  <c r="AM106" i="7"/>
  <c r="AN106" i="7"/>
  <c r="AO106" i="7"/>
  <c r="AP106" i="7"/>
  <c r="AQ106" i="7"/>
  <c r="AR106" i="7"/>
  <c r="AS106" i="7"/>
  <c r="AT106" i="7"/>
  <c r="AU106" i="7"/>
  <c r="AV106" i="7"/>
  <c r="AW106" i="7"/>
  <c r="AX106" i="7"/>
  <c r="AY106" i="7"/>
  <c r="AZ106" i="7"/>
  <c r="BA106" i="7"/>
  <c r="AL107" i="7"/>
  <c r="AM107" i="7"/>
  <c r="AN107" i="7"/>
  <c r="AO107" i="7"/>
  <c r="AP107" i="7"/>
  <c r="AQ107" i="7"/>
  <c r="AR107" i="7"/>
  <c r="AS107" i="7"/>
  <c r="AT107" i="7"/>
  <c r="AU107" i="7"/>
  <c r="AV107" i="7"/>
  <c r="AW107" i="7"/>
  <c r="AX107" i="7"/>
  <c r="AY107" i="7"/>
  <c r="AZ107" i="7"/>
  <c r="BA107" i="7"/>
  <c r="AL108" i="7"/>
  <c r="AM108" i="7"/>
  <c r="AN108" i="7"/>
  <c r="AO108" i="7"/>
  <c r="AP108" i="7"/>
  <c r="AQ108" i="7"/>
  <c r="AR108" i="7"/>
  <c r="AS108" i="7"/>
  <c r="AT108" i="7"/>
  <c r="AU108" i="7"/>
  <c r="AV108" i="7"/>
  <c r="AW108" i="7"/>
  <c r="AX108" i="7"/>
  <c r="AY108" i="7"/>
  <c r="AZ108" i="7"/>
  <c r="BA108" i="7"/>
  <c r="AL109" i="7"/>
  <c r="AM109" i="7"/>
  <c r="AN109" i="7"/>
  <c r="AO109" i="7"/>
  <c r="AP109" i="7"/>
  <c r="AQ109" i="7"/>
  <c r="AR109" i="7"/>
  <c r="AS109" i="7"/>
  <c r="AT109" i="7"/>
  <c r="AU109" i="7"/>
  <c r="AV109" i="7"/>
  <c r="AW109" i="7"/>
  <c r="AX109" i="7"/>
  <c r="AY109" i="7"/>
  <c r="AZ109" i="7"/>
  <c r="BA109" i="7"/>
  <c r="AL110" i="7"/>
  <c r="AM110" i="7"/>
  <c r="AN110" i="7"/>
  <c r="AO110" i="7"/>
  <c r="AP110" i="7"/>
  <c r="AQ110" i="7"/>
  <c r="AR110" i="7"/>
  <c r="AS110" i="7"/>
  <c r="AT110" i="7"/>
  <c r="AU110" i="7"/>
  <c r="AV110" i="7"/>
  <c r="AW110" i="7"/>
  <c r="AX110" i="7"/>
  <c r="AY110" i="7"/>
  <c r="AZ110" i="7"/>
  <c r="BA110" i="7"/>
  <c r="AL111" i="7"/>
  <c r="AM111" i="7"/>
  <c r="AN111" i="7"/>
  <c r="AO111" i="7"/>
  <c r="AP111" i="7"/>
  <c r="AQ111" i="7"/>
  <c r="AR111" i="7"/>
  <c r="AS111" i="7"/>
  <c r="AT111" i="7"/>
  <c r="AU111" i="7"/>
  <c r="AV111" i="7"/>
  <c r="AW111" i="7"/>
  <c r="AX111" i="7"/>
  <c r="AY111" i="7"/>
  <c r="AZ111" i="7"/>
  <c r="BA111" i="7"/>
  <c r="AL112" i="7"/>
  <c r="AM112" i="7"/>
  <c r="AN112" i="7"/>
  <c r="AO112" i="7"/>
  <c r="AP112" i="7"/>
  <c r="AQ112" i="7"/>
  <c r="AR112" i="7"/>
  <c r="AS112" i="7"/>
  <c r="AT112" i="7"/>
  <c r="AU112" i="7"/>
  <c r="AV112" i="7"/>
  <c r="AW112" i="7"/>
  <c r="AX112" i="7"/>
  <c r="AY112" i="7"/>
  <c r="AZ112" i="7"/>
  <c r="BA112" i="7"/>
  <c r="BA2" i="7"/>
  <c r="AZ2" i="7"/>
  <c r="AY2" i="7"/>
  <c r="AX2" i="7"/>
  <c r="AW2" i="7"/>
  <c r="AV2" i="7"/>
  <c r="AU2" i="7"/>
  <c r="AT2" i="7"/>
  <c r="AS2" i="7"/>
  <c r="AR2" i="7"/>
  <c r="AQ2" i="7"/>
  <c r="AP2" i="7"/>
  <c r="AO2" i="7"/>
  <c r="AN2" i="7"/>
  <c r="AM2" i="7"/>
  <c r="AL2" i="7"/>
  <c r="AJ3" i="7"/>
  <c r="AK3" i="7"/>
  <c r="AJ4" i="7"/>
  <c r="AK4" i="7"/>
  <c r="AJ5" i="7"/>
  <c r="AK5" i="7"/>
  <c r="AJ6" i="7"/>
  <c r="AK6" i="7"/>
  <c r="AJ7" i="7"/>
  <c r="AK7" i="7"/>
  <c r="AJ8" i="7"/>
  <c r="AK8" i="7"/>
  <c r="AJ9" i="7"/>
  <c r="AK9" i="7"/>
  <c r="AJ10" i="7"/>
  <c r="AK10" i="7"/>
  <c r="AJ11" i="7"/>
  <c r="AK11" i="7"/>
  <c r="AJ12" i="7"/>
  <c r="AK12" i="7"/>
  <c r="AJ13" i="7"/>
  <c r="AK13" i="7"/>
  <c r="AJ14" i="7"/>
  <c r="AK14" i="7"/>
  <c r="AJ15" i="7"/>
  <c r="AK15" i="7"/>
  <c r="AJ16" i="7"/>
  <c r="AK16" i="7"/>
  <c r="AJ17" i="7"/>
  <c r="AK17" i="7"/>
  <c r="AJ18" i="7"/>
  <c r="AK18" i="7"/>
  <c r="AJ19" i="7"/>
  <c r="AK19" i="7"/>
  <c r="AJ20" i="7"/>
  <c r="AK20" i="7"/>
  <c r="AJ21" i="7"/>
  <c r="AK21" i="7"/>
  <c r="AJ22" i="7"/>
  <c r="AK22" i="7"/>
  <c r="AJ23" i="7"/>
  <c r="AK23" i="7"/>
  <c r="AJ24" i="7"/>
  <c r="AK24" i="7"/>
  <c r="AJ25" i="7"/>
  <c r="AK25" i="7"/>
  <c r="AJ26" i="7"/>
  <c r="AK26" i="7"/>
  <c r="AJ27" i="7"/>
  <c r="AK27" i="7"/>
  <c r="AJ28" i="7"/>
  <c r="AK28" i="7"/>
  <c r="AJ29" i="7"/>
  <c r="AK29" i="7"/>
  <c r="AJ30" i="7"/>
  <c r="AK30" i="7"/>
  <c r="AJ31" i="7"/>
  <c r="AK31" i="7"/>
  <c r="AJ32" i="7"/>
  <c r="AK32" i="7"/>
  <c r="AJ33" i="7"/>
  <c r="AK33" i="7"/>
  <c r="AJ34" i="7"/>
  <c r="AK34" i="7"/>
  <c r="AJ35" i="7"/>
  <c r="AK35" i="7"/>
  <c r="AJ36" i="7"/>
  <c r="AK36" i="7"/>
  <c r="AJ37" i="7"/>
  <c r="AK37" i="7"/>
  <c r="AJ38" i="7"/>
  <c r="AK38" i="7"/>
  <c r="AJ39" i="7"/>
  <c r="AK39" i="7"/>
  <c r="AJ40" i="7"/>
  <c r="AK40" i="7"/>
  <c r="AJ53" i="7"/>
  <c r="AK53" i="7"/>
  <c r="AJ54" i="7"/>
  <c r="AK54" i="7"/>
  <c r="AJ55" i="7"/>
  <c r="AK55" i="7"/>
  <c r="AJ56" i="7"/>
  <c r="AK56" i="7"/>
  <c r="AJ57" i="7"/>
  <c r="AK57" i="7"/>
  <c r="AJ58" i="7"/>
  <c r="AK58" i="7"/>
  <c r="AJ59" i="7"/>
  <c r="AK59" i="7"/>
  <c r="AJ60" i="7"/>
  <c r="AK60" i="7"/>
  <c r="AJ61" i="7"/>
  <c r="AK61" i="7"/>
  <c r="AJ62" i="7"/>
  <c r="AK62" i="7"/>
  <c r="AJ63" i="7"/>
  <c r="AK63" i="7"/>
  <c r="AJ64" i="7"/>
  <c r="AK64" i="7"/>
  <c r="AJ65" i="7"/>
  <c r="AK65" i="7"/>
  <c r="AJ66" i="7"/>
  <c r="AK66" i="7"/>
  <c r="AJ67" i="7"/>
  <c r="AK67" i="7"/>
  <c r="AJ68" i="7"/>
  <c r="AK68" i="7"/>
  <c r="AJ69" i="7"/>
  <c r="AK69" i="7"/>
  <c r="AJ70" i="7"/>
  <c r="AK70" i="7"/>
  <c r="AJ71" i="7"/>
  <c r="AK71" i="7"/>
  <c r="AJ72" i="7"/>
  <c r="AK72" i="7"/>
  <c r="AJ73" i="7"/>
  <c r="AK73" i="7"/>
  <c r="AJ74" i="7"/>
  <c r="AK74" i="7"/>
  <c r="AJ75" i="7"/>
  <c r="AK75" i="7"/>
  <c r="AJ76" i="7"/>
  <c r="AK76" i="7"/>
  <c r="AJ77" i="7"/>
  <c r="AK77" i="7"/>
  <c r="AJ78" i="7"/>
  <c r="AK78" i="7"/>
  <c r="AJ79" i="7"/>
  <c r="AK79" i="7"/>
  <c r="AJ80" i="7"/>
  <c r="AK80" i="7"/>
  <c r="AJ81" i="7"/>
  <c r="AK81" i="7"/>
  <c r="AJ82" i="7"/>
  <c r="AK82" i="7"/>
  <c r="AJ83" i="7"/>
  <c r="AK83" i="7"/>
  <c r="AJ84" i="7"/>
  <c r="AK84" i="7"/>
  <c r="AJ85" i="7"/>
  <c r="AK85" i="7"/>
  <c r="AJ86" i="7"/>
  <c r="AK86" i="7"/>
  <c r="AJ87" i="7"/>
  <c r="AK87" i="7"/>
  <c r="AJ88" i="7"/>
  <c r="AK88" i="7"/>
  <c r="AJ89" i="7"/>
  <c r="AK89" i="7"/>
  <c r="AJ90" i="7"/>
  <c r="AK90" i="7"/>
  <c r="AJ91" i="7"/>
  <c r="AK91" i="7"/>
  <c r="AJ92" i="7"/>
  <c r="AK92" i="7"/>
  <c r="AJ93" i="7"/>
  <c r="AK93" i="7"/>
  <c r="AJ94" i="7"/>
  <c r="AK94" i="7"/>
  <c r="AJ95" i="7"/>
  <c r="AK95" i="7"/>
  <c r="AJ96" i="7"/>
  <c r="AK96" i="7"/>
  <c r="AJ97" i="7"/>
  <c r="AK97" i="7"/>
  <c r="AJ98" i="7"/>
  <c r="AK98" i="7"/>
  <c r="AJ99" i="7"/>
  <c r="AK99" i="7"/>
  <c r="AJ100" i="7"/>
  <c r="AK100" i="7"/>
  <c r="AJ101" i="7"/>
  <c r="AK101" i="7"/>
  <c r="AJ102" i="7"/>
  <c r="AK102" i="7"/>
  <c r="AJ103" i="7"/>
  <c r="AK103" i="7"/>
  <c r="AJ104" i="7"/>
  <c r="AK104" i="7"/>
  <c r="AJ105" i="7"/>
  <c r="AK105" i="7"/>
  <c r="AJ106" i="7"/>
  <c r="AK106" i="7"/>
  <c r="AJ107" i="7"/>
  <c r="AK107" i="7"/>
  <c r="AJ108" i="7"/>
  <c r="AK108" i="7"/>
  <c r="AJ109" i="7"/>
  <c r="AK109" i="7"/>
  <c r="AJ110" i="7"/>
  <c r="AK110" i="7"/>
  <c r="AJ111" i="7"/>
  <c r="AK111" i="7"/>
  <c r="AJ112" i="7"/>
  <c r="AK112" i="7"/>
  <c r="AK2" i="7"/>
  <c r="AJ2" i="7"/>
  <c r="AI2" i="7"/>
  <c r="AH2" i="7"/>
  <c r="AI3" i="7"/>
  <c r="AI4" i="7"/>
  <c r="AI5" i="7"/>
  <c r="AI6" i="7"/>
  <c r="AI7" i="7"/>
  <c r="AI8" i="7"/>
  <c r="AI9" i="7"/>
  <c r="AI10" i="7"/>
  <c r="AI11" i="7"/>
  <c r="AI12" i="7"/>
  <c r="AI13" i="7"/>
  <c r="AI14" i="7"/>
  <c r="AI15" i="7"/>
  <c r="AI16" i="7"/>
  <c r="AI17" i="7"/>
  <c r="AI18" i="7"/>
  <c r="AI19" i="7"/>
  <c r="AI20" i="7"/>
  <c r="AI21" i="7"/>
  <c r="AI22" i="7"/>
  <c r="AI23" i="7"/>
  <c r="AI24" i="7"/>
  <c r="AI25" i="7"/>
  <c r="AI26" i="7"/>
  <c r="AI27" i="7"/>
  <c r="AI28" i="7"/>
  <c r="AI29" i="7"/>
  <c r="AI30" i="7"/>
  <c r="AI31" i="7"/>
  <c r="AI32" i="7"/>
  <c r="AI33" i="7"/>
  <c r="AI34" i="7"/>
  <c r="AI35" i="7"/>
  <c r="AI36" i="7"/>
  <c r="AI37" i="7"/>
  <c r="AI38" i="7"/>
  <c r="AI39" i="7"/>
  <c r="AI40" i="7"/>
  <c r="AI53" i="7"/>
  <c r="AI54" i="7"/>
  <c r="AI55" i="7"/>
  <c r="AI56" i="7"/>
  <c r="AI57" i="7"/>
  <c r="AI58" i="7"/>
  <c r="AI59" i="7"/>
  <c r="AI60" i="7"/>
  <c r="AI61" i="7"/>
  <c r="AI62" i="7"/>
  <c r="AI63" i="7"/>
  <c r="AI64" i="7"/>
  <c r="AI65" i="7"/>
  <c r="AI66" i="7"/>
  <c r="AI67" i="7"/>
  <c r="AI68" i="7"/>
  <c r="AI69" i="7"/>
  <c r="AI70" i="7"/>
  <c r="AI71" i="7"/>
  <c r="AI72" i="7"/>
  <c r="AI73" i="7"/>
  <c r="AI74" i="7"/>
  <c r="AI75" i="7"/>
  <c r="AI76" i="7"/>
  <c r="AI77" i="7"/>
  <c r="AI78" i="7"/>
  <c r="AI79" i="7"/>
  <c r="AI80" i="7"/>
  <c r="AI81" i="7"/>
  <c r="AI82" i="7"/>
  <c r="AI83" i="7"/>
  <c r="AI84" i="7"/>
  <c r="AI85" i="7"/>
  <c r="AI86" i="7"/>
  <c r="AI87" i="7"/>
  <c r="AI88" i="7"/>
  <c r="AI89" i="7"/>
  <c r="AI90" i="7"/>
  <c r="AI91" i="7"/>
  <c r="AI92" i="7"/>
  <c r="AI93" i="7"/>
  <c r="AI94" i="7"/>
  <c r="AI95" i="7"/>
  <c r="AI96" i="7"/>
  <c r="AI97" i="7"/>
  <c r="AI98" i="7"/>
  <c r="AI99" i="7"/>
  <c r="AI100" i="7"/>
  <c r="AI101" i="7"/>
  <c r="AI102" i="7"/>
  <c r="AI103" i="7"/>
  <c r="AI104" i="7"/>
  <c r="AI105" i="7"/>
  <c r="AI106" i="7"/>
  <c r="AI107" i="7"/>
  <c r="AI108" i="7"/>
  <c r="AI109" i="7"/>
  <c r="AI110" i="7"/>
  <c r="AI111" i="7"/>
  <c r="AI112" i="7"/>
  <c r="AH111" i="7"/>
  <c r="AH112" i="7"/>
  <c r="AH3" i="7"/>
  <c r="AH4" i="7"/>
  <c r="AH5" i="7"/>
  <c r="AH6" i="7"/>
  <c r="AH7" i="7"/>
  <c r="AH8" i="7"/>
  <c r="AH9" i="7"/>
  <c r="AH10" i="7"/>
  <c r="AH11" i="7"/>
  <c r="AH12" i="7"/>
  <c r="AH13" i="7"/>
  <c r="AH14" i="7"/>
  <c r="AH15" i="7"/>
  <c r="AH16" i="7"/>
  <c r="AH17" i="7"/>
  <c r="AH18" i="7"/>
  <c r="AH19" i="7"/>
  <c r="AH20" i="7"/>
  <c r="AH21" i="7"/>
  <c r="AH22" i="7"/>
  <c r="AH23" i="7"/>
  <c r="AH24" i="7"/>
  <c r="AH25" i="7"/>
  <c r="AH26" i="7"/>
  <c r="AH27" i="7"/>
  <c r="AH28" i="7"/>
  <c r="AH29" i="7"/>
  <c r="AH30" i="7"/>
  <c r="AH31" i="7"/>
  <c r="AH32" i="7"/>
  <c r="AH33" i="7"/>
  <c r="AH34" i="7"/>
  <c r="AH35" i="7"/>
  <c r="AH36" i="7"/>
  <c r="AH37" i="7"/>
  <c r="AH38" i="7"/>
  <c r="AH39" i="7"/>
  <c r="AH40" i="7"/>
  <c r="AH53" i="7"/>
  <c r="AH54" i="7"/>
  <c r="AH55" i="7"/>
  <c r="AH56" i="7"/>
  <c r="AH57" i="7"/>
  <c r="AH58" i="7"/>
  <c r="AH59" i="7"/>
  <c r="AH60" i="7"/>
  <c r="AH61" i="7"/>
  <c r="AH62" i="7"/>
  <c r="AH63" i="7"/>
  <c r="AH64" i="7"/>
  <c r="AH65" i="7"/>
  <c r="AH66" i="7"/>
  <c r="AH67" i="7"/>
  <c r="AH68" i="7"/>
  <c r="AH69" i="7"/>
  <c r="AH70" i="7"/>
  <c r="AH71" i="7"/>
  <c r="AH72" i="7"/>
  <c r="AH73" i="7"/>
  <c r="AH74" i="7"/>
  <c r="AH75" i="7"/>
  <c r="AH76" i="7"/>
  <c r="AH77" i="7"/>
  <c r="AH78" i="7"/>
  <c r="AH79" i="7"/>
  <c r="AH80" i="7"/>
  <c r="AH81" i="7"/>
  <c r="AH82" i="7"/>
  <c r="AH83" i="7"/>
  <c r="AH84" i="7"/>
  <c r="AH85" i="7"/>
  <c r="AH86" i="7"/>
  <c r="AH87" i="7"/>
  <c r="AH88" i="7"/>
  <c r="AH89" i="7"/>
  <c r="AH90" i="7"/>
  <c r="AH91" i="7"/>
  <c r="AH92" i="7"/>
  <c r="AH93" i="7"/>
  <c r="AH94" i="7"/>
  <c r="AH95" i="7"/>
  <c r="AH96" i="7"/>
  <c r="AH97" i="7"/>
  <c r="AH98" i="7"/>
  <c r="AH99" i="7"/>
  <c r="AH100" i="7"/>
  <c r="AH101" i="7"/>
  <c r="AH102" i="7"/>
  <c r="AH103" i="7"/>
  <c r="AH104" i="7"/>
  <c r="AH105" i="7"/>
  <c r="AH106" i="7"/>
  <c r="AH107" i="7"/>
  <c r="AH108" i="7"/>
  <c r="AH109" i="7"/>
  <c r="AH110" i="7"/>
  <c r="P68" i="7" l="1"/>
  <c r="P74" i="7"/>
  <c r="P62" i="7"/>
  <c r="P70" i="7"/>
  <c r="P71" i="7"/>
  <c r="DH51" i="7"/>
  <c r="DI50" i="7"/>
  <c r="P58" i="7"/>
  <c r="P64" i="7"/>
  <c r="P66" i="7"/>
  <c r="P72" i="7"/>
  <c r="P67" i="7"/>
  <c r="P73" i="7"/>
  <c r="P57" i="7"/>
  <c r="P61" i="7"/>
  <c r="P69" i="7"/>
  <c r="P75" i="7"/>
  <c r="O70" i="7"/>
  <c r="O63" i="7"/>
  <c r="O71" i="7"/>
  <c r="P63" i="7"/>
  <c r="O58" i="7"/>
  <c r="O64" i="7"/>
  <c r="O66" i="7"/>
  <c r="O72" i="7"/>
  <c r="O59" i="7"/>
  <c r="O67" i="7"/>
  <c r="O73" i="7"/>
  <c r="O65" i="7"/>
  <c r="P59" i="7"/>
  <c r="P65" i="7"/>
  <c r="O56" i="7"/>
  <c r="O60" i="7"/>
  <c r="O68" i="7"/>
  <c r="O74" i="7"/>
  <c r="P56" i="7"/>
  <c r="P60" i="7"/>
  <c r="O57" i="7"/>
  <c r="O61" i="7"/>
  <c r="O69" i="7"/>
  <c r="O75" i="7"/>
  <c r="O62" i="7"/>
  <c r="DI121" i="7"/>
  <c r="DH122" i="7"/>
  <c r="EB13" i="7"/>
  <c r="EC12" i="7"/>
  <c r="DW14" i="7"/>
  <c r="DX13" i="7"/>
  <c r="DR13" i="7"/>
  <c r="DS12" i="7"/>
  <c r="DN13" i="7"/>
  <c r="DM14" i="7"/>
  <c r="Q67" i="7" l="1"/>
  <c r="Q74" i="7"/>
  <c r="Q68" i="7"/>
  <c r="Q57" i="7"/>
  <c r="Q62" i="7"/>
  <c r="Q61" i="7"/>
  <c r="Q71" i="7"/>
  <c r="Q75" i="7"/>
  <c r="Q66" i="7"/>
  <c r="Q70" i="7"/>
  <c r="Q69" i="7"/>
  <c r="Q72" i="7"/>
  <c r="DH52" i="7"/>
  <c r="DI51" i="7"/>
  <c r="Q64" i="7"/>
  <c r="Q73" i="7"/>
  <c r="Q56" i="7"/>
  <c r="Q59" i="7"/>
  <c r="Q65" i="7"/>
  <c r="Q58" i="7"/>
  <c r="Q60" i="7"/>
  <c r="Q63" i="7"/>
  <c r="DI122" i="7"/>
  <c r="DH123" i="7"/>
  <c r="EB14" i="7"/>
  <c r="EC13" i="7"/>
  <c r="DX14" i="7"/>
  <c r="DW15" i="7"/>
  <c r="DS13" i="7"/>
  <c r="DR14" i="7"/>
  <c r="DN14" i="7"/>
  <c r="DM15" i="7"/>
  <c r="DI52" i="7" l="1"/>
  <c r="DI123" i="7"/>
  <c r="DH124" i="7"/>
  <c r="EB15" i="7"/>
  <c r="EC14" i="7"/>
  <c r="DX15" i="7"/>
  <c r="DW16" i="7"/>
  <c r="DS14" i="7"/>
  <c r="DR15" i="7"/>
  <c r="DN15" i="7"/>
  <c r="DM16" i="7"/>
  <c r="C100" i="3"/>
  <c r="C99" i="3"/>
  <c r="C98" i="3"/>
  <c r="DH125" i="7" l="1"/>
  <c r="DI124" i="7"/>
  <c r="EC15" i="7"/>
  <c r="EB16" i="7"/>
  <c r="DX16" i="7"/>
  <c r="DW17" i="7"/>
  <c r="DS15" i="7"/>
  <c r="DR16" i="7"/>
  <c r="DM17" i="7"/>
  <c r="DN16" i="7"/>
  <c r="F30" i="3" l="1"/>
  <c r="R30" i="3"/>
  <c r="AD30" i="3"/>
  <c r="AP30" i="3"/>
  <c r="I32" i="3"/>
  <c r="U32" i="3"/>
  <c r="D102" i="3" s="1"/>
  <c r="AG32" i="3"/>
  <c r="AS32" i="3"/>
  <c r="G30" i="3"/>
  <c r="S30" i="3"/>
  <c r="AE30" i="3"/>
  <c r="AQ30" i="3"/>
  <c r="J32" i="3"/>
  <c r="V32" i="3"/>
  <c r="D103" i="3" s="1"/>
  <c r="AH32" i="3"/>
  <c r="AT32" i="3"/>
  <c r="H30" i="3"/>
  <c r="T30" i="3"/>
  <c r="AF30" i="3"/>
  <c r="AR30" i="3"/>
  <c r="K32" i="3"/>
  <c r="W32" i="3"/>
  <c r="AI32" i="3"/>
  <c r="AU32" i="3"/>
  <c r="I30" i="3"/>
  <c r="U30" i="3"/>
  <c r="AG30" i="3"/>
  <c r="AS30" i="3"/>
  <c r="L32" i="3"/>
  <c r="X32" i="3"/>
  <c r="AJ32" i="3"/>
  <c r="C32" i="3"/>
  <c r="J30" i="3"/>
  <c r="V30" i="3"/>
  <c r="AH30" i="3"/>
  <c r="AT30" i="3"/>
  <c r="M32" i="3"/>
  <c r="Y32" i="3"/>
  <c r="AK32" i="3"/>
  <c r="AQ32" i="3"/>
  <c r="K30" i="3"/>
  <c r="W30" i="3"/>
  <c r="AI30" i="3"/>
  <c r="AU30" i="3"/>
  <c r="N32" i="3"/>
  <c r="Z32" i="3"/>
  <c r="AL32" i="3"/>
  <c r="L30" i="3"/>
  <c r="X30" i="3"/>
  <c r="AJ30" i="3"/>
  <c r="C30" i="3"/>
  <c r="O32" i="3"/>
  <c r="AA32" i="3"/>
  <c r="AM32" i="3"/>
  <c r="M30" i="3"/>
  <c r="Y30" i="3"/>
  <c r="AK30" i="3"/>
  <c r="D32" i="3"/>
  <c r="P32" i="3"/>
  <c r="AB32" i="3"/>
  <c r="AN32" i="3"/>
  <c r="N30" i="3"/>
  <c r="Z30" i="3"/>
  <c r="AL30" i="3"/>
  <c r="E32" i="3"/>
  <c r="Q32" i="3"/>
  <c r="AC32" i="3"/>
  <c r="AO32" i="3"/>
  <c r="O30" i="3"/>
  <c r="AA30" i="3"/>
  <c r="AM30" i="3"/>
  <c r="F32" i="3"/>
  <c r="R32" i="3"/>
  <c r="AD32" i="3"/>
  <c r="AP32" i="3"/>
  <c r="D30" i="3"/>
  <c r="P30" i="3"/>
  <c r="AB30" i="3"/>
  <c r="AN30" i="3"/>
  <c r="G32" i="3"/>
  <c r="S32" i="3"/>
  <c r="AE32" i="3"/>
  <c r="E30" i="3"/>
  <c r="Q30" i="3"/>
  <c r="AC30" i="3"/>
  <c r="AO30" i="3"/>
  <c r="H32" i="3"/>
  <c r="T32" i="3"/>
  <c r="D101" i="3" s="1"/>
  <c r="AF32" i="3"/>
  <c r="AR32" i="3"/>
  <c r="DH126" i="7"/>
  <c r="DI125" i="7"/>
  <c r="EB17" i="7"/>
  <c r="EC16" i="7"/>
  <c r="DW18" i="7"/>
  <c r="DX17" i="7"/>
  <c r="DR17" i="7"/>
  <c r="DS16" i="7"/>
  <c r="DM18" i="7"/>
  <c r="DN17" i="7"/>
  <c r="U102" i="3" l="1"/>
  <c r="J102" i="3"/>
  <c r="N102" i="3"/>
  <c r="K102" i="3"/>
  <c r="H102" i="3"/>
  <c r="O102" i="3"/>
  <c r="Q102" i="3"/>
  <c r="I102" i="3"/>
  <c r="R102" i="3"/>
  <c r="L102" i="3"/>
  <c r="T102" i="3"/>
  <c r="L103" i="3"/>
  <c r="J103" i="3"/>
  <c r="N103" i="3"/>
  <c r="O103" i="3"/>
  <c r="Q103" i="3"/>
  <c r="R103" i="3"/>
  <c r="K103" i="3"/>
  <c r="H103" i="3"/>
  <c r="T103" i="3"/>
  <c r="U103" i="3"/>
  <c r="I103" i="3"/>
  <c r="R101" i="3"/>
  <c r="J101" i="3"/>
  <c r="H101" i="3"/>
  <c r="T101" i="3"/>
  <c r="U101" i="3"/>
  <c r="K101" i="3"/>
  <c r="N101" i="3"/>
  <c r="L101" i="3"/>
  <c r="I101" i="3"/>
  <c r="O101" i="3"/>
  <c r="Q101" i="3"/>
  <c r="E102" i="3"/>
  <c r="E101" i="3"/>
  <c r="E103" i="3"/>
  <c r="AL9" i="3"/>
  <c r="DI126" i="7"/>
  <c r="DH127" i="7"/>
  <c r="EC17" i="7"/>
  <c r="EB18" i="7"/>
  <c r="DW19" i="7"/>
  <c r="DX18" i="7"/>
  <c r="DS17" i="7"/>
  <c r="DR18" i="7"/>
  <c r="DM19" i="7"/>
  <c r="DN18" i="7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DI127" i="7" l="1"/>
  <c r="DH128" i="7"/>
  <c r="EB19" i="7"/>
  <c r="EC18" i="7"/>
  <c r="DW20" i="7"/>
  <c r="DX19" i="7"/>
  <c r="DR19" i="7"/>
  <c r="DS18" i="7"/>
  <c r="DN19" i="7"/>
  <c r="DM20" i="7"/>
  <c r="DI128" i="7" l="1"/>
  <c r="DH129" i="7"/>
  <c r="EB20" i="7"/>
  <c r="EC19" i="7"/>
  <c r="DX20" i="7"/>
  <c r="DW21" i="7"/>
  <c r="DR20" i="7"/>
  <c r="DS19" i="7"/>
  <c r="DM21" i="7"/>
  <c r="DN20" i="7"/>
  <c r="DI129" i="7" l="1"/>
  <c r="DH130" i="7"/>
  <c r="EB21" i="7"/>
  <c r="EC20" i="7"/>
  <c r="DX21" i="7"/>
  <c r="DW22" i="7"/>
  <c r="DR21" i="7"/>
  <c r="DS20" i="7"/>
  <c r="DM22" i="7"/>
  <c r="DN21" i="7"/>
  <c r="Y4" i="7"/>
  <c r="Y5" i="7"/>
  <c r="Y6" i="7"/>
  <c r="Y7" i="7"/>
  <c r="Y8" i="7"/>
  <c r="Y9" i="7"/>
  <c r="Y10" i="7"/>
  <c r="Y11" i="7"/>
  <c r="V101" i="3" s="1"/>
  <c r="Y12" i="7"/>
  <c r="Y13" i="7"/>
  <c r="Y14" i="7"/>
  <c r="Y15" i="7"/>
  <c r="Y16" i="7"/>
  <c r="Y17" i="7"/>
  <c r="Y18" i="7"/>
  <c r="Y19" i="7"/>
  <c r="Y20" i="7"/>
  <c r="Y21" i="7"/>
  <c r="P10" i="7"/>
  <c r="P11" i="7"/>
  <c r="M101" i="3" s="1"/>
  <c r="P12" i="7"/>
  <c r="P13" i="7"/>
  <c r="P15" i="7"/>
  <c r="P16" i="7"/>
  <c r="P17" i="7"/>
  <c r="P18" i="7"/>
  <c r="P19" i="7"/>
  <c r="P20" i="7"/>
  <c r="P21" i="7"/>
  <c r="V24" i="7"/>
  <c r="V33" i="7"/>
  <c r="V31" i="7"/>
  <c r="V30" i="7"/>
  <c r="V29" i="7"/>
  <c r="V28" i="7"/>
  <c r="V38" i="7"/>
  <c r="V25" i="7"/>
  <c r="V23" i="7"/>
  <c r="V4" i="7"/>
  <c r="V5" i="7"/>
  <c r="V6" i="7"/>
  <c r="V7" i="7"/>
  <c r="V8" i="7"/>
  <c r="V9" i="7"/>
  <c r="V10" i="7"/>
  <c r="V11" i="7"/>
  <c r="S101" i="3" s="1"/>
  <c r="V12" i="7"/>
  <c r="V13" i="7"/>
  <c r="V14" i="7"/>
  <c r="S103" i="3" s="1"/>
  <c r="V15" i="7"/>
  <c r="V16" i="7"/>
  <c r="V17" i="7"/>
  <c r="V18" i="7"/>
  <c r="V19" i="7"/>
  <c r="V20" i="7"/>
  <c r="V21" i="7"/>
  <c r="S4" i="7"/>
  <c r="S5" i="7"/>
  <c r="S6" i="7"/>
  <c r="S7" i="7"/>
  <c r="S8" i="7"/>
  <c r="Y22" i="7"/>
  <c r="Y37" i="7"/>
  <c r="Y34" i="7"/>
  <c r="Y31" i="7"/>
  <c r="Y30" i="7"/>
  <c r="Y29" i="7"/>
  <c r="Y28" i="7"/>
  <c r="V26" i="7"/>
  <c r="Z23" i="7"/>
  <c r="V27" i="7"/>
  <c r="P23" i="7"/>
  <c r="S9" i="7"/>
  <c r="S10" i="7"/>
  <c r="S11" i="7"/>
  <c r="P101" i="3" s="1"/>
  <c r="S12" i="7"/>
  <c r="S13" i="7"/>
  <c r="S14" i="7"/>
  <c r="S15" i="7"/>
  <c r="S16" i="7"/>
  <c r="S17" i="7"/>
  <c r="S18" i="7"/>
  <c r="S19" i="7"/>
  <c r="S20" i="7"/>
  <c r="S21" i="7"/>
  <c r="AA22" i="7"/>
  <c r="S26" i="7"/>
  <c r="S24" i="7"/>
  <c r="AA23" i="7"/>
  <c r="Z22" i="7"/>
  <c r="V36" i="7"/>
  <c r="P25" i="7"/>
  <c r="S22" i="7"/>
  <c r="S36" i="7"/>
  <c r="S33" i="7"/>
  <c r="S31" i="7"/>
  <c r="S30" i="7"/>
  <c r="S28" i="7"/>
  <c r="P4" i="7"/>
  <c r="P5" i="7"/>
  <c r="Z6" i="7"/>
  <c r="P7" i="7"/>
  <c r="P8" i="7"/>
  <c r="P9" i="7"/>
  <c r="Z14" i="7"/>
  <c r="AA26" i="7"/>
  <c r="AA37" i="7"/>
  <c r="AA34" i="7"/>
  <c r="AA33" i="7"/>
  <c r="AA29" i="7"/>
  <c r="AA38" i="7"/>
  <c r="AA4" i="7"/>
  <c r="AA5" i="7"/>
  <c r="AA6" i="7"/>
  <c r="AA7" i="7"/>
  <c r="AA8" i="7"/>
  <c r="AA9" i="7"/>
  <c r="AA10" i="7"/>
  <c r="AA11" i="7"/>
  <c r="AA12" i="7"/>
  <c r="AA13" i="7"/>
  <c r="AA14" i="7"/>
  <c r="AA15" i="7"/>
  <c r="AA16" i="7"/>
  <c r="AA17" i="7"/>
  <c r="AA18" i="7"/>
  <c r="AA19" i="7"/>
  <c r="AA20" i="7"/>
  <c r="AA21" i="7"/>
  <c r="Y27" i="7"/>
  <c r="Z26" i="7"/>
  <c r="Y23" i="7"/>
  <c r="P22" i="7"/>
  <c r="Z35" i="7"/>
  <c r="P32" i="7"/>
  <c r="P31" i="7"/>
  <c r="P29" i="7"/>
  <c r="S37" i="7"/>
  <c r="Y35" i="7"/>
  <c r="S34" i="7"/>
  <c r="Y32" i="7"/>
  <c r="AA28" i="7"/>
  <c r="Z37" i="7"/>
  <c r="V35" i="7"/>
  <c r="Z34" i="7"/>
  <c r="V32" i="7"/>
  <c r="AA31" i="7"/>
  <c r="P28" i="7"/>
  <c r="Y36" i="7"/>
  <c r="S35" i="7"/>
  <c r="Y33" i="7"/>
  <c r="S32" i="7"/>
  <c r="AA35" i="7"/>
  <c r="AA32" i="7"/>
  <c r="Z29" i="7"/>
  <c r="Y38" i="7"/>
  <c r="Z31" i="7"/>
  <c r="AA30" i="7"/>
  <c r="AA36" i="7"/>
  <c r="S38" i="7"/>
  <c r="S27" i="7"/>
  <c r="V37" i="7"/>
  <c r="P36" i="7"/>
  <c r="V34" i="7"/>
  <c r="Z33" i="7"/>
  <c r="Z30" i="7"/>
  <c r="P38" i="7"/>
  <c r="Z38" i="7"/>
  <c r="Z36" i="7"/>
  <c r="Z32" i="7"/>
  <c r="Z28" i="7"/>
  <c r="P35" i="7"/>
  <c r="P34" i="7"/>
  <c r="P30" i="7"/>
  <c r="S29" i="7"/>
  <c r="P37" i="7"/>
  <c r="P33" i="7"/>
  <c r="AA27" i="7"/>
  <c r="Y25" i="7"/>
  <c r="V102" i="3" s="1"/>
  <c r="Z27" i="7"/>
  <c r="AA24" i="7"/>
  <c r="Y26" i="7"/>
  <c r="S25" i="7"/>
  <c r="P102" i="3" s="1"/>
  <c r="Z24" i="7"/>
  <c r="AA25" i="7"/>
  <c r="Y24" i="7"/>
  <c r="P26" i="7"/>
  <c r="Z25" i="7"/>
  <c r="P24" i="7"/>
  <c r="S23" i="7"/>
  <c r="V22" i="7"/>
  <c r="P27" i="7"/>
  <c r="Z18" i="7"/>
  <c r="Z10" i="7"/>
  <c r="P6" i="7"/>
  <c r="P14" i="7"/>
  <c r="Z15" i="7"/>
  <c r="Z19" i="7"/>
  <c r="Z7" i="7"/>
  <c r="Z11" i="7"/>
  <c r="Z4" i="7"/>
  <c r="Z16" i="7"/>
  <c r="Z20" i="7"/>
  <c r="Z8" i="7"/>
  <c r="Z12" i="7"/>
  <c r="Z9" i="7"/>
  <c r="Z13" i="7"/>
  <c r="Z17" i="7"/>
  <c r="Z21" i="7"/>
  <c r="Z5" i="7"/>
  <c r="F57" i="3"/>
  <c r="E57" i="3"/>
  <c r="D57" i="3"/>
  <c r="C57" i="3"/>
  <c r="P103" i="3" l="1"/>
  <c r="M102" i="3"/>
  <c r="S102" i="3"/>
  <c r="M103" i="3"/>
  <c r="V103" i="3"/>
  <c r="DH131" i="7"/>
  <c r="DI130" i="7"/>
  <c r="EB22" i="7"/>
  <c r="EC21" i="7"/>
  <c r="DX22" i="7"/>
  <c r="DW23" i="7"/>
  <c r="DS21" i="7"/>
  <c r="DR22" i="7"/>
  <c r="DN22" i="7"/>
  <c r="DM23" i="7"/>
  <c r="AB36" i="7"/>
  <c r="AB33" i="7"/>
  <c r="AB17" i="7"/>
  <c r="AB11" i="7"/>
  <c r="AB24" i="7"/>
  <c r="AB38" i="7"/>
  <c r="AB23" i="7"/>
  <c r="AB19" i="7"/>
  <c r="AB35" i="7"/>
  <c r="AB13" i="7"/>
  <c r="AB20" i="7"/>
  <c r="AB26" i="7"/>
  <c r="AB12" i="7"/>
  <c r="AB34" i="7"/>
  <c r="AB37" i="7"/>
  <c r="AB7" i="7"/>
  <c r="AB14" i="7"/>
  <c r="AB15" i="7"/>
  <c r="AB6" i="7"/>
  <c r="AB22" i="7"/>
  <c r="AB5" i="7"/>
  <c r="AB16" i="7"/>
  <c r="AB10" i="7"/>
  <c r="AB27" i="7"/>
  <c r="AB21" i="7"/>
  <c r="AB4" i="7"/>
  <c r="AB18" i="7"/>
  <c r="AB28" i="7"/>
  <c r="AB9" i="7"/>
  <c r="AB29" i="7"/>
  <c r="AB8" i="7"/>
  <c r="AB30" i="7"/>
  <c r="AB31" i="7"/>
  <c r="AB32" i="7"/>
  <c r="AB25" i="7"/>
  <c r="DI131" i="7" l="1"/>
  <c r="DH132" i="7"/>
  <c r="EB23" i="7"/>
  <c r="EC22" i="7"/>
  <c r="DW24" i="7"/>
  <c r="DX23" i="7"/>
  <c r="DS22" i="7"/>
  <c r="DR23" i="7"/>
  <c r="DN23" i="7"/>
  <c r="DM24" i="7"/>
  <c r="B16" i="3"/>
  <c r="AK7" i="3"/>
  <c r="AK37" i="9" s="1"/>
  <c r="AK21" i="9" s="1"/>
  <c r="AJ7" i="3"/>
  <c r="AJ37" i="9" s="1"/>
  <c r="AI7" i="3"/>
  <c r="AI37" i="9" s="1"/>
  <c r="AH7" i="3"/>
  <c r="AH37" i="9" s="1"/>
  <c r="AH21" i="9" s="1"/>
  <c r="AG7" i="3"/>
  <c r="AF7" i="3"/>
  <c r="AE7" i="3"/>
  <c r="AE37" i="9" s="1"/>
  <c r="AD7" i="3"/>
  <c r="AD37" i="9" s="1"/>
  <c r="AD21" i="9" s="1"/>
  <c r="AC7" i="3"/>
  <c r="AC37" i="9" s="1"/>
  <c r="AB7" i="3"/>
  <c r="AB37" i="9" s="1"/>
  <c r="AB21" i="9" s="1"/>
  <c r="AA7" i="3"/>
  <c r="AA37" i="9" s="1"/>
  <c r="AA21" i="9" s="1"/>
  <c r="Z7" i="3"/>
  <c r="Y7" i="3"/>
  <c r="X7" i="3"/>
  <c r="X37" i="9" s="1"/>
  <c r="X21" i="9" s="1"/>
  <c r="W7" i="3"/>
  <c r="W37" i="9" s="1"/>
  <c r="V7" i="3"/>
  <c r="V37" i="9" s="1"/>
  <c r="U7" i="3"/>
  <c r="T7" i="3"/>
  <c r="T37" i="9" s="1"/>
  <c r="T21" i="9" s="1"/>
  <c r="S7" i="3"/>
  <c r="R7" i="3"/>
  <c r="R37" i="9" s="1"/>
  <c r="R21" i="9" s="1"/>
  <c r="Q7" i="3"/>
  <c r="Q37" i="9" s="1"/>
  <c r="P7" i="3"/>
  <c r="P37" i="9" s="1"/>
  <c r="O7" i="3"/>
  <c r="N7" i="3"/>
  <c r="N37" i="9" s="1"/>
  <c r="N21" i="9" s="1"/>
  <c r="M7" i="3"/>
  <c r="M37" i="9" s="1"/>
  <c r="L7" i="3"/>
  <c r="L37" i="9" s="1"/>
  <c r="K7" i="3"/>
  <c r="K37" i="9" s="1"/>
  <c r="K21" i="9" s="1"/>
  <c r="J7" i="3"/>
  <c r="I7" i="3"/>
  <c r="H7" i="3"/>
  <c r="H37" i="9" s="1"/>
  <c r="G7" i="3"/>
  <c r="G37" i="9" s="1"/>
  <c r="G21" i="9" s="1"/>
  <c r="F7" i="3"/>
  <c r="F37" i="9" s="1"/>
  <c r="F21" i="9" s="1"/>
  <c r="E7" i="3"/>
  <c r="E37" i="9" s="1"/>
  <c r="E21" i="9" s="1"/>
  <c r="D7" i="3"/>
  <c r="D37" i="9" s="1"/>
  <c r="C7" i="3"/>
  <c r="C37" i="9" s="1"/>
  <c r="D6" i="3"/>
  <c r="C6" i="3"/>
  <c r="P21" i="9" l="1"/>
  <c r="P23" i="9"/>
  <c r="AC21" i="9"/>
  <c r="AC23" i="9"/>
  <c r="AE21" i="9"/>
  <c r="AE23" i="9"/>
  <c r="M21" i="9"/>
  <c r="M23" i="9"/>
  <c r="Q21" i="9"/>
  <c r="Q23" i="9"/>
  <c r="H21" i="9"/>
  <c r="H23" i="9"/>
  <c r="V21" i="9"/>
  <c r="V23" i="9"/>
  <c r="C23" i="9"/>
  <c r="D21" i="9"/>
  <c r="D23" i="9"/>
  <c r="W21" i="9"/>
  <c r="W23" i="9"/>
  <c r="AI21" i="9"/>
  <c r="AI23" i="9"/>
  <c r="L21" i="9"/>
  <c r="L23" i="9"/>
  <c r="AJ21" i="9"/>
  <c r="AJ23" i="9"/>
  <c r="C21" i="9"/>
  <c r="AG37" i="9"/>
  <c r="AG21" i="9" s="1"/>
  <c r="D117" i="3"/>
  <c r="Y37" i="9"/>
  <c r="Y21" i="9" s="1"/>
  <c r="O37" i="9"/>
  <c r="O21" i="9" s="1"/>
  <c r="AD24" i="9"/>
  <c r="AD25" i="9"/>
  <c r="M25" i="9"/>
  <c r="M24" i="9"/>
  <c r="C24" i="9"/>
  <c r="C25" i="9"/>
  <c r="E24" i="9"/>
  <c r="E25" i="9"/>
  <c r="AE25" i="9"/>
  <c r="AE24" i="9"/>
  <c r="Z37" i="9"/>
  <c r="Z21" i="9" s="1"/>
  <c r="Q25" i="9"/>
  <c r="Q24" i="9"/>
  <c r="AF37" i="9"/>
  <c r="AA24" i="9"/>
  <c r="AA25" i="9"/>
  <c r="F25" i="9"/>
  <c r="F24" i="9"/>
  <c r="S37" i="9"/>
  <c r="S21" i="9" s="1"/>
  <c r="I37" i="9"/>
  <c r="I21" i="9" s="1"/>
  <c r="AG24" i="9"/>
  <c r="AG25" i="9"/>
  <c r="N24" i="9"/>
  <c r="N25" i="9"/>
  <c r="AB24" i="9"/>
  <c r="AB25" i="9"/>
  <c r="G25" i="9"/>
  <c r="G24" i="9"/>
  <c r="H25" i="9"/>
  <c r="H24" i="9"/>
  <c r="V24" i="9"/>
  <c r="V25" i="9"/>
  <c r="AH25" i="9"/>
  <c r="AH24" i="9"/>
  <c r="AK24" i="9"/>
  <c r="AK25" i="9"/>
  <c r="P25" i="9"/>
  <c r="P24" i="9"/>
  <c r="R24" i="9"/>
  <c r="R25" i="9"/>
  <c r="U37" i="9"/>
  <c r="K24" i="9"/>
  <c r="K25" i="9"/>
  <c r="AI24" i="9"/>
  <c r="AI25" i="9"/>
  <c r="D25" i="9"/>
  <c r="D24" i="9"/>
  <c r="AC25" i="9"/>
  <c r="AC24" i="9"/>
  <c r="T25" i="9"/>
  <c r="T24" i="9"/>
  <c r="J37" i="9"/>
  <c r="W24" i="9"/>
  <c r="W25" i="9"/>
  <c r="L25" i="9"/>
  <c r="L24" i="9"/>
  <c r="X24" i="9"/>
  <c r="X25" i="9"/>
  <c r="AJ24" i="9"/>
  <c r="AJ25" i="9"/>
  <c r="G103" i="3"/>
  <c r="D120" i="3"/>
  <c r="D121" i="3"/>
  <c r="D113" i="3"/>
  <c r="D114" i="3"/>
  <c r="G101" i="3"/>
  <c r="D122" i="3"/>
  <c r="G102" i="3"/>
  <c r="D116" i="3"/>
  <c r="D118" i="3"/>
  <c r="D115" i="3"/>
  <c r="D112" i="3"/>
  <c r="D119" i="3"/>
  <c r="AL18" i="3"/>
  <c r="AL17" i="3"/>
  <c r="AS26" i="3"/>
  <c r="AR26" i="3"/>
  <c r="AO26" i="3"/>
  <c r="AQ26" i="3"/>
  <c r="AP26" i="3"/>
  <c r="AU26" i="3"/>
  <c r="AN26" i="3"/>
  <c r="AT26" i="3"/>
  <c r="AM26" i="3"/>
  <c r="K9" i="3"/>
  <c r="X9" i="3"/>
  <c r="AK9" i="3"/>
  <c r="N9" i="3"/>
  <c r="R9" i="3"/>
  <c r="J9" i="3"/>
  <c r="AF9" i="3"/>
  <c r="G26" i="3"/>
  <c r="G9" i="3"/>
  <c r="AE26" i="3"/>
  <c r="AE9" i="3"/>
  <c r="AA26" i="3"/>
  <c r="AA9" i="3"/>
  <c r="P26" i="3"/>
  <c r="P9" i="3"/>
  <c r="AC26" i="3"/>
  <c r="AC9" i="3"/>
  <c r="F26" i="3"/>
  <c r="F9" i="3"/>
  <c r="H26" i="3"/>
  <c r="H9" i="3"/>
  <c r="T26" i="3"/>
  <c r="T9" i="3"/>
  <c r="I9" i="3"/>
  <c r="I26" i="3"/>
  <c r="U9" i="3"/>
  <c r="U26" i="3"/>
  <c r="AL26" i="3"/>
  <c r="Y26" i="3"/>
  <c r="Y9" i="3"/>
  <c r="V26" i="3"/>
  <c r="V9" i="3"/>
  <c r="AH26" i="3"/>
  <c r="AH9" i="3"/>
  <c r="C26" i="3"/>
  <c r="C9" i="3"/>
  <c r="D26" i="3"/>
  <c r="D9" i="3"/>
  <c r="Q26" i="3"/>
  <c r="Q9" i="3"/>
  <c r="W26" i="3"/>
  <c r="W9" i="3"/>
  <c r="AI26" i="3"/>
  <c r="AI9" i="3"/>
  <c r="M26" i="3"/>
  <c r="M9" i="3"/>
  <c r="Z26" i="3"/>
  <c r="Z9" i="3"/>
  <c r="AB9" i="3"/>
  <c r="AB26" i="3"/>
  <c r="L26" i="3"/>
  <c r="L9" i="3"/>
  <c r="AJ26" i="3"/>
  <c r="AJ9" i="3"/>
  <c r="AF26" i="3"/>
  <c r="R26" i="3"/>
  <c r="S26" i="3"/>
  <c r="AK26" i="3"/>
  <c r="S9" i="3"/>
  <c r="J26" i="3"/>
  <c r="AG26" i="3"/>
  <c r="N26" i="3"/>
  <c r="X26" i="3"/>
  <c r="AG9" i="3"/>
  <c r="AD26" i="3"/>
  <c r="AD9" i="3"/>
  <c r="E26" i="3"/>
  <c r="E9" i="3"/>
  <c r="K26" i="3"/>
  <c r="O26" i="3"/>
  <c r="O9" i="3"/>
  <c r="D22" i="3"/>
  <c r="P22" i="3"/>
  <c r="AB22" i="3"/>
  <c r="AN22" i="3"/>
  <c r="E22" i="3"/>
  <c r="Q22" i="3"/>
  <c r="AC22" i="3"/>
  <c r="AO22" i="3"/>
  <c r="F22" i="3"/>
  <c r="R22" i="3"/>
  <c r="AD22" i="3"/>
  <c r="AP22" i="3"/>
  <c r="G22" i="3"/>
  <c r="S22" i="3"/>
  <c r="AE22" i="3"/>
  <c r="AQ22" i="3"/>
  <c r="H22" i="3"/>
  <c r="T22" i="3"/>
  <c r="AF22" i="3"/>
  <c r="AR22" i="3"/>
  <c r="I22" i="3"/>
  <c r="U22" i="3"/>
  <c r="AG22" i="3"/>
  <c r="AS22" i="3"/>
  <c r="J22" i="3"/>
  <c r="V22" i="3"/>
  <c r="AH22" i="3"/>
  <c r="AT22" i="3"/>
  <c r="K22" i="3"/>
  <c r="W22" i="3"/>
  <c r="AI22" i="3"/>
  <c r="AU22" i="3"/>
  <c r="L22" i="3"/>
  <c r="X22" i="3"/>
  <c r="AJ22" i="3"/>
  <c r="M22" i="3"/>
  <c r="Y22" i="3"/>
  <c r="AK22" i="3"/>
  <c r="N22" i="3"/>
  <c r="Z22" i="3"/>
  <c r="AL22" i="3"/>
  <c r="O22" i="3"/>
  <c r="AA22" i="3"/>
  <c r="AM22" i="3"/>
  <c r="DI132" i="7"/>
  <c r="DH133" i="7"/>
  <c r="EC23" i="7"/>
  <c r="EB24" i="7"/>
  <c r="DW25" i="7"/>
  <c r="DX24" i="7"/>
  <c r="DS23" i="7"/>
  <c r="DR24" i="7"/>
  <c r="DN24" i="7"/>
  <c r="DM25" i="7"/>
  <c r="D15" i="3"/>
  <c r="D8" i="3"/>
  <c r="C8" i="3"/>
  <c r="AD8" i="3"/>
  <c r="Q15" i="3"/>
  <c r="Q8" i="3"/>
  <c r="AF15" i="3"/>
  <c r="AF19" i="3" s="1"/>
  <c r="AF8" i="3"/>
  <c r="U8" i="3"/>
  <c r="AE15" i="3"/>
  <c r="AE8" i="3"/>
  <c r="P15" i="3"/>
  <c r="P8" i="3"/>
  <c r="W15" i="3"/>
  <c r="W8" i="3"/>
  <c r="L15" i="3"/>
  <c r="L8" i="3"/>
  <c r="AJ8" i="3"/>
  <c r="H15" i="3"/>
  <c r="H8" i="3"/>
  <c r="M8" i="3"/>
  <c r="V15" i="3"/>
  <c r="V8" i="3"/>
  <c r="AI15" i="3"/>
  <c r="AI8" i="3"/>
  <c r="AC15" i="3"/>
  <c r="AC8" i="3"/>
  <c r="I8" i="3"/>
  <c r="O8" i="3"/>
  <c r="G8" i="3"/>
  <c r="AA8" i="3"/>
  <c r="S8" i="3"/>
  <c r="J8" i="3"/>
  <c r="N8" i="3"/>
  <c r="F8" i="3"/>
  <c r="E8" i="3"/>
  <c r="AB8" i="3"/>
  <c r="T8" i="3"/>
  <c r="AH8" i="3"/>
  <c r="Z8" i="3"/>
  <c r="X8" i="3"/>
  <c r="AK8" i="3"/>
  <c r="AG8" i="3"/>
  <c r="Y8" i="3"/>
  <c r="R8" i="3"/>
  <c r="K8" i="3"/>
  <c r="R15" i="3"/>
  <c r="R19" i="3" s="1"/>
  <c r="AD15" i="3"/>
  <c r="AD19" i="3" s="1"/>
  <c r="S15" i="3"/>
  <c r="S19" i="3" s="1"/>
  <c r="T15" i="3"/>
  <c r="T19" i="3" s="1"/>
  <c r="I15" i="3"/>
  <c r="U15" i="3"/>
  <c r="AG15" i="3"/>
  <c r="AG19" i="3" s="1"/>
  <c r="AB15" i="3"/>
  <c r="AH15" i="3"/>
  <c r="AH19" i="3" s="1"/>
  <c r="K15" i="3"/>
  <c r="K19" i="3" s="1"/>
  <c r="E15" i="3"/>
  <c r="E19" i="3" s="1"/>
  <c r="F15" i="3"/>
  <c r="J15" i="3"/>
  <c r="J19" i="3" s="1"/>
  <c r="X15" i="3"/>
  <c r="X19" i="3" s="1"/>
  <c r="N15" i="3"/>
  <c r="N19" i="3" s="1"/>
  <c r="Z15" i="3"/>
  <c r="Z19" i="3" s="1"/>
  <c r="O15" i="3"/>
  <c r="AA15" i="3"/>
  <c r="C15" i="3"/>
  <c r="AJ15" i="3"/>
  <c r="M15" i="3"/>
  <c r="AK15" i="3"/>
  <c r="AK19" i="3" s="1"/>
  <c r="Y15" i="3"/>
  <c r="Y19" i="3" s="1"/>
  <c r="C22" i="3"/>
  <c r="G15" i="3"/>
  <c r="J21" i="9" l="1"/>
  <c r="J23" i="9"/>
  <c r="U21" i="9"/>
  <c r="U23" i="9"/>
  <c r="AF21" i="9"/>
  <c r="AF23" i="9"/>
  <c r="H28" i="9"/>
  <c r="F28" i="9"/>
  <c r="N28" i="9"/>
  <c r="G28" i="9"/>
  <c r="AA28" i="9"/>
  <c r="AD28" i="9"/>
  <c r="D28" i="9"/>
  <c r="E28" i="9"/>
  <c r="L28" i="9"/>
  <c r="R28" i="9"/>
  <c r="C28" i="9"/>
  <c r="P28" i="9"/>
  <c r="AH28" i="9"/>
  <c r="AE28" i="9"/>
  <c r="AC28" i="9"/>
  <c r="AJ28" i="9"/>
  <c r="X28" i="9"/>
  <c r="V28" i="9"/>
  <c r="K28" i="9"/>
  <c r="AG28" i="9"/>
  <c r="AI28" i="9"/>
  <c r="W28" i="9"/>
  <c r="M28" i="9"/>
  <c r="T28" i="9"/>
  <c r="AB28" i="9"/>
  <c r="AK28" i="9"/>
  <c r="Q28" i="9"/>
  <c r="Z25" i="9"/>
  <c r="Z24" i="9"/>
  <c r="U25" i="9"/>
  <c r="U24" i="9"/>
  <c r="O24" i="9"/>
  <c r="O25" i="9"/>
  <c r="J25" i="9"/>
  <c r="J24" i="9"/>
  <c r="AF25" i="9"/>
  <c r="AF24" i="9"/>
  <c r="Y24" i="9"/>
  <c r="Y25" i="9"/>
  <c r="S25" i="9"/>
  <c r="S24" i="9"/>
  <c r="I24" i="9"/>
  <c r="I25" i="9"/>
  <c r="E118" i="3"/>
  <c r="E115" i="3"/>
  <c r="E122" i="3"/>
  <c r="E113" i="3"/>
  <c r="E121" i="3"/>
  <c r="E119" i="3"/>
  <c r="E116" i="3"/>
  <c r="E114" i="3"/>
  <c r="E120" i="3"/>
  <c r="E112" i="3"/>
  <c r="E117" i="3"/>
  <c r="E61" i="3"/>
  <c r="E62" i="3" s="1"/>
  <c r="D61" i="3"/>
  <c r="D62" i="3" s="1"/>
  <c r="F61" i="3"/>
  <c r="F62" i="3" s="1"/>
  <c r="C61" i="3"/>
  <c r="C62" i="3" s="1"/>
  <c r="AL21" i="3"/>
  <c r="C41" i="3"/>
  <c r="C42" i="3" s="1"/>
  <c r="D55" i="3"/>
  <c r="D56" i="3" s="1"/>
  <c r="E43" i="3"/>
  <c r="E44" i="3" s="1"/>
  <c r="E41" i="3"/>
  <c r="E42" i="3" s="1"/>
  <c r="F55" i="3"/>
  <c r="F56" i="3" s="1"/>
  <c r="R18" i="3"/>
  <c r="D43" i="3"/>
  <c r="D44" i="3" s="1"/>
  <c r="C43" i="3"/>
  <c r="C44" i="3" s="1"/>
  <c r="B43" i="3"/>
  <c r="B44" i="3" s="1"/>
  <c r="D41" i="3"/>
  <c r="D42" i="3" s="1"/>
  <c r="E55" i="3"/>
  <c r="E56" i="3" s="1"/>
  <c r="C55" i="3"/>
  <c r="C56" i="3" s="1"/>
  <c r="B41" i="3"/>
  <c r="B42" i="3" s="1"/>
  <c r="F19" i="3"/>
  <c r="F17" i="3"/>
  <c r="F24" i="3" s="1"/>
  <c r="F18" i="3"/>
  <c r="F25" i="3" s="1"/>
  <c r="F21" i="3"/>
  <c r="AI18" i="3"/>
  <c r="AI25" i="3" s="1"/>
  <c r="AI21" i="3"/>
  <c r="AI17" i="3"/>
  <c r="AI24" i="3" s="1"/>
  <c r="AI19" i="3"/>
  <c r="AF18" i="3"/>
  <c r="X18" i="3"/>
  <c r="L18" i="3"/>
  <c r="L25" i="3" s="1"/>
  <c r="L21" i="3"/>
  <c r="L19" i="3"/>
  <c r="L17" i="3"/>
  <c r="L24" i="3" s="1"/>
  <c r="T18" i="3"/>
  <c r="AF17" i="3"/>
  <c r="T17" i="3"/>
  <c r="Z17" i="3"/>
  <c r="W19" i="3"/>
  <c r="W17" i="3"/>
  <c r="W24" i="3" s="1"/>
  <c r="W18" i="3"/>
  <c r="W25" i="3" s="1"/>
  <c r="W21" i="3"/>
  <c r="N17" i="3"/>
  <c r="AJ18" i="3"/>
  <c r="AJ25" i="3" s="1"/>
  <c r="AJ19" i="3"/>
  <c r="AJ21" i="3"/>
  <c r="AJ17" i="3"/>
  <c r="AJ24" i="3" s="1"/>
  <c r="Q21" i="3"/>
  <c r="Q18" i="3"/>
  <c r="Q25" i="3" s="1"/>
  <c r="Q19" i="3"/>
  <c r="Q17" i="3"/>
  <c r="Q24" i="3" s="1"/>
  <c r="AK17" i="3"/>
  <c r="AA17" i="3"/>
  <c r="AA24" i="3" s="1"/>
  <c r="AA19" i="3"/>
  <c r="AA18" i="3"/>
  <c r="AA25" i="3" s="1"/>
  <c r="AA21" i="3"/>
  <c r="U17" i="3"/>
  <c r="U18" i="3"/>
  <c r="U21" i="3"/>
  <c r="U19" i="3"/>
  <c r="Y17" i="3"/>
  <c r="C18" i="3"/>
  <c r="C17" i="3"/>
  <c r="C21" i="3"/>
  <c r="C19" i="3"/>
  <c r="I21" i="3"/>
  <c r="I19" i="3"/>
  <c r="I18" i="3"/>
  <c r="I17" i="3"/>
  <c r="P18" i="3"/>
  <c r="P25" i="3" s="1"/>
  <c r="P21" i="3"/>
  <c r="P19" i="3"/>
  <c r="P17" i="3"/>
  <c r="P24" i="3" s="1"/>
  <c r="X17" i="3"/>
  <c r="H21" i="3"/>
  <c r="H17" i="3"/>
  <c r="H24" i="3" s="1"/>
  <c r="H19" i="3"/>
  <c r="H18" i="3"/>
  <c r="H25" i="3" s="1"/>
  <c r="Z18" i="3"/>
  <c r="M18" i="3"/>
  <c r="M25" i="3" s="1"/>
  <c r="M19" i="3"/>
  <c r="M21" i="3"/>
  <c r="M17" i="3"/>
  <c r="M24" i="3" s="1"/>
  <c r="G21" i="3"/>
  <c r="G19" i="3"/>
  <c r="G18" i="3"/>
  <c r="G25" i="3" s="1"/>
  <c r="G17" i="3"/>
  <c r="G24" i="3" s="1"/>
  <c r="AC21" i="3"/>
  <c r="AC17" i="3"/>
  <c r="AC24" i="3" s="1"/>
  <c r="AC19" i="3"/>
  <c r="AC18" i="3"/>
  <c r="AC25" i="3" s="1"/>
  <c r="N18" i="3"/>
  <c r="V19" i="3"/>
  <c r="V17" i="3"/>
  <c r="V24" i="3" s="1"/>
  <c r="V18" i="3"/>
  <c r="V25" i="3" s="1"/>
  <c r="V21" i="3"/>
  <c r="AE21" i="3"/>
  <c r="AE17" i="3"/>
  <c r="AE24" i="3" s="1"/>
  <c r="AE19" i="3"/>
  <c r="AE18" i="3"/>
  <c r="AE25" i="3" s="1"/>
  <c r="R17" i="3"/>
  <c r="AK18" i="3"/>
  <c r="AB19" i="3"/>
  <c r="AB21" i="3"/>
  <c r="AB17" i="3"/>
  <c r="AB18" i="3"/>
  <c r="D17" i="3"/>
  <c r="D24" i="3" s="1"/>
  <c r="D18" i="3"/>
  <c r="D25" i="3" s="1"/>
  <c r="D19" i="3"/>
  <c r="D21" i="3"/>
  <c r="AG18" i="3"/>
  <c r="Y18" i="3"/>
  <c r="J18" i="3"/>
  <c r="J17" i="3"/>
  <c r="S18" i="3"/>
  <c r="S17" i="3"/>
  <c r="AG17" i="3"/>
  <c r="AD18" i="3"/>
  <c r="AD17" i="3"/>
  <c r="AH17" i="3"/>
  <c r="AH18" i="3"/>
  <c r="E17" i="3"/>
  <c r="E18" i="3"/>
  <c r="K17" i="3"/>
  <c r="K18" i="3"/>
  <c r="O19" i="3"/>
  <c r="O21" i="3"/>
  <c r="O18" i="3"/>
  <c r="O17" i="3"/>
  <c r="X21" i="3"/>
  <c r="H27" i="3"/>
  <c r="T27" i="3"/>
  <c r="AF27" i="3"/>
  <c r="AR27" i="3"/>
  <c r="Y21" i="3"/>
  <c r="AK21" i="3"/>
  <c r="I27" i="3"/>
  <c r="U27" i="3"/>
  <c r="AG27" i="3"/>
  <c r="AS27" i="3"/>
  <c r="N21" i="3"/>
  <c r="Z21" i="3"/>
  <c r="J27" i="3"/>
  <c r="V27" i="3"/>
  <c r="AH27" i="3"/>
  <c r="AT27" i="3"/>
  <c r="K27" i="3"/>
  <c r="W27" i="3"/>
  <c r="AI27" i="3"/>
  <c r="AU27" i="3"/>
  <c r="L27" i="3"/>
  <c r="X27" i="3"/>
  <c r="AJ27" i="3"/>
  <c r="D27" i="3"/>
  <c r="AN27" i="3"/>
  <c r="E21" i="3"/>
  <c r="M27" i="3"/>
  <c r="Y27" i="3"/>
  <c r="AK27" i="3"/>
  <c r="C27" i="3"/>
  <c r="AB27" i="3"/>
  <c r="R21" i="3"/>
  <c r="AD21" i="3"/>
  <c r="N27" i="3"/>
  <c r="Z27" i="3"/>
  <c r="AL27" i="3"/>
  <c r="P27" i="3"/>
  <c r="S21" i="3"/>
  <c r="O27" i="3"/>
  <c r="AA27" i="3"/>
  <c r="AM27" i="3"/>
  <c r="T21" i="3"/>
  <c r="AF21" i="3"/>
  <c r="AG21" i="3"/>
  <c r="E27" i="3"/>
  <c r="Q27" i="3"/>
  <c r="AC27" i="3"/>
  <c r="AO27" i="3"/>
  <c r="J21" i="3"/>
  <c r="AH21" i="3"/>
  <c r="F27" i="3"/>
  <c r="R27" i="3"/>
  <c r="AD27" i="3"/>
  <c r="AP27" i="3"/>
  <c r="K21" i="3"/>
  <c r="G27" i="3"/>
  <c r="S27" i="3"/>
  <c r="AE27" i="3"/>
  <c r="AQ27" i="3"/>
  <c r="DI133" i="7"/>
  <c r="DH134" i="7"/>
  <c r="EC24" i="7"/>
  <c r="EB25" i="7"/>
  <c r="DX25" i="7"/>
  <c r="DW26" i="7"/>
  <c r="DS24" i="7"/>
  <c r="DR25" i="7"/>
  <c r="DN25" i="7"/>
  <c r="DM26" i="7"/>
  <c r="R38" i="3"/>
  <c r="S38" i="3"/>
  <c r="R37" i="3"/>
  <c r="S37" i="3"/>
  <c r="D87" i="3"/>
  <c r="D99" i="3"/>
  <c r="D89" i="3"/>
  <c r="D86" i="3"/>
  <c r="D94" i="3"/>
  <c r="D88" i="3"/>
  <c r="D97" i="3"/>
  <c r="D93" i="3"/>
  <c r="D96" i="3"/>
  <c r="D95" i="3"/>
  <c r="D98" i="3"/>
  <c r="D90" i="3"/>
  <c r="D100" i="3"/>
  <c r="D91" i="3"/>
  <c r="D92" i="3"/>
  <c r="D85" i="3"/>
  <c r="J28" i="9" l="1"/>
  <c r="Z28" i="9"/>
  <c r="I28" i="9"/>
  <c r="S28" i="9"/>
  <c r="O28" i="9"/>
  <c r="U28" i="9"/>
  <c r="Y28" i="9"/>
  <c r="AF28" i="9"/>
  <c r="O88" i="3"/>
  <c r="P88" i="3"/>
  <c r="Q88" i="3"/>
  <c r="H88" i="3"/>
  <c r="R88" i="3"/>
  <c r="K88" i="3"/>
  <c r="S88" i="3"/>
  <c r="T88" i="3"/>
  <c r="U88" i="3"/>
  <c r="V88" i="3"/>
  <c r="L88" i="3"/>
  <c r="I88" i="3"/>
  <c r="N88" i="3"/>
  <c r="M88" i="3"/>
  <c r="J88" i="3"/>
  <c r="G88" i="3"/>
  <c r="U94" i="3"/>
  <c r="V94" i="3"/>
  <c r="L94" i="3"/>
  <c r="I94" i="3"/>
  <c r="S94" i="3"/>
  <c r="N94" i="3"/>
  <c r="M94" i="3"/>
  <c r="J94" i="3"/>
  <c r="O94" i="3"/>
  <c r="P94" i="3"/>
  <c r="Q94" i="3"/>
  <c r="K94" i="3"/>
  <c r="R94" i="3"/>
  <c r="H94" i="3"/>
  <c r="T94" i="3"/>
  <c r="G94" i="3"/>
  <c r="U86" i="3"/>
  <c r="V86" i="3"/>
  <c r="K86" i="3"/>
  <c r="H86" i="3"/>
  <c r="N86" i="3"/>
  <c r="L86" i="3"/>
  <c r="I86" i="3"/>
  <c r="O86" i="3"/>
  <c r="P86" i="3"/>
  <c r="Q86" i="3"/>
  <c r="R86" i="3"/>
  <c r="M86" i="3"/>
  <c r="J86" i="3"/>
  <c r="S86" i="3"/>
  <c r="T86" i="3"/>
  <c r="G86" i="3"/>
  <c r="O92" i="3"/>
  <c r="P92" i="3"/>
  <c r="Q92" i="3"/>
  <c r="R92" i="3"/>
  <c r="M92" i="3"/>
  <c r="J92" i="3"/>
  <c r="S92" i="3"/>
  <c r="T92" i="3"/>
  <c r="U92" i="3"/>
  <c r="V92" i="3"/>
  <c r="K92" i="3"/>
  <c r="H92" i="3"/>
  <c r="N92" i="3"/>
  <c r="L92" i="3"/>
  <c r="I92" i="3"/>
  <c r="G92" i="3"/>
  <c r="R89" i="3"/>
  <c r="M89" i="3"/>
  <c r="J89" i="3"/>
  <c r="S89" i="3"/>
  <c r="T89" i="3"/>
  <c r="U89" i="3"/>
  <c r="V89" i="3"/>
  <c r="K89" i="3"/>
  <c r="H89" i="3"/>
  <c r="P89" i="3"/>
  <c r="N89" i="3"/>
  <c r="L89" i="3"/>
  <c r="I89" i="3"/>
  <c r="O89" i="3"/>
  <c r="Q89" i="3"/>
  <c r="G89" i="3"/>
  <c r="R85" i="3"/>
  <c r="K85" i="3"/>
  <c r="H85" i="3"/>
  <c r="S85" i="3"/>
  <c r="I85" i="3"/>
  <c r="T85" i="3"/>
  <c r="U85" i="3"/>
  <c r="V85" i="3"/>
  <c r="L85" i="3"/>
  <c r="N85" i="3"/>
  <c r="M85" i="3"/>
  <c r="J85" i="3"/>
  <c r="P85" i="3"/>
  <c r="O85" i="3"/>
  <c r="Q85" i="3"/>
  <c r="G85" i="3"/>
  <c r="I91" i="3"/>
  <c r="N91" i="3"/>
  <c r="M91" i="3"/>
  <c r="J91" i="3"/>
  <c r="V91" i="3"/>
  <c r="O91" i="3"/>
  <c r="P91" i="3"/>
  <c r="Q91" i="3"/>
  <c r="R91" i="3"/>
  <c r="K91" i="3"/>
  <c r="H91" i="3"/>
  <c r="L91" i="3"/>
  <c r="S91" i="3"/>
  <c r="T91" i="3"/>
  <c r="U91" i="3"/>
  <c r="G91" i="3"/>
  <c r="H99" i="3"/>
  <c r="N99" i="3"/>
  <c r="K99" i="3"/>
  <c r="V99" i="3"/>
  <c r="M99" i="3"/>
  <c r="O99" i="3"/>
  <c r="J99" i="3"/>
  <c r="P99" i="3"/>
  <c r="Q99" i="3"/>
  <c r="R99" i="3"/>
  <c r="L99" i="3"/>
  <c r="I99" i="3"/>
  <c r="S99" i="3"/>
  <c r="T99" i="3"/>
  <c r="U99" i="3"/>
  <c r="G99" i="3"/>
  <c r="N87" i="3"/>
  <c r="K87" i="3"/>
  <c r="H87" i="3"/>
  <c r="O87" i="3"/>
  <c r="V87" i="3"/>
  <c r="P87" i="3"/>
  <c r="M87" i="3"/>
  <c r="Q87" i="3"/>
  <c r="J87" i="3"/>
  <c r="R87" i="3"/>
  <c r="L87" i="3"/>
  <c r="I87" i="3"/>
  <c r="S87" i="3"/>
  <c r="T87" i="3"/>
  <c r="U87" i="3"/>
  <c r="G87" i="3"/>
  <c r="U98" i="3"/>
  <c r="V98" i="3"/>
  <c r="K98" i="3"/>
  <c r="H98" i="3"/>
  <c r="N98" i="3"/>
  <c r="L98" i="3"/>
  <c r="I98" i="3"/>
  <c r="O98" i="3"/>
  <c r="J98" i="3"/>
  <c r="S98" i="3"/>
  <c r="P98" i="3"/>
  <c r="Q98" i="3"/>
  <c r="M98" i="3"/>
  <c r="R98" i="3"/>
  <c r="T98" i="3"/>
  <c r="G98" i="3"/>
  <c r="I95" i="3"/>
  <c r="N95" i="3"/>
  <c r="L95" i="3"/>
  <c r="O95" i="3"/>
  <c r="P95" i="3"/>
  <c r="Q95" i="3"/>
  <c r="R95" i="3"/>
  <c r="M95" i="3"/>
  <c r="J95" i="3"/>
  <c r="S95" i="3"/>
  <c r="T95" i="3"/>
  <c r="K95" i="3"/>
  <c r="U95" i="3"/>
  <c r="V95" i="3"/>
  <c r="H95" i="3"/>
  <c r="G95" i="3"/>
  <c r="O100" i="3"/>
  <c r="P100" i="3"/>
  <c r="Q100" i="3"/>
  <c r="R100" i="3"/>
  <c r="K100" i="3"/>
  <c r="H100" i="3"/>
  <c r="S100" i="3"/>
  <c r="T100" i="3"/>
  <c r="U100" i="3"/>
  <c r="I100" i="3"/>
  <c r="V100" i="3"/>
  <c r="L100" i="3"/>
  <c r="N100" i="3"/>
  <c r="M100" i="3"/>
  <c r="J100" i="3"/>
  <c r="G100" i="3"/>
  <c r="O96" i="3"/>
  <c r="P96" i="3"/>
  <c r="I96" i="3"/>
  <c r="Q96" i="3"/>
  <c r="R96" i="3"/>
  <c r="L96" i="3"/>
  <c r="S96" i="3"/>
  <c r="T96" i="3"/>
  <c r="U96" i="3"/>
  <c r="J96" i="3"/>
  <c r="V96" i="3"/>
  <c r="M96" i="3"/>
  <c r="N96" i="3"/>
  <c r="K96" i="3"/>
  <c r="H96" i="3"/>
  <c r="G96" i="3"/>
  <c r="U90" i="3"/>
  <c r="V90" i="3"/>
  <c r="M90" i="3"/>
  <c r="J90" i="3"/>
  <c r="S90" i="3"/>
  <c r="N90" i="3"/>
  <c r="K90" i="3"/>
  <c r="H90" i="3"/>
  <c r="O90" i="3"/>
  <c r="P90" i="3"/>
  <c r="I90" i="3"/>
  <c r="Q90" i="3"/>
  <c r="R90" i="3"/>
  <c r="L90" i="3"/>
  <c r="T90" i="3"/>
  <c r="G90" i="3"/>
  <c r="R93" i="3"/>
  <c r="L93" i="3"/>
  <c r="I93" i="3"/>
  <c r="P93" i="3"/>
  <c r="S93" i="3"/>
  <c r="T93" i="3"/>
  <c r="U93" i="3"/>
  <c r="V93" i="3"/>
  <c r="M93" i="3"/>
  <c r="J93" i="3"/>
  <c r="N93" i="3"/>
  <c r="K93" i="3"/>
  <c r="H93" i="3"/>
  <c r="O93" i="3"/>
  <c r="Q93" i="3"/>
  <c r="G93" i="3"/>
  <c r="R97" i="3"/>
  <c r="K97" i="3"/>
  <c r="H97" i="3"/>
  <c r="S97" i="3"/>
  <c r="T97" i="3"/>
  <c r="I97" i="3"/>
  <c r="U97" i="3"/>
  <c r="V97" i="3"/>
  <c r="L97" i="3"/>
  <c r="N97" i="3"/>
  <c r="M97" i="3"/>
  <c r="J97" i="3"/>
  <c r="P97" i="3"/>
  <c r="O97" i="3"/>
  <c r="Q97" i="3"/>
  <c r="G97" i="3"/>
  <c r="C24" i="3"/>
  <c r="AL24" i="3"/>
  <c r="C25" i="3"/>
  <c r="AL25" i="3"/>
  <c r="U24" i="3"/>
  <c r="U25" i="3"/>
  <c r="AB25" i="3"/>
  <c r="AB24" i="3"/>
  <c r="I24" i="3"/>
  <c r="I25" i="3"/>
  <c r="J24" i="3"/>
  <c r="AK25" i="3"/>
  <c r="X25" i="3"/>
  <c r="S25" i="3"/>
  <c r="Z25" i="3"/>
  <c r="N24" i="3"/>
  <c r="K24" i="3"/>
  <c r="Y25" i="3"/>
  <c r="AK24" i="3"/>
  <c r="K25" i="3"/>
  <c r="R24" i="3"/>
  <c r="AF25" i="3"/>
  <c r="E25" i="3"/>
  <c r="AG25" i="3"/>
  <c r="J25" i="3"/>
  <c r="E24" i="3"/>
  <c r="X24" i="3"/>
  <c r="Z24" i="3"/>
  <c r="AH25" i="3"/>
  <c r="Y24" i="3"/>
  <c r="T24" i="3"/>
  <c r="AH24" i="3"/>
  <c r="AD24" i="3"/>
  <c r="T25" i="3"/>
  <c r="AF24" i="3"/>
  <c r="O24" i="3"/>
  <c r="AG24" i="3"/>
  <c r="AD25" i="3"/>
  <c r="O25" i="3"/>
  <c r="S24" i="3"/>
  <c r="N25" i="3"/>
  <c r="R25" i="3"/>
  <c r="E88" i="3"/>
  <c r="E86" i="3"/>
  <c r="E89" i="3"/>
  <c r="E99" i="3"/>
  <c r="E100" i="3"/>
  <c r="E94" i="3"/>
  <c r="E91" i="3"/>
  <c r="E98" i="3"/>
  <c r="E92" i="3"/>
  <c r="E90" i="3"/>
  <c r="E95" i="3"/>
  <c r="E97" i="3"/>
  <c r="E85" i="3"/>
  <c r="E87" i="3"/>
  <c r="E96" i="3"/>
  <c r="E93" i="3"/>
  <c r="DH135" i="7"/>
  <c r="DI134" i="7"/>
  <c r="EB26" i="7"/>
  <c r="EC25" i="7"/>
  <c r="DW27" i="7"/>
  <c r="DX26" i="7"/>
  <c r="DR26" i="7"/>
  <c r="DS25" i="7"/>
  <c r="DN26" i="7"/>
  <c r="DM27" i="7"/>
  <c r="D84" i="3"/>
  <c r="S39" i="3"/>
  <c r="R39" i="3"/>
  <c r="AF30" i="9" l="1"/>
  <c r="F97" i="3" s="1"/>
  <c r="Y30" i="9"/>
  <c r="U30" i="9"/>
  <c r="F95" i="3" s="1"/>
  <c r="O30" i="9"/>
  <c r="S30" i="9"/>
  <c r="F101" i="3" s="1"/>
  <c r="V30" i="9"/>
  <c r="I30" i="9"/>
  <c r="F103" i="3" s="1"/>
  <c r="Q30" i="9"/>
  <c r="X30" i="9"/>
  <c r="M30" i="9"/>
  <c r="AQ30" i="9"/>
  <c r="AE30" i="9"/>
  <c r="AD30" i="9"/>
  <c r="F91" i="3" s="1"/>
  <c r="W30" i="9"/>
  <c r="AT30" i="9"/>
  <c r="Z30" i="9"/>
  <c r="F86" i="3" s="1"/>
  <c r="AK30" i="9"/>
  <c r="F93" i="3" s="1"/>
  <c r="R30" i="9"/>
  <c r="F92" i="3" s="1"/>
  <c r="E30" i="9"/>
  <c r="AC30" i="9"/>
  <c r="AI30" i="9"/>
  <c r="AU30" i="9"/>
  <c r="L30" i="9"/>
  <c r="AH30" i="9"/>
  <c r="P30" i="9"/>
  <c r="AL30" i="9"/>
  <c r="F94" i="3" s="1"/>
  <c r="AN30" i="9"/>
  <c r="H30" i="9"/>
  <c r="AO30" i="9"/>
  <c r="AP30" i="9"/>
  <c r="T30" i="9"/>
  <c r="AS30" i="9"/>
  <c r="F30" i="9"/>
  <c r="G30" i="9"/>
  <c r="AM30" i="9"/>
  <c r="D30" i="9"/>
  <c r="AG30" i="9"/>
  <c r="F89" i="3" s="1"/>
  <c r="AB30" i="9"/>
  <c r="N30" i="9"/>
  <c r="C30" i="9"/>
  <c r="AA30" i="9"/>
  <c r="AJ30" i="9"/>
  <c r="K30" i="9"/>
  <c r="F85" i="3" s="1"/>
  <c r="AR30" i="9"/>
  <c r="J30" i="9"/>
  <c r="F99" i="3" s="1"/>
  <c r="U84" i="3"/>
  <c r="T84" i="3"/>
  <c r="S84" i="3"/>
  <c r="R84" i="3"/>
  <c r="M84" i="3"/>
  <c r="J84" i="3"/>
  <c r="Q84" i="3"/>
  <c r="P84" i="3"/>
  <c r="O84" i="3"/>
  <c r="H84" i="3"/>
  <c r="N84" i="3"/>
  <c r="K84" i="3"/>
  <c r="V84" i="3"/>
  <c r="L84" i="3"/>
  <c r="I84" i="3"/>
  <c r="G84" i="3"/>
  <c r="E84" i="3"/>
  <c r="DH136" i="7"/>
  <c r="DI135" i="7"/>
  <c r="EB27" i="7"/>
  <c r="EC26" i="7"/>
  <c r="DW28" i="7"/>
  <c r="DX27" i="7"/>
  <c r="DR27" i="7"/>
  <c r="DS26" i="7"/>
  <c r="DN27" i="7"/>
  <c r="DM28" i="7"/>
  <c r="G42" i="3"/>
  <c r="F42" i="3"/>
  <c r="H42" i="3"/>
  <c r="H44" i="3"/>
  <c r="F44" i="3"/>
  <c r="I42" i="3"/>
  <c r="I44" i="3"/>
  <c r="G44" i="3"/>
  <c r="F96" i="3" l="1"/>
  <c r="N46" i="8"/>
  <c r="F87" i="3"/>
  <c r="N42" i="8"/>
  <c r="F84" i="3"/>
  <c r="N40" i="8"/>
  <c r="F88" i="3"/>
  <c r="N45" i="8"/>
  <c r="F98" i="3"/>
  <c r="N44" i="8"/>
  <c r="F100" i="3"/>
  <c r="N43" i="8"/>
  <c r="F102" i="3"/>
  <c r="N41" i="8"/>
  <c r="F90" i="3"/>
  <c r="N39" i="8"/>
  <c r="D5" i="9"/>
  <c r="D7" i="9"/>
  <c r="D10" i="9"/>
  <c r="D11" i="9"/>
  <c r="D8" i="9"/>
  <c r="D4" i="9"/>
  <c r="D6" i="9"/>
  <c r="D9" i="9"/>
  <c r="G59" i="3"/>
  <c r="DI136" i="7"/>
  <c r="DH137" i="7"/>
  <c r="EC27" i="7"/>
  <c r="EB28" i="7"/>
  <c r="DW29" i="7"/>
  <c r="DX28" i="7"/>
  <c r="DS27" i="7"/>
  <c r="DR28" i="7"/>
  <c r="DN28" i="7"/>
  <c r="DM29" i="7"/>
  <c r="G53" i="3"/>
  <c r="E8" i="9" l="1"/>
  <c r="O41" i="8"/>
  <c r="E9" i="9"/>
  <c r="O44" i="8"/>
  <c r="O43" i="8"/>
  <c r="E11" i="9"/>
  <c r="O46" i="8"/>
  <c r="E6" i="9"/>
  <c r="E10" i="9"/>
  <c r="O40" i="8"/>
  <c r="O39" i="8"/>
  <c r="O45" i="8"/>
  <c r="O42" i="8"/>
  <c r="E4" i="9"/>
  <c r="E5" i="9"/>
  <c r="E7" i="9"/>
  <c r="M42" i="3"/>
  <c r="M45" i="3"/>
  <c r="DH138" i="7"/>
  <c r="DI137" i="7"/>
  <c r="EB29" i="7"/>
  <c r="EC28" i="7"/>
  <c r="DW30" i="7"/>
  <c r="DX29" i="7"/>
  <c r="DS28" i="7"/>
  <c r="DR29" i="7"/>
  <c r="DM30" i="7"/>
  <c r="DN29" i="7"/>
  <c r="R40" i="8" l="1"/>
  <c r="R39" i="8"/>
  <c r="R42" i="8"/>
  <c r="R41" i="8"/>
  <c r="S39" i="8"/>
  <c r="S40" i="8"/>
  <c r="S41" i="8"/>
  <c r="S42" i="8"/>
  <c r="AA39" i="8"/>
  <c r="AA41" i="8"/>
  <c r="AA40" i="8"/>
  <c r="AA42" i="8"/>
  <c r="AB41" i="8"/>
  <c r="AB40" i="8"/>
  <c r="AB42" i="8"/>
  <c r="AB39" i="8"/>
  <c r="T40" i="8"/>
  <c r="T41" i="8"/>
  <c r="T39" i="8"/>
  <c r="T42" i="8"/>
  <c r="U42" i="8"/>
  <c r="U40" i="8"/>
  <c r="U39" i="8"/>
  <c r="U41" i="8"/>
  <c r="Z39" i="8"/>
  <c r="Z40" i="8"/>
  <c r="Z41" i="8"/>
  <c r="Z42" i="8"/>
  <c r="AC40" i="8"/>
  <c r="AC42" i="8"/>
  <c r="AC41" i="8"/>
  <c r="AC39" i="8"/>
  <c r="J44" i="3"/>
  <c r="I59" i="3" s="1"/>
  <c r="J42" i="3"/>
  <c r="I53" i="3" s="1"/>
  <c r="DH139" i="7"/>
  <c r="DI138" i="7"/>
  <c r="EC29" i="7"/>
  <c r="EB30" i="7"/>
  <c r="DW31" i="7"/>
  <c r="DX30" i="7"/>
  <c r="DR30" i="7"/>
  <c r="DS29" i="7"/>
  <c r="DM31" i="7"/>
  <c r="DN30" i="7"/>
  <c r="AE40" i="8" l="1"/>
  <c r="W42" i="8"/>
  <c r="AE39" i="8"/>
  <c r="W39" i="8"/>
  <c r="AE41" i="8"/>
  <c r="W41" i="8"/>
  <c r="W40" i="8"/>
  <c r="AE42" i="8"/>
  <c r="DH140" i="7"/>
  <c r="DI139" i="7"/>
  <c r="EC30" i="7"/>
  <c r="EB31" i="7"/>
  <c r="DW32" i="7"/>
  <c r="DX31" i="7"/>
  <c r="DR31" i="7"/>
  <c r="DS30" i="7"/>
  <c r="DM32" i="7"/>
  <c r="DN31" i="7"/>
  <c r="AH3" i="8" l="1"/>
  <c r="AH4" i="8"/>
  <c r="DI140" i="7"/>
  <c r="DH141" i="7"/>
  <c r="EB32" i="7"/>
  <c r="EC31" i="7"/>
  <c r="DW33" i="7"/>
  <c r="DX32" i="7"/>
  <c r="DR32" i="7"/>
  <c r="DS31" i="7"/>
  <c r="DN32" i="7"/>
  <c r="DM33" i="7"/>
  <c r="DI141" i="7" l="1"/>
  <c r="DH142" i="7"/>
  <c r="EB33" i="7"/>
  <c r="EC32" i="7"/>
  <c r="DW34" i="7"/>
  <c r="DX33" i="7"/>
  <c r="DS32" i="7"/>
  <c r="DR33" i="7"/>
  <c r="DN33" i="7"/>
  <c r="DM34" i="7"/>
  <c r="DH143" i="7" l="1"/>
  <c r="DI142" i="7"/>
  <c r="EB34" i="7"/>
  <c r="EC33" i="7"/>
  <c r="DX34" i="7"/>
  <c r="DW35" i="7"/>
  <c r="DS33" i="7"/>
  <c r="DR34" i="7"/>
  <c r="DN34" i="7"/>
  <c r="DM35" i="7"/>
  <c r="DI143" i="7" l="1"/>
  <c r="DH144" i="7"/>
  <c r="EB35" i="7"/>
  <c r="EC34" i="7"/>
  <c r="DX35" i="7"/>
  <c r="DW36" i="7"/>
  <c r="DS34" i="7"/>
  <c r="DR35" i="7"/>
  <c r="DN35" i="7"/>
  <c r="DM36" i="7"/>
  <c r="DH145" i="7" l="1"/>
  <c r="DI144" i="7"/>
  <c r="EB36" i="7"/>
  <c r="EC35" i="7"/>
  <c r="DW37" i="7"/>
  <c r="DX36" i="7"/>
  <c r="DS35" i="7"/>
  <c r="DR36" i="7"/>
  <c r="DM37" i="7"/>
  <c r="DN36" i="7"/>
  <c r="DI145" i="7" l="1"/>
  <c r="DH146" i="7"/>
  <c r="EB37" i="7"/>
  <c r="EC36" i="7"/>
  <c r="DX37" i="7"/>
  <c r="DW38" i="7"/>
  <c r="DR37" i="7"/>
  <c r="DS36" i="7"/>
  <c r="DN37" i="7"/>
  <c r="DM38" i="7"/>
  <c r="DH147" i="7" l="1"/>
  <c r="DI146" i="7"/>
  <c r="EC37" i="7"/>
  <c r="EB38" i="7"/>
  <c r="DX38" i="7"/>
  <c r="DW39" i="7"/>
  <c r="DR38" i="7"/>
  <c r="DS37" i="7"/>
  <c r="DN38" i="7"/>
  <c r="DM39" i="7"/>
  <c r="DH148" i="7" l="1"/>
  <c r="DI147" i="7"/>
  <c r="EB39" i="7"/>
  <c r="EC38" i="7"/>
  <c r="DW40" i="7"/>
  <c r="DW41" i="7" s="1"/>
  <c r="DX39" i="7"/>
  <c r="DS38" i="7"/>
  <c r="DR39" i="7"/>
  <c r="DN39" i="7"/>
  <c r="DM40" i="7"/>
  <c r="DM41" i="7" s="1"/>
  <c r="DM42" i="7" l="1"/>
  <c r="DW42" i="7"/>
  <c r="DI148" i="7"/>
  <c r="DH149" i="7"/>
  <c r="EC39" i="7"/>
  <c r="EB40" i="7"/>
  <c r="EB41" i="7" s="1"/>
  <c r="DX40" i="7"/>
  <c r="DX41" i="7" s="1"/>
  <c r="DW53" i="7"/>
  <c r="DS39" i="7"/>
  <c r="DR40" i="7"/>
  <c r="DR41" i="7" s="1"/>
  <c r="DN40" i="7"/>
  <c r="DN41" i="7" s="1"/>
  <c r="DM53" i="7"/>
  <c r="EB42" i="7" l="1"/>
  <c r="DR42" i="7"/>
  <c r="DX42" i="7"/>
  <c r="DW43" i="7"/>
  <c r="DM43" i="7"/>
  <c r="DN42" i="7"/>
  <c r="DH150" i="7"/>
  <c r="DI149" i="7"/>
  <c r="EB53" i="7"/>
  <c r="EC40" i="7"/>
  <c r="EC41" i="7" s="1"/>
  <c r="DW54" i="7"/>
  <c r="DX53" i="7"/>
  <c r="DR53" i="7"/>
  <c r="DS40" i="7"/>
  <c r="DS41" i="7" s="1"/>
  <c r="DN53" i="7"/>
  <c r="DM54" i="7"/>
  <c r="DX43" i="7" l="1"/>
  <c r="DW44" i="7"/>
  <c r="EB43" i="7"/>
  <c r="EC42" i="7"/>
  <c r="DM44" i="7"/>
  <c r="DN43" i="7"/>
  <c r="DR43" i="7"/>
  <c r="DS42" i="7"/>
  <c r="DH151" i="7"/>
  <c r="DI150" i="7"/>
  <c r="EB54" i="7"/>
  <c r="EC53" i="7"/>
  <c r="DW55" i="7"/>
  <c r="DX54" i="7"/>
  <c r="DS53" i="7"/>
  <c r="DR54" i="7"/>
  <c r="DN54" i="7"/>
  <c r="DM55" i="7"/>
  <c r="DS43" i="7" l="1"/>
  <c r="DR44" i="7"/>
  <c r="DX44" i="7"/>
  <c r="DW45" i="7"/>
  <c r="DM45" i="7"/>
  <c r="DM46" i="7" s="1"/>
  <c r="DN44" i="7"/>
  <c r="EC43" i="7"/>
  <c r="EB44" i="7"/>
  <c r="DH152" i="7"/>
  <c r="DI151" i="7"/>
  <c r="EC54" i="7"/>
  <c r="EB55" i="7"/>
  <c r="DW56" i="7"/>
  <c r="DX55" i="7"/>
  <c r="DR55" i="7"/>
  <c r="DS54" i="7"/>
  <c r="DM56" i="7"/>
  <c r="DN55" i="7"/>
  <c r="DN45" i="7" l="1"/>
  <c r="DN46" i="7" s="1"/>
  <c r="EB45" i="7"/>
  <c r="EC44" i="7"/>
  <c r="DM47" i="7"/>
  <c r="DX45" i="7"/>
  <c r="DW46" i="7"/>
  <c r="DR45" i="7"/>
  <c r="DS44" i="7"/>
  <c r="DI152" i="7"/>
  <c r="DH153" i="7"/>
  <c r="EB56" i="7"/>
  <c r="EC55" i="7"/>
  <c r="DX56" i="7"/>
  <c r="DW57" i="7"/>
  <c r="DS55" i="7"/>
  <c r="DR56" i="7"/>
  <c r="DM57" i="7"/>
  <c r="DN56" i="7"/>
  <c r="DM48" i="7" l="1"/>
  <c r="DN47" i="7"/>
  <c r="DR46" i="7"/>
  <c r="DS45" i="7"/>
  <c r="DX46" i="7"/>
  <c r="DW47" i="7"/>
  <c r="EB46" i="7"/>
  <c r="EC45" i="7"/>
  <c r="DI153" i="7"/>
  <c r="DH154" i="7"/>
  <c r="EC56" i="7"/>
  <c r="EB57" i="7"/>
  <c r="DW58" i="7"/>
  <c r="DX57" i="7"/>
  <c r="DR57" i="7"/>
  <c r="DS56" i="7"/>
  <c r="DM58" i="7"/>
  <c r="DN57" i="7"/>
  <c r="EB47" i="7" l="1"/>
  <c r="EC46" i="7"/>
  <c r="DX47" i="7"/>
  <c r="DW48" i="7"/>
  <c r="DS46" i="7"/>
  <c r="DR47" i="7"/>
  <c r="DM49" i="7"/>
  <c r="DN48" i="7"/>
  <c r="DH155" i="7"/>
  <c r="DI154" i="7"/>
  <c r="EC57" i="7"/>
  <c r="EB58" i="7"/>
  <c r="DX58" i="7"/>
  <c r="DW59" i="7"/>
  <c r="DS57" i="7"/>
  <c r="DR58" i="7"/>
  <c r="DN58" i="7"/>
  <c r="DM59" i="7"/>
  <c r="DM50" i="7" l="1"/>
  <c r="DN49" i="7"/>
  <c r="DS47" i="7"/>
  <c r="DR48" i="7"/>
  <c r="DX48" i="7"/>
  <c r="DW49" i="7"/>
  <c r="EC47" i="7"/>
  <c r="EB48" i="7"/>
  <c r="DH156" i="7"/>
  <c r="DI155" i="7"/>
  <c r="EB59" i="7"/>
  <c r="EC58" i="7"/>
  <c r="DX59" i="7"/>
  <c r="DW60" i="7"/>
  <c r="DS58" i="7"/>
  <c r="DR59" i="7"/>
  <c r="DM60" i="7"/>
  <c r="DN59" i="7"/>
  <c r="EB49" i="7" l="1"/>
  <c r="EC48" i="7"/>
  <c r="DR49" i="7"/>
  <c r="DS48" i="7"/>
  <c r="DW50" i="7"/>
  <c r="DX49" i="7"/>
  <c r="DN50" i="7"/>
  <c r="DM51" i="7"/>
  <c r="DH157" i="7"/>
  <c r="DI156" i="7"/>
  <c r="EC59" i="7"/>
  <c r="EB60" i="7"/>
  <c r="DW61" i="7"/>
  <c r="DX60" i="7"/>
  <c r="DR60" i="7"/>
  <c r="DS59" i="7"/>
  <c r="DM61" i="7"/>
  <c r="DN60" i="7"/>
  <c r="DS49" i="7" l="1"/>
  <c r="DR50" i="7"/>
  <c r="DM52" i="7"/>
  <c r="DN51" i="7"/>
  <c r="DX50" i="7"/>
  <c r="DW51" i="7"/>
  <c r="EC49" i="7"/>
  <c r="EB50" i="7"/>
  <c r="DI157" i="7"/>
  <c r="DH158" i="7"/>
  <c r="EC60" i="7"/>
  <c r="EB61" i="7"/>
  <c r="DX61" i="7"/>
  <c r="DW62" i="7"/>
  <c r="DR61" i="7"/>
  <c r="DS60" i="7"/>
  <c r="DM62" i="7"/>
  <c r="DN61" i="7"/>
  <c r="DN52" i="7" l="1"/>
  <c r="EB51" i="7"/>
  <c r="EC50" i="7"/>
  <c r="DW52" i="7"/>
  <c r="DX51" i="7"/>
  <c r="DS50" i="7"/>
  <c r="DR51" i="7"/>
  <c r="DI158" i="7"/>
  <c r="DH159" i="7"/>
  <c r="EB62" i="7"/>
  <c r="EC61" i="7"/>
  <c r="DX62" i="7"/>
  <c r="DW63" i="7"/>
  <c r="DS61" i="7"/>
  <c r="DR62" i="7"/>
  <c r="DN62" i="7"/>
  <c r="DM63" i="7"/>
  <c r="DX52" i="7" l="1"/>
  <c r="DS51" i="7"/>
  <c r="DR52" i="7"/>
  <c r="EB52" i="7"/>
  <c r="EC51" i="7"/>
  <c r="DH160" i="7"/>
  <c r="DI159" i="7"/>
  <c r="EB63" i="7"/>
  <c r="EC62" i="7"/>
  <c r="DX63" i="7"/>
  <c r="DW64" i="7"/>
  <c r="DS62" i="7"/>
  <c r="DR63" i="7"/>
  <c r="DM64" i="7"/>
  <c r="DN63" i="7"/>
  <c r="DS52" i="7" l="1"/>
  <c r="EC52" i="7"/>
  <c r="DI160" i="7"/>
  <c r="DH161" i="7"/>
  <c r="EB64" i="7"/>
  <c r="EC63" i="7"/>
  <c r="DX64" i="7"/>
  <c r="DW65" i="7"/>
  <c r="DS63" i="7"/>
  <c r="DR64" i="7"/>
  <c r="DM65" i="7"/>
  <c r="DN64" i="7"/>
  <c r="DH162" i="7" l="1"/>
  <c r="DI161" i="7"/>
  <c r="EB65" i="7"/>
  <c r="EC64" i="7"/>
  <c r="DW66" i="7"/>
  <c r="DX65" i="7"/>
  <c r="DR65" i="7"/>
  <c r="DS64" i="7"/>
  <c r="DN65" i="7"/>
  <c r="DM66" i="7"/>
  <c r="DH163" i="7" l="1"/>
  <c r="DI162" i="7"/>
  <c r="EB66" i="7"/>
  <c r="EC65" i="7"/>
  <c r="DW67" i="7"/>
  <c r="DX66" i="7"/>
  <c r="DS65" i="7"/>
  <c r="DR66" i="7"/>
  <c r="DN66" i="7"/>
  <c r="DM67" i="7"/>
  <c r="DI163" i="7" l="1"/>
  <c r="DH164" i="7"/>
  <c r="EB67" i="7"/>
  <c r="EC66" i="7"/>
  <c r="DX67" i="7"/>
  <c r="DW68" i="7"/>
  <c r="DR67" i="7"/>
  <c r="DS66" i="7"/>
  <c r="DM68" i="7"/>
  <c r="DN67" i="7"/>
  <c r="DH165" i="7" l="1"/>
  <c r="DI164" i="7"/>
  <c r="EB68" i="7"/>
  <c r="EC67" i="7"/>
  <c r="DW69" i="7"/>
  <c r="DX68" i="7"/>
  <c r="DR68" i="7"/>
  <c r="DS67" i="7"/>
  <c r="DM69" i="7"/>
  <c r="DN68" i="7"/>
  <c r="DI165" i="7" l="1"/>
  <c r="DH166" i="7"/>
  <c r="EB69" i="7"/>
  <c r="EC68" i="7"/>
  <c r="DW70" i="7"/>
  <c r="DX69" i="7"/>
  <c r="DS68" i="7"/>
  <c r="DR69" i="7"/>
  <c r="DN69" i="7"/>
  <c r="DM70" i="7"/>
  <c r="DI166" i="7" l="1"/>
  <c r="DH167" i="7"/>
  <c r="EB70" i="7"/>
  <c r="EC69" i="7"/>
  <c r="DX70" i="7"/>
  <c r="DW71" i="7"/>
  <c r="DS69" i="7"/>
  <c r="DR70" i="7"/>
  <c r="DM71" i="7"/>
  <c r="DN70" i="7"/>
  <c r="DI167" i="7" l="1"/>
  <c r="DH168" i="7"/>
  <c r="EB71" i="7"/>
  <c r="EC70" i="7"/>
  <c r="DX71" i="7"/>
  <c r="DW72" i="7"/>
  <c r="DR71" i="7"/>
  <c r="DS70" i="7"/>
  <c r="DM72" i="7"/>
  <c r="DN71" i="7"/>
  <c r="DI168" i="7" l="1"/>
  <c r="DH169" i="7"/>
  <c r="EB72" i="7"/>
  <c r="EC71" i="7"/>
  <c r="DX72" i="7"/>
  <c r="DW73" i="7"/>
  <c r="DS71" i="7"/>
  <c r="DR72" i="7"/>
  <c r="DM73" i="7"/>
  <c r="DN72" i="7"/>
  <c r="DI169" i="7" l="1"/>
  <c r="DH170" i="7"/>
  <c r="EC72" i="7"/>
  <c r="EB73" i="7"/>
  <c r="DW74" i="7"/>
  <c r="DX73" i="7"/>
  <c r="DS72" i="7"/>
  <c r="DR73" i="7"/>
  <c r="DN73" i="7"/>
  <c r="DM74" i="7"/>
  <c r="DI170" i="7" l="1"/>
  <c r="DH171" i="7"/>
  <c r="EC73" i="7"/>
  <c r="EB74" i="7"/>
  <c r="DW75" i="7"/>
  <c r="DX74" i="7"/>
  <c r="DS73" i="7"/>
  <c r="DR74" i="7"/>
  <c r="DM75" i="7"/>
  <c r="DN74" i="7"/>
  <c r="DH172" i="7" l="1"/>
  <c r="DI171" i="7"/>
  <c r="EC74" i="7"/>
  <c r="EB75" i="7"/>
  <c r="DW76" i="7"/>
  <c r="DX75" i="7"/>
  <c r="DR75" i="7"/>
  <c r="DS74" i="7"/>
  <c r="DN75" i="7"/>
  <c r="DM76" i="7"/>
  <c r="DH173" i="7" l="1"/>
  <c r="DI172" i="7"/>
  <c r="EC75" i="7"/>
  <c r="EB76" i="7"/>
  <c r="DX76" i="7"/>
  <c r="DW77" i="7"/>
  <c r="DR76" i="7"/>
  <c r="DS75" i="7"/>
  <c r="DN76" i="7"/>
  <c r="DM77" i="7"/>
  <c r="DI173" i="7" l="1"/>
  <c r="DH174" i="7"/>
  <c r="EC76" i="7"/>
  <c r="EB77" i="7"/>
  <c r="DX77" i="7"/>
  <c r="DW78" i="7"/>
  <c r="DS76" i="7"/>
  <c r="DR77" i="7"/>
  <c r="DN77" i="7"/>
  <c r="DM78" i="7"/>
  <c r="DH175" i="7" l="1"/>
  <c r="DI174" i="7"/>
  <c r="EC77" i="7"/>
  <c r="EB78" i="7"/>
  <c r="DW79" i="7"/>
  <c r="DX78" i="7"/>
  <c r="DS77" i="7"/>
  <c r="DR78" i="7"/>
  <c r="DN78" i="7"/>
  <c r="DM79" i="7"/>
  <c r="DH176" i="7" l="1"/>
  <c r="DI175" i="7"/>
  <c r="EC78" i="7"/>
  <c r="EB79" i="7"/>
  <c r="DW80" i="7"/>
  <c r="DX79" i="7"/>
  <c r="DR79" i="7"/>
  <c r="DS78" i="7"/>
  <c r="DM80" i="7"/>
  <c r="DN79" i="7"/>
  <c r="DI176" i="7" l="1"/>
  <c r="DH177" i="7"/>
  <c r="EB80" i="7"/>
  <c r="EC79" i="7"/>
  <c r="DX80" i="7"/>
  <c r="DW81" i="7"/>
  <c r="DS79" i="7"/>
  <c r="DR80" i="7"/>
  <c r="DN80" i="7"/>
  <c r="DM81" i="7"/>
  <c r="DH178" i="7" l="1"/>
  <c r="DI177" i="7"/>
  <c r="EC80" i="7"/>
  <c r="EB81" i="7"/>
  <c r="DX81" i="7"/>
  <c r="DW82" i="7"/>
  <c r="DS80" i="7"/>
  <c r="DR81" i="7"/>
  <c r="DM82" i="7"/>
  <c r="DN81" i="7"/>
  <c r="DH179" i="7" l="1"/>
  <c r="DI178" i="7"/>
  <c r="EB82" i="7"/>
  <c r="EC81" i="7"/>
  <c r="DX82" i="7"/>
  <c r="DW83" i="7"/>
  <c r="DS81" i="7"/>
  <c r="DR82" i="7"/>
  <c r="DN82" i="7"/>
  <c r="DM83" i="7"/>
  <c r="DI179" i="7" l="1"/>
  <c r="DH180" i="7"/>
  <c r="EC82" i="7"/>
  <c r="EB83" i="7"/>
  <c r="DW84" i="7"/>
  <c r="DX83" i="7"/>
  <c r="DR83" i="7"/>
  <c r="DS82" i="7"/>
  <c r="DM84" i="7"/>
  <c r="DN83" i="7"/>
  <c r="DI180" i="7" l="1"/>
  <c r="DH181" i="7"/>
  <c r="EB84" i="7"/>
  <c r="EC83" i="7"/>
  <c r="DW85" i="7"/>
  <c r="DX84" i="7"/>
  <c r="DS83" i="7"/>
  <c r="DR84" i="7"/>
  <c r="DN84" i="7"/>
  <c r="DM85" i="7"/>
  <c r="DH182" i="7" l="1"/>
  <c r="DI181" i="7"/>
  <c r="EB85" i="7"/>
  <c r="EC84" i="7"/>
  <c r="DX85" i="7"/>
  <c r="DW86" i="7"/>
  <c r="DR85" i="7"/>
  <c r="DS84" i="7"/>
  <c r="DM86" i="7"/>
  <c r="DN85" i="7"/>
  <c r="DI182" i="7" l="1"/>
  <c r="DH183" i="7"/>
  <c r="EC85" i="7"/>
  <c r="EB86" i="7"/>
  <c r="DW87" i="7"/>
  <c r="DX86" i="7"/>
  <c r="DS85" i="7"/>
  <c r="DR86" i="7"/>
  <c r="DM87" i="7"/>
  <c r="DN86" i="7"/>
  <c r="DI183" i="7" l="1"/>
  <c r="DH184" i="7"/>
  <c r="EC86" i="7"/>
  <c r="EB87" i="7"/>
  <c r="DW88" i="7"/>
  <c r="DX87" i="7"/>
  <c r="DS86" i="7"/>
  <c r="DR87" i="7"/>
  <c r="DN87" i="7"/>
  <c r="DM88" i="7"/>
  <c r="DI184" i="7" l="1"/>
  <c r="DH185" i="7"/>
  <c r="EB88" i="7"/>
  <c r="EC87" i="7"/>
  <c r="DX88" i="7"/>
  <c r="DW89" i="7"/>
  <c r="DR88" i="7"/>
  <c r="DS87" i="7"/>
  <c r="DM89" i="7"/>
  <c r="DN88" i="7"/>
  <c r="DH186" i="7" l="1"/>
  <c r="DI185" i="7"/>
  <c r="EC88" i="7"/>
  <c r="EB89" i="7"/>
  <c r="DX89" i="7"/>
  <c r="DW90" i="7"/>
  <c r="DR89" i="7"/>
  <c r="DS88" i="7"/>
  <c r="DN89" i="7"/>
  <c r="DM90" i="7"/>
  <c r="DH187" i="7" l="1"/>
  <c r="DI186" i="7"/>
  <c r="EC89" i="7"/>
  <c r="EB90" i="7"/>
  <c r="DW91" i="7"/>
  <c r="DX90" i="7"/>
  <c r="DR90" i="7"/>
  <c r="DS89" i="7"/>
  <c r="DM91" i="7"/>
  <c r="DN90" i="7"/>
  <c r="DI187" i="7" l="1"/>
  <c r="DH188" i="7"/>
  <c r="EC90" i="7"/>
  <c r="EB91" i="7"/>
  <c r="DX91" i="7"/>
  <c r="DW92" i="7"/>
  <c r="DR91" i="7"/>
  <c r="DS90" i="7"/>
  <c r="DN91" i="7"/>
  <c r="DM92" i="7"/>
  <c r="DI188" i="7" l="1"/>
  <c r="DH189" i="7"/>
  <c r="EB92" i="7"/>
  <c r="EC91" i="7"/>
  <c r="DX92" i="7"/>
  <c r="DW93" i="7"/>
  <c r="DR92" i="7"/>
  <c r="DS91" i="7"/>
  <c r="DN92" i="7"/>
  <c r="DM93" i="7"/>
  <c r="DI189" i="7" l="1"/>
  <c r="DH190" i="7"/>
  <c r="EB93" i="7"/>
  <c r="EC92" i="7"/>
  <c r="DW94" i="7"/>
  <c r="DX93" i="7"/>
  <c r="DS92" i="7"/>
  <c r="DR93" i="7"/>
  <c r="DN93" i="7"/>
  <c r="DM94" i="7"/>
  <c r="DI190" i="7" l="1"/>
  <c r="DH191" i="7"/>
  <c r="EB94" i="7"/>
  <c r="EC93" i="7"/>
  <c r="DW95" i="7"/>
  <c r="DX94" i="7"/>
  <c r="DS93" i="7"/>
  <c r="DR94" i="7"/>
  <c r="DM95" i="7"/>
  <c r="DN94" i="7"/>
  <c r="DH192" i="7" l="1"/>
  <c r="DI191" i="7"/>
  <c r="EB95" i="7"/>
  <c r="EC94" i="7"/>
  <c r="DX95" i="7"/>
  <c r="DW96" i="7"/>
  <c r="DR95" i="7"/>
  <c r="DS94" i="7"/>
  <c r="DM96" i="7"/>
  <c r="DN95" i="7"/>
  <c r="DI192" i="7" l="1"/>
  <c r="DH193" i="7"/>
  <c r="EB96" i="7"/>
  <c r="EC95" i="7"/>
  <c r="DW97" i="7"/>
  <c r="DX96" i="7"/>
  <c r="DS95" i="7"/>
  <c r="DR96" i="7"/>
  <c r="DN96" i="7"/>
  <c r="DM97" i="7"/>
  <c r="DH194" i="7" l="1"/>
  <c r="DI193" i="7"/>
  <c r="EB97" i="7"/>
  <c r="EC96" i="7"/>
  <c r="DX97" i="7"/>
  <c r="DW98" i="7"/>
  <c r="DR97" i="7"/>
  <c r="DS96" i="7"/>
  <c r="DM98" i="7"/>
  <c r="DN97" i="7"/>
  <c r="DH195" i="7" l="1"/>
  <c r="DI194" i="7"/>
  <c r="EC97" i="7"/>
  <c r="EB98" i="7"/>
  <c r="DX98" i="7"/>
  <c r="DW99" i="7"/>
  <c r="DR98" i="7"/>
  <c r="DS97" i="7"/>
  <c r="DM99" i="7"/>
  <c r="DN98" i="7"/>
  <c r="DH196" i="7" l="1"/>
  <c r="DI195" i="7"/>
  <c r="EC98" i="7"/>
  <c r="EB99" i="7"/>
  <c r="DX99" i="7"/>
  <c r="DW100" i="7"/>
  <c r="DR99" i="7"/>
  <c r="DS98" i="7"/>
  <c r="DM100" i="7"/>
  <c r="DN99" i="7"/>
  <c r="DH197" i="7" l="1"/>
  <c r="DI196" i="7"/>
  <c r="EB100" i="7"/>
  <c r="EC99" i="7"/>
  <c r="DW101" i="7"/>
  <c r="DX100" i="7"/>
  <c r="DR100" i="7"/>
  <c r="DS99" i="7"/>
  <c r="DM101" i="7"/>
  <c r="DN100" i="7"/>
  <c r="DH198" i="7" l="1"/>
  <c r="DI197" i="7"/>
  <c r="EC100" i="7"/>
  <c r="EB101" i="7"/>
  <c r="DW102" i="7"/>
  <c r="DX101" i="7"/>
  <c r="DR101" i="7"/>
  <c r="DS100" i="7"/>
  <c r="DM102" i="7"/>
  <c r="DN101" i="7"/>
  <c r="DH199" i="7" l="1"/>
  <c r="DI198" i="7"/>
  <c r="EB102" i="7"/>
  <c r="EC101" i="7"/>
  <c r="DW103" i="7"/>
  <c r="DX102" i="7"/>
  <c r="DS101" i="7"/>
  <c r="DR102" i="7"/>
  <c r="DN102" i="7"/>
  <c r="DM103" i="7"/>
  <c r="DH200" i="7" l="1"/>
  <c r="DI199" i="7"/>
  <c r="EC102" i="7"/>
  <c r="EB103" i="7"/>
  <c r="DX103" i="7"/>
  <c r="DW104" i="7"/>
  <c r="DR103" i="7"/>
  <c r="DS102" i="7"/>
  <c r="DM104" i="7"/>
  <c r="DN103" i="7"/>
  <c r="DH201" i="7" l="1"/>
  <c r="DI200" i="7"/>
  <c r="EC103" i="7"/>
  <c r="EB104" i="7"/>
  <c r="DX104" i="7"/>
  <c r="DW105" i="7"/>
  <c r="DR104" i="7"/>
  <c r="DS103" i="7"/>
  <c r="DN104" i="7"/>
  <c r="DM105" i="7"/>
  <c r="DH202" i="7" l="1"/>
  <c r="DI201" i="7"/>
  <c r="EC104" i="7"/>
  <c r="EB105" i="7"/>
  <c r="DW106" i="7"/>
  <c r="DX105" i="7"/>
  <c r="DS104" i="7"/>
  <c r="DR105" i="7"/>
  <c r="DN105" i="7"/>
  <c r="DM106" i="7"/>
  <c r="DI202" i="7" l="1"/>
  <c r="DH203" i="7"/>
  <c r="EB106" i="7"/>
  <c r="EC105" i="7"/>
  <c r="DW107" i="7"/>
  <c r="DX106" i="7"/>
  <c r="DS105" i="7"/>
  <c r="DR106" i="7"/>
  <c r="DN106" i="7"/>
  <c r="DM107" i="7"/>
  <c r="DH204" i="7" l="1"/>
  <c r="DI203" i="7"/>
  <c r="EB107" i="7"/>
  <c r="EC106" i="7"/>
  <c r="DX107" i="7"/>
  <c r="DW108" i="7"/>
  <c r="DR107" i="7"/>
  <c r="DS106" i="7"/>
  <c r="DN107" i="7"/>
  <c r="DM108" i="7"/>
  <c r="DH205" i="7" l="1"/>
  <c r="DI204" i="7"/>
  <c r="EC107" i="7"/>
  <c r="EB108" i="7"/>
  <c r="DW109" i="7"/>
  <c r="DX108" i="7"/>
  <c r="DS107" i="7"/>
  <c r="DR108" i="7"/>
  <c r="DN108" i="7"/>
  <c r="DM109" i="7"/>
  <c r="DI205" i="7" l="1"/>
  <c r="DH206" i="7"/>
  <c r="EB109" i="7"/>
  <c r="EC108" i="7"/>
  <c r="DX109" i="7"/>
  <c r="DW110" i="7"/>
  <c r="DR109" i="7"/>
  <c r="DS108" i="7"/>
  <c r="DM110" i="7"/>
  <c r="DN109" i="7"/>
  <c r="DH207" i="7" l="1"/>
  <c r="DI206" i="7"/>
  <c r="EB110" i="7"/>
  <c r="EC109" i="7"/>
  <c r="DW111" i="7"/>
  <c r="DX110" i="7"/>
  <c r="DS109" i="7"/>
  <c r="DR110" i="7"/>
  <c r="DN110" i="7"/>
  <c r="DM111" i="7"/>
  <c r="DI207" i="7" l="1"/>
  <c r="DH208" i="7"/>
  <c r="EB111" i="7"/>
  <c r="EC110" i="7"/>
  <c r="DW112" i="7"/>
  <c r="DW113" i="7" s="1"/>
  <c r="DX111" i="7"/>
  <c r="DS110" i="7"/>
  <c r="DR111" i="7"/>
  <c r="DN111" i="7"/>
  <c r="DM112" i="7"/>
  <c r="DM113" i="7" s="1"/>
  <c r="DM114" i="7" l="1"/>
  <c r="DW114" i="7"/>
  <c r="DI208" i="7"/>
  <c r="DH209" i="7"/>
  <c r="EB112" i="7"/>
  <c r="EB113" i="7" s="1"/>
  <c r="EC111" i="7"/>
  <c r="DX112" i="7"/>
  <c r="DX113" i="7" s="1"/>
  <c r="DS111" i="7"/>
  <c r="DR112" i="7"/>
  <c r="DR113" i="7" s="1"/>
  <c r="DN112" i="7"/>
  <c r="DN113" i="7" s="1"/>
  <c r="DR114" i="7" l="1"/>
  <c r="EB114" i="7"/>
  <c r="DH210" i="7"/>
  <c r="DI209" i="7"/>
  <c r="DW115" i="7"/>
  <c r="DX114" i="7"/>
  <c r="DM115" i="7"/>
  <c r="DN114" i="7"/>
  <c r="EC112" i="7"/>
  <c r="EC113" i="7" s="1"/>
  <c r="DS112" i="7"/>
  <c r="DS113" i="7" s="1"/>
  <c r="DM116" i="7" l="1"/>
  <c r="DM117" i="7" s="1"/>
  <c r="DM118" i="7" s="1"/>
  <c r="DM119" i="7" s="1"/>
  <c r="DM120" i="7" s="1"/>
  <c r="DN115" i="7"/>
  <c r="DH211" i="7"/>
  <c r="DI210" i="7"/>
  <c r="DW116" i="7"/>
  <c r="DW117" i="7" s="1"/>
  <c r="DX115" i="7"/>
  <c r="EC114" i="7"/>
  <c r="EB115" i="7"/>
  <c r="DR115" i="7"/>
  <c r="DR116" i="7" s="1"/>
  <c r="DS114" i="7"/>
  <c r="DN116" i="7" l="1"/>
  <c r="DN117" i="7" s="1"/>
  <c r="DN118" i="7" s="1"/>
  <c r="DN119" i="7" s="1"/>
  <c r="DN120" i="7" s="1"/>
  <c r="DX116" i="7"/>
  <c r="DX117" i="7" s="1"/>
  <c r="DS115" i="7"/>
  <c r="DS116" i="7" s="1"/>
  <c r="EB116" i="7"/>
  <c r="EC115" i="7"/>
  <c r="DR117" i="7"/>
  <c r="DR118" i="7" s="1"/>
  <c r="DR119" i="7" s="1"/>
  <c r="DW118" i="7"/>
  <c r="DI211" i="7"/>
  <c r="DH212" i="7"/>
  <c r="DM121" i="7"/>
  <c r="DS117" i="7" l="1"/>
  <c r="DS118" i="7" s="1"/>
  <c r="DS119" i="7" s="1"/>
  <c r="DI212" i="7"/>
  <c r="AB56" i="7" s="1"/>
  <c r="AA56" i="7"/>
  <c r="DW119" i="7"/>
  <c r="DX118" i="7"/>
  <c r="DN121" i="7"/>
  <c r="DM122" i="7"/>
  <c r="DR120" i="7"/>
  <c r="EC116" i="7"/>
  <c r="EB117" i="7"/>
  <c r="DR121" i="7" l="1"/>
  <c r="DS120" i="7"/>
  <c r="DN122" i="7"/>
  <c r="DM123" i="7"/>
  <c r="EB118" i="7"/>
  <c r="EC117" i="7"/>
  <c r="DX119" i="7"/>
  <c r="DW120" i="7"/>
  <c r="EC118" i="7" l="1"/>
  <c r="EB119" i="7"/>
  <c r="DW121" i="7"/>
  <c r="DX120" i="7"/>
  <c r="DN123" i="7"/>
  <c r="DM124" i="7"/>
  <c r="DR122" i="7"/>
  <c r="DS121" i="7"/>
  <c r="DS122" i="7" l="1"/>
  <c r="DR123" i="7"/>
  <c r="DM125" i="7"/>
  <c r="DN124" i="7"/>
  <c r="DW122" i="7"/>
  <c r="DX121" i="7"/>
  <c r="EC119" i="7"/>
  <c r="EB120" i="7"/>
  <c r="EC120" i="7" l="1"/>
  <c r="EB121" i="7"/>
  <c r="DM126" i="7"/>
  <c r="DN125" i="7"/>
  <c r="DW123" i="7"/>
  <c r="DX122" i="7"/>
  <c r="DR124" i="7"/>
  <c r="DS123" i="7"/>
  <c r="DS124" i="7" l="1"/>
  <c r="DR125" i="7"/>
  <c r="DX123" i="7"/>
  <c r="DW124" i="7"/>
  <c r="DN126" i="7"/>
  <c r="DM127" i="7"/>
  <c r="EB122" i="7"/>
  <c r="EC121" i="7"/>
  <c r="EB123" i="7" l="1"/>
  <c r="EC122" i="7"/>
  <c r="DN127" i="7"/>
  <c r="DM128" i="7"/>
  <c r="DW125" i="7"/>
  <c r="DX124" i="7"/>
  <c r="DS125" i="7"/>
  <c r="DR126" i="7"/>
  <c r="DS126" i="7" l="1"/>
  <c r="DR127" i="7"/>
  <c r="DW126" i="7"/>
  <c r="DX125" i="7"/>
  <c r="DM129" i="7"/>
  <c r="DN128" i="7"/>
  <c r="EC123" i="7"/>
  <c r="EB124" i="7"/>
  <c r="DM130" i="7" l="1"/>
  <c r="DN129" i="7"/>
  <c r="EB125" i="7"/>
  <c r="EC124" i="7"/>
  <c r="DW127" i="7"/>
  <c r="DX126" i="7"/>
  <c r="DS127" i="7"/>
  <c r="DR128" i="7"/>
  <c r="EB126" i="7" l="1"/>
  <c r="EC125" i="7"/>
  <c r="DW128" i="7"/>
  <c r="DX127" i="7"/>
  <c r="DS128" i="7"/>
  <c r="DR129" i="7"/>
  <c r="DN130" i="7"/>
  <c r="DM131" i="7"/>
  <c r="DN131" i="7" l="1"/>
  <c r="DM132" i="7"/>
  <c r="DX128" i="7"/>
  <c r="DW129" i="7"/>
  <c r="DR130" i="7"/>
  <c r="DS129" i="7"/>
  <c r="EC126" i="7"/>
  <c r="EB127" i="7"/>
  <c r="EC127" i="7" l="1"/>
  <c r="EB128" i="7"/>
  <c r="DR131" i="7"/>
  <c r="DS130" i="7"/>
  <c r="DX129" i="7"/>
  <c r="DW130" i="7"/>
  <c r="DN132" i="7"/>
  <c r="DM133" i="7"/>
  <c r="DM134" i="7" l="1"/>
  <c r="DN133" i="7"/>
  <c r="DW131" i="7"/>
  <c r="DX130" i="7"/>
  <c r="EC128" i="7"/>
  <c r="EB129" i="7"/>
  <c r="DR132" i="7"/>
  <c r="DS131" i="7"/>
  <c r="DS132" i="7" l="1"/>
  <c r="DR133" i="7"/>
  <c r="EB130" i="7"/>
  <c r="EC129" i="7"/>
  <c r="DW132" i="7"/>
  <c r="DX131" i="7"/>
  <c r="DN134" i="7"/>
  <c r="DM135" i="7"/>
  <c r="DW133" i="7" l="1"/>
  <c r="DX132" i="7"/>
  <c r="DS133" i="7"/>
  <c r="DR134" i="7"/>
  <c r="DN135" i="7"/>
  <c r="DM136" i="7"/>
  <c r="EC130" i="7"/>
  <c r="EB131" i="7"/>
  <c r="EB132" i="7" l="1"/>
  <c r="EC131" i="7"/>
  <c r="DN136" i="7"/>
  <c r="DM137" i="7"/>
  <c r="DR135" i="7"/>
  <c r="DS134" i="7"/>
  <c r="DX133" i="7"/>
  <c r="DW134" i="7"/>
  <c r="DX134" i="7" l="1"/>
  <c r="DW135" i="7"/>
  <c r="DS135" i="7"/>
  <c r="DR136" i="7"/>
  <c r="DN137" i="7"/>
  <c r="DM138" i="7"/>
  <c r="EC132" i="7"/>
  <c r="EB133" i="7"/>
  <c r="EC133" i="7" l="1"/>
  <c r="EB134" i="7"/>
  <c r="DN138" i="7"/>
  <c r="DM139" i="7"/>
  <c r="DR137" i="7"/>
  <c r="DS136" i="7"/>
  <c r="DX135" i="7"/>
  <c r="DW136" i="7"/>
  <c r="DW137" i="7" l="1"/>
  <c r="DX136" i="7"/>
  <c r="DR138" i="7"/>
  <c r="DS137" i="7"/>
  <c r="DN139" i="7"/>
  <c r="DM140" i="7"/>
  <c r="EC134" i="7"/>
  <c r="EB135" i="7"/>
  <c r="EC135" i="7" l="1"/>
  <c r="EB136" i="7"/>
  <c r="DM141" i="7"/>
  <c r="DN140" i="7"/>
  <c r="DR139" i="7"/>
  <c r="DS138" i="7"/>
  <c r="DW138" i="7"/>
  <c r="DX137" i="7"/>
  <c r="EC136" i="7" l="1"/>
  <c r="EB137" i="7"/>
  <c r="DW139" i="7"/>
  <c r="DX138" i="7"/>
  <c r="DS139" i="7"/>
  <c r="DR140" i="7"/>
  <c r="DN141" i="7"/>
  <c r="DM142" i="7"/>
  <c r="DM143" i="7" l="1"/>
  <c r="DN142" i="7"/>
  <c r="EB138" i="7"/>
  <c r="EC137" i="7"/>
  <c r="DS140" i="7"/>
  <c r="DR141" i="7"/>
  <c r="DW140" i="7"/>
  <c r="DX139" i="7"/>
  <c r="DX140" i="7" l="1"/>
  <c r="DW141" i="7"/>
  <c r="DS141" i="7"/>
  <c r="DR142" i="7"/>
  <c r="EC138" i="7"/>
  <c r="EB139" i="7"/>
  <c r="DN143" i="7"/>
  <c r="DM144" i="7"/>
  <c r="DX141" i="7" l="1"/>
  <c r="DW142" i="7"/>
  <c r="DM145" i="7"/>
  <c r="DN144" i="7"/>
  <c r="EC139" i="7"/>
  <c r="EB140" i="7"/>
  <c r="DR143" i="7"/>
  <c r="DS142" i="7"/>
  <c r="DR144" i="7" l="1"/>
  <c r="DS143" i="7"/>
  <c r="DN145" i="7"/>
  <c r="DM146" i="7"/>
  <c r="DX142" i="7"/>
  <c r="DW143" i="7"/>
  <c r="EC140" i="7"/>
  <c r="EB141" i="7"/>
  <c r="DN146" i="7" l="1"/>
  <c r="DM147" i="7"/>
  <c r="EC141" i="7"/>
  <c r="EB142" i="7"/>
  <c r="DW144" i="7"/>
  <c r="DX143" i="7"/>
  <c r="DR145" i="7"/>
  <c r="DS144" i="7"/>
  <c r="DR146" i="7" l="1"/>
  <c r="DS145" i="7"/>
  <c r="DX144" i="7"/>
  <c r="DW145" i="7"/>
  <c r="DM148" i="7"/>
  <c r="DN147" i="7"/>
  <c r="EC142" i="7"/>
  <c r="EB143" i="7"/>
  <c r="EC143" i="7" l="1"/>
  <c r="EB144" i="7"/>
  <c r="DM149" i="7"/>
  <c r="DN148" i="7"/>
  <c r="DX145" i="7"/>
  <c r="DW146" i="7"/>
  <c r="DR147" i="7"/>
  <c r="DS146" i="7"/>
  <c r="DR148" i="7" l="1"/>
  <c r="DS147" i="7"/>
  <c r="EC144" i="7"/>
  <c r="EB145" i="7"/>
  <c r="DX146" i="7"/>
  <c r="DW147" i="7"/>
  <c r="DM150" i="7"/>
  <c r="DN149" i="7"/>
  <c r="DN150" i="7" l="1"/>
  <c r="DM151" i="7"/>
  <c r="DX147" i="7"/>
  <c r="DW148" i="7"/>
  <c r="EC145" i="7"/>
  <c r="EB146" i="7"/>
  <c r="DR149" i="7"/>
  <c r="DS148" i="7"/>
  <c r="EC146" i="7" l="1"/>
  <c r="EB147" i="7"/>
  <c r="DW149" i="7"/>
  <c r="DX148" i="7"/>
  <c r="DN151" i="7"/>
  <c r="DM152" i="7"/>
  <c r="DS149" i="7"/>
  <c r="DR150" i="7"/>
  <c r="DS150" i="7" l="1"/>
  <c r="DR151" i="7"/>
  <c r="DM153" i="7"/>
  <c r="DN152" i="7"/>
  <c r="EB148" i="7"/>
  <c r="EC147" i="7"/>
  <c r="DW150" i="7"/>
  <c r="DX149" i="7"/>
  <c r="DX150" i="7" l="1"/>
  <c r="DW151" i="7"/>
  <c r="EB149" i="7"/>
  <c r="EC148" i="7"/>
  <c r="DN153" i="7"/>
  <c r="DM154" i="7"/>
  <c r="DR152" i="7"/>
  <c r="DS151" i="7"/>
  <c r="DS152" i="7" l="1"/>
  <c r="DR153" i="7"/>
  <c r="DN154" i="7"/>
  <c r="DM155" i="7"/>
  <c r="EB150" i="7"/>
  <c r="EC149" i="7"/>
  <c r="DX151" i="7"/>
  <c r="DW152" i="7"/>
  <c r="DX152" i="7" l="1"/>
  <c r="DW153" i="7"/>
  <c r="EC150" i="7"/>
  <c r="EB151" i="7"/>
  <c r="DM156" i="7"/>
  <c r="DN155" i="7"/>
  <c r="DR154" i="7"/>
  <c r="DS153" i="7"/>
  <c r="DS154" i="7" l="1"/>
  <c r="DR155" i="7"/>
  <c r="DN156" i="7"/>
  <c r="DM157" i="7"/>
  <c r="EB152" i="7"/>
  <c r="EC151" i="7"/>
  <c r="DX153" i="7"/>
  <c r="DW154" i="7"/>
  <c r="DW155" i="7" l="1"/>
  <c r="DX154" i="7"/>
  <c r="EC152" i="7"/>
  <c r="EB153" i="7"/>
  <c r="DR156" i="7"/>
  <c r="DS155" i="7"/>
  <c r="DN157" i="7"/>
  <c r="DM158" i="7"/>
  <c r="DN158" i="7" l="1"/>
  <c r="DM159" i="7"/>
  <c r="DR157" i="7"/>
  <c r="DS156" i="7"/>
  <c r="EC153" i="7"/>
  <c r="EB154" i="7"/>
  <c r="DW156" i="7"/>
  <c r="DX155" i="7"/>
  <c r="DX156" i="7" l="1"/>
  <c r="DW157" i="7"/>
  <c r="EB155" i="7"/>
  <c r="EC154" i="7"/>
  <c r="DR158" i="7"/>
  <c r="DS157" i="7"/>
  <c r="DM160" i="7"/>
  <c r="DN159" i="7"/>
  <c r="DN160" i="7" l="1"/>
  <c r="DM161" i="7"/>
  <c r="DR159" i="7"/>
  <c r="DS158" i="7"/>
  <c r="EB156" i="7"/>
  <c r="EC155" i="7"/>
  <c r="DX157" i="7"/>
  <c r="DW158" i="7"/>
  <c r="DX158" i="7" l="1"/>
  <c r="DW159" i="7"/>
  <c r="EB157" i="7"/>
  <c r="EC156" i="7"/>
  <c r="DS159" i="7"/>
  <c r="DR160" i="7"/>
  <c r="DM162" i="7"/>
  <c r="DN161" i="7"/>
  <c r="DN162" i="7" l="1"/>
  <c r="DM163" i="7"/>
  <c r="DR161" i="7"/>
  <c r="DS160" i="7"/>
  <c r="EC157" i="7"/>
  <c r="EB158" i="7"/>
  <c r="DW160" i="7"/>
  <c r="DX159" i="7"/>
  <c r="DW161" i="7" l="1"/>
  <c r="DX160" i="7"/>
  <c r="EC158" i="7"/>
  <c r="EB159" i="7"/>
  <c r="DS161" i="7"/>
  <c r="DR162" i="7"/>
  <c r="DN163" i="7"/>
  <c r="DM164" i="7"/>
  <c r="DM165" i="7" l="1"/>
  <c r="DN164" i="7"/>
  <c r="DS162" i="7"/>
  <c r="DR163" i="7"/>
  <c r="EB160" i="7"/>
  <c r="EC159" i="7"/>
  <c r="DX161" i="7"/>
  <c r="DW162" i="7"/>
  <c r="DX162" i="7" l="1"/>
  <c r="DW163" i="7"/>
  <c r="EC160" i="7"/>
  <c r="EB161" i="7"/>
  <c r="DS163" i="7"/>
  <c r="DR164" i="7"/>
  <c r="DN165" i="7"/>
  <c r="DM166" i="7"/>
  <c r="DN166" i="7" l="1"/>
  <c r="DM167" i="7"/>
  <c r="EB162" i="7"/>
  <c r="EC161" i="7"/>
  <c r="DX163" i="7"/>
  <c r="DW164" i="7"/>
  <c r="DS164" i="7"/>
  <c r="DR165" i="7"/>
  <c r="DS165" i="7" l="1"/>
  <c r="DR166" i="7"/>
  <c r="DX164" i="7"/>
  <c r="DW165" i="7"/>
  <c r="EC162" i="7"/>
  <c r="EB163" i="7"/>
  <c r="DN167" i="7"/>
  <c r="DM168" i="7"/>
  <c r="DN168" i="7" l="1"/>
  <c r="DM169" i="7"/>
  <c r="EC163" i="7"/>
  <c r="EB164" i="7"/>
  <c r="DW166" i="7"/>
  <c r="DX165" i="7"/>
  <c r="DR167" i="7"/>
  <c r="DS166" i="7"/>
  <c r="DR168" i="7" l="1"/>
  <c r="DS167" i="7"/>
  <c r="EB165" i="7"/>
  <c r="EC164" i="7"/>
  <c r="DX166" i="7"/>
  <c r="DW167" i="7"/>
  <c r="DM170" i="7"/>
  <c r="DN169" i="7"/>
  <c r="DM171" i="7" l="1"/>
  <c r="DN170" i="7"/>
  <c r="DX167" i="7"/>
  <c r="DW168" i="7"/>
  <c r="EB166" i="7"/>
  <c r="EC165" i="7"/>
  <c r="DS168" i="7"/>
  <c r="DR169" i="7"/>
  <c r="DS169" i="7" l="1"/>
  <c r="DR170" i="7"/>
  <c r="DW169" i="7"/>
  <c r="DX168" i="7"/>
  <c r="EB167" i="7"/>
  <c r="EC166" i="7"/>
  <c r="DN171" i="7"/>
  <c r="DM172" i="7"/>
  <c r="DS170" i="7" l="1"/>
  <c r="DR171" i="7"/>
  <c r="DM173" i="7"/>
  <c r="DN172" i="7"/>
  <c r="EB168" i="7"/>
  <c r="EC167" i="7"/>
  <c r="DX169" i="7"/>
  <c r="DW170" i="7"/>
  <c r="DW171" i="7" l="1"/>
  <c r="DX170" i="7"/>
  <c r="DR172" i="7"/>
  <c r="DS171" i="7"/>
  <c r="EC168" i="7"/>
  <c r="EB169" i="7"/>
  <c r="DM174" i="7"/>
  <c r="DN173" i="7"/>
  <c r="DM175" i="7" l="1"/>
  <c r="DN174" i="7"/>
  <c r="EB170" i="7"/>
  <c r="EC169" i="7"/>
  <c r="DR173" i="7"/>
  <c r="DS172" i="7"/>
  <c r="DX171" i="7"/>
  <c r="DW172" i="7"/>
  <c r="DX172" i="7" l="1"/>
  <c r="DW173" i="7"/>
  <c r="EC170" i="7"/>
  <c r="EB171" i="7"/>
  <c r="DR174" i="7"/>
  <c r="DS173" i="7"/>
  <c r="DM176" i="7"/>
  <c r="DN175" i="7"/>
  <c r="DN176" i="7" l="1"/>
  <c r="DM177" i="7"/>
  <c r="DX173" i="7"/>
  <c r="DW174" i="7"/>
  <c r="DS174" i="7"/>
  <c r="DR175" i="7"/>
  <c r="EB172" i="7"/>
  <c r="EC171" i="7"/>
  <c r="EB173" i="7" l="1"/>
  <c r="EC172" i="7"/>
  <c r="DX174" i="7"/>
  <c r="DW175" i="7"/>
  <c r="DR176" i="7"/>
  <c r="DS175" i="7"/>
  <c r="DM178" i="7"/>
  <c r="DN177" i="7"/>
  <c r="DN178" i="7" l="1"/>
  <c r="DM179" i="7"/>
  <c r="DS176" i="7"/>
  <c r="DR177" i="7"/>
  <c r="DX175" i="7"/>
  <c r="DW176" i="7"/>
  <c r="EC173" i="7"/>
  <c r="EB174" i="7"/>
  <c r="EC174" i="7" l="1"/>
  <c r="EB175" i="7"/>
  <c r="DW177" i="7"/>
  <c r="DX176" i="7"/>
  <c r="DS177" i="7"/>
  <c r="DR178" i="7"/>
  <c r="DM180" i="7"/>
  <c r="DN179" i="7"/>
  <c r="DN180" i="7" l="1"/>
  <c r="DM181" i="7"/>
  <c r="DR179" i="7"/>
  <c r="DS178" i="7"/>
  <c r="EC175" i="7"/>
  <c r="EB176" i="7"/>
  <c r="DW178" i="7"/>
  <c r="DX177" i="7"/>
  <c r="DR180" i="7" l="1"/>
  <c r="DS179" i="7"/>
  <c r="DX178" i="7"/>
  <c r="DW179" i="7"/>
  <c r="EB177" i="7"/>
  <c r="EC176" i="7"/>
  <c r="DM182" i="7"/>
  <c r="DN181" i="7"/>
  <c r="DX179" i="7" l="1"/>
  <c r="DW180" i="7"/>
  <c r="DN182" i="7"/>
  <c r="DM183" i="7"/>
  <c r="EB178" i="7"/>
  <c r="EC177" i="7"/>
  <c r="DS180" i="7"/>
  <c r="DR181" i="7"/>
  <c r="DR182" i="7" l="1"/>
  <c r="DS181" i="7"/>
  <c r="EB179" i="7"/>
  <c r="EC178" i="7"/>
  <c r="DX180" i="7"/>
  <c r="DW181" i="7"/>
  <c r="DM184" i="7"/>
  <c r="DN183" i="7"/>
  <c r="DN184" i="7" l="1"/>
  <c r="DM185" i="7"/>
  <c r="DW182" i="7"/>
  <c r="DX181" i="7"/>
  <c r="EC179" i="7"/>
  <c r="EB180" i="7"/>
  <c r="DS182" i="7"/>
  <c r="DR183" i="7"/>
  <c r="EB181" i="7" l="1"/>
  <c r="EC180" i="7"/>
  <c r="DR184" i="7"/>
  <c r="DS183" i="7"/>
  <c r="DW183" i="7"/>
  <c r="DX182" i="7"/>
  <c r="DM186" i="7"/>
  <c r="DN185" i="7"/>
  <c r="DM187" i="7" l="1"/>
  <c r="DN186" i="7"/>
  <c r="DW184" i="7"/>
  <c r="DX183" i="7"/>
  <c r="DR185" i="7"/>
  <c r="DS184" i="7"/>
  <c r="EC181" i="7"/>
  <c r="EB182" i="7"/>
  <c r="EB183" i="7" l="1"/>
  <c r="EC182" i="7"/>
  <c r="DS185" i="7"/>
  <c r="DR186" i="7"/>
  <c r="DX184" i="7"/>
  <c r="DW185" i="7"/>
  <c r="DM188" i="7"/>
  <c r="DN187" i="7"/>
  <c r="DM189" i="7" l="1"/>
  <c r="DN188" i="7"/>
  <c r="DX185" i="7"/>
  <c r="DW186" i="7"/>
  <c r="DS186" i="7"/>
  <c r="DR187" i="7"/>
  <c r="EB184" i="7"/>
  <c r="EC183" i="7"/>
  <c r="EB185" i="7" l="1"/>
  <c r="EC184" i="7"/>
  <c r="DS187" i="7"/>
  <c r="DR188" i="7"/>
  <c r="DW187" i="7"/>
  <c r="DX186" i="7"/>
  <c r="DN189" i="7"/>
  <c r="DM190" i="7"/>
  <c r="DM191" i="7" l="1"/>
  <c r="DN190" i="7"/>
  <c r="DX187" i="7"/>
  <c r="DW188" i="7"/>
  <c r="DR189" i="7"/>
  <c r="DS188" i="7"/>
  <c r="EC185" i="7"/>
  <c r="EB186" i="7"/>
  <c r="EC186" i="7" l="1"/>
  <c r="EB187" i="7"/>
  <c r="DS189" i="7"/>
  <c r="DR190" i="7"/>
  <c r="DX188" i="7"/>
  <c r="DW189" i="7"/>
  <c r="DM192" i="7"/>
  <c r="DN191" i="7"/>
  <c r="DN192" i="7" l="1"/>
  <c r="DM193" i="7"/>
  <c r="DW190" i="7"/>
  <c r="DX189" i="7"/>
  <c r="DS190" i="7"/>
  <c r="DR191" i="7"/>
  <c r="EB188" i="7"/>
  <c r="EC187" i="7"/>
  <c r="EC188" i="7" l="1"/>
  <c r="EB189" i="7"/>
  <c r="DS191" i="7"/>
  <c r="DR192" i="7"/>
  <c r="DX190" i="7"/>
  <c r="DW191" i="7"/>
  <c r="DM194" i="7"/>
  <c r="DN193" i="7"/>
  <c r="DN194" i="7" l="1"/>
  <c r="DM195" i="7"/>
  <c r="DX191" i="7"/>
  <c r="DW192" i="7"/>
  <c r="DR193" i="7"/>
  <c r="DS192" i="7"/>
  <c r="EB190" i="7"/>
  <c r="EC189" i="7"/>
  <c r="EB191" i="7" l="1"/>
  <c r="EC190" i="7"/>
  <c r="DS193" i="7"/>
  <c r="DR194" i="7"/>
  <c r="DX192" i="7"/>
  <c r="DW193" i="7"/>
  <c r="DM196" i="7"/>
  <c r="DN195" i="7"/>
  <c r="DM197" i="7" l="1"/>
  <c r="DN196" i="7"/>
  <c r="DX193" i="7"/>
  <c r="DW194" i="7"/>
  <c r="DS194" i="7"/>
  <c r="DR195" i="7"/>
  <c r="EC191" i="7"/>
  <c r="EB192" i="7"/>
  <c r="EC192" i="7" l="1"/>
  <c r="EB193" i="7"/>
  <c r="DS195" i="7"/>
  <c r="DR196" i="7"/>
  <c r="DX194" i="7"/>
  <c r="DW195" i="7"/>
  <c r="DN197" i="7"/>
  <c r="DM198" i="7"/>
  <c r="DM199" i="7" l="1"/>
  <c r="DN198" i="7"/>
  <c r="DX195" i="7"/>
  <c r="DW196" i="7"/>
  <c r="DS196" i="7"/>
  <c r="DR197" i="7"/>
  <c r="EC193" i="7"/>
  <c r="EB194" i="7"/>
  <c r="EB195" i="7" l="1"/>
  <c r="EC194" i="7"/>
  <c r="DS197" i="7"/>
  <c r="DR198" i="7"/>
  <c r="DW197" i="7"/>
  <c r="DX196" i="7"/>
  <c r="DM200" i="7"/>
  <c r="DN199" i="7"/>
  <c r="DM201" i="7" l="1"/>
  <c r="DN200" i="7"/>
  <c r="DX197" i="7"/>
  <c r="DW198" i="7"/>
  <c r="DS198" i="7"/>
  <c r="DR199" i="7"/>
  <c r="EB196" i="7"/>
  <c r="EC195" i="7"/>
  <c r="EB197" i="7" l="1"/>
  <c r="EC196" i="7"/>
  <c r="DR200" i="7"/>
  <c r="DS199" i="7"/>
  <c r="DX198" i="7"/>
  <c r="DW199" i="7"/>
  <c r="DM202" i="7"/>
  <c r="DN201" i="7"/>
  <c r="DN202" i="7" l="1"/>
  <c r="DM203" i="7"/>
  <c r="DW200" i="7"/>
  <c r="DX199" i="7"/>
  <c r="DS200" i="7"/>
  <c r="DR201" i="7"/>
  <c r="EB198" i="7"/>
  <c r="EC197" i="7"/>
  <c r="EB199" i="7" l="1"/>
  <c r="EC198" i="7"/>
  <c r="DS201" i="7"/>
  <c r="DR202" i="7"/>
  <c r="DX200" i="7"/>
  <c r="DW201" i="7"/>
  <c r="DM204" i="7"/>
  <c r="DN203" i="7"/>
  <c r="DM205" i="7" l="1"/>
  <c r="DN204" i="7"/>
  <c r="DX201" i="7"/>
  <c r="DW202" i="7"/>
  <c r="DR203" i="7"/>
  <c r="DS202" i="7"/>
  <c r="EB200" i="7"/>
  <c r="EC199" i="7"/>
  <c r="EC200" i="7" l="1"/>
  <c r="EB201" i="7"/>
  <c r="DS203" i="7"/>
  <c r="DR204" i="7"/>
  <c r="DX202" i="7"/>
  <c r="DW203" i="7"/>
  <c r="DN205" i="7"/>
  <c r="DM206" i="7"/>
  <c r="DN206" i="7" l="1"/>
  <c r="DM207" i="7"/>
  <c r="DW204" i="7"/>
  <c r="DX203" i="7"/>
  <c r="DS204" i="7"/>
  <c r="DR205" i="7"/>
  <c r="EC201" i="7"/>
  <c r="EB202" i="7"/>
  <c r="EB203" i="7" l="1"/>
  <c r="EC202" i="7"/>
  <c r="DR206" i="7"/>
  <c r="DS205" i="7"/>
  <c r="DX204" i="7"/>
  <c r="DW205" i="7"/>
  <c r="DM208" i="7"/>
  <c r="DN207" i="7"/>
  <c r="DM209" i="7" l="1"/>
  <c r="DN208" i="7"/>
  <c r="DX205" i="7"/>
  <c r="DW206" i="7"/>
  <c r="DS206" i="7"/>
  <c r="DR207" i="7"/>
  <c r="EB204" i="7"/>
  <c r="EC203" i="7"/>
  <c r="EC204" i="7" l="1"/>
  <c r="EB205" i="7"/>
  <c r="DR208" i="7"/>
  <c r="DS207" i="7"/>
  <c r="DW207" i="7"/>
  <c r="DX206" i="7"/>
  <c r="DM210" i="7"/>
  <c r="DN209" i="7"/>
  <c r="DN210" i="7" l="1"/>
  <c r="DM211" i="7"/>
  <c r="DX207" i="7"/>
  <c r="DW208" i="7"/>
  <c r="DS208" i="7"/>
  <c r="DR209" i="7"/>
  <c r="EB206" i="7"/>
  <c r="EC205" i="7"/>
  <c r="EC206" i="7" l="1"/>
  <c r="EB207" i="7"/>
  <c r="DS209" i="7"/>
  <c r="DR210" i="7"/>
  <c r="DW209" i="7"/>
  <c r="DX208" i="7"/>
  <c r="DN211" i="7"/>
  <c r="DM212" i="7"/>
  <c r="DN212" i="7" l="1"/>
  <c r="AB57" i="7" s="1"/>
  <c r="AA57" i="7"/>
  <c r="DW210" i="7"/>
  <c r="DX209" i="7"/>
  <c r="DS210" i="7"/>
  <c r="DR211" i="7"/>
  <c r="EB208" i="7"/>
  <c r="EC207" i="7"/>
  <c r="EB209" i="7" l="1"/>
  <c r="EC208" i="7"/>
  <c r="DR212" i="7"/>
  <c r="DS211" i="7"/>
  <c r="DX210" i="7"/>
  <c r="DW211" i="7"/>
  <c r="DW212" i="7" l="1"/>
  <c r="DX211" i="7"/>
  <c r="DS212" i="7"/>
  <c r="AB58" i="7" s="1"/>
  <c r="AA58" i="7"/>
  <c r="EB210" i="7"/>
  <c r="EC209" i="7"/>
  <c r="EC210" i="7" l="1"/>
  <c r="EB211" i="7"/>
  <c r="DX212" i="7"/>
  <c r="AB59" i="7" s="1"/>
  <c r="AA59" i="7"/>
  <c r="EB212" i="7" l="1"/>
  <c r="EC211" i="7"/>
  <c r="EC212" i="7" l="1"/>
  <c r="AB60" i="7" s="1"/>
  <c r="AA60" i="7"/>
</calcChain>
</file>

<file path=xl/sharedStrings.xml><?xml version="1.0" encoding="utf-8"?>
<sst xmlns="http://schemas.openxmlformats.org/spreadsheetml/2006/main" count="1724" uniqueCount="451">
  <si>
    <t>승</t>
    <phoneticPr fontId="1" type="noConversion"/>
  </si>
  <si>
    <t>패</t>
    <phoneticPr fontId="1" type="noConversion"/>
  </si>
  <si>
    <t>승률</t>
    <phoneticPr fontId="1" type="noConversion"/>
  </si>
  <si>
    <t>참가율미달자</t>
    <phoneticPr fontId="1" type="noConversion"/>
  </si>
  <si>
    <t>승률1위</t>
    <phoneticPr fontId="1" type="noConversion"/>
  </si>
  <si>
    <t>승률꼴찌</t>
    <phoneticPr fontId="1" type="noConversion"/>
  </si>
  <si>
    <t>다승왕</t>
    <phoneticPr fontId="1" type="noConversion"/>
  </si>
  <si>
    <t>Total Game</t>
    <phoneticPr fontId="1" type="noConversion"/>
  </si>
  <si>
    <t>상품</t>
    <phoneticPr fontId="1" type="noConversion"/>
  </si>
  <si>
    <t>다승1위</t>
    <phoneticPr fontId="1" type="noConversion"/>
  </si>
  <si>
    <t>위로지수</t>
    <phoneticPr fontId="1" type="noConversion"/>
  </si>
  <si>
    <t>위로지수왕</t>
    <phoneticPr fontId="1" type="noConversion"/>
  </si>
  <si>
    <t>위로지수랭크</t>
    <phoneticPr fontId="1" type="noConversion"/>
  </si>
  <si>
    <t>참여왕</t>
    <phoneticPr fontId="1" type="noConversion"/>
  </si>
  <si>
    <t>참여1위</t>
    <phoneticPr fontId="1" type="noConversion"/>
  </si>
  <si>
    <t>위로1위</t>
    <phoneticPr fontId="1" type="noConversion"/>
  </si>
  <si>
    <t>수상자</t>
    <phoneticPr fontId="1" type="noConversion"/>
  </si>
  <si>
    <t>린스</t>
  </si>
  <si>
    <t>사카시</t>
  </si>
  <si>
    <t>참치</t>
  </si>
  <si>
    <t>훈</t>
  </si>
  <si>
    <t>아트</t>
  </si>
  <si>
    <t>레옹</t>
  </si>
  <si>
    <t>살수</t>
  </si>
  <si>
    <t>도지</t>
  </si>
  <si>
    <t>드래곤</t>
  </si>
  <si>
    <t>야로</t>
  </si>
  <si>
    <t>스파이럴</t>
  </si>
  <si>
    <t>용갈</t>
  </si>
  <si>
    <t>화이트</t>
  </si>
  <si>
    <t>범키</t>
  </si>
  <si>
    <t>울프</t>
  </si>
  <si>
    <t>태식</t>
  </si>
  <si>
    <t>넘버</t>
  </si>
  <si>
    <t>솔</t>
  </si>
  <si>
    <t>카오스</t>
  </si>
  <si>
    <t>조네</t>
  </si>
  <si>
    <t>라위</t>
  </si>
  <si>
    <t>르기</t>
  </si>
  <si>
    <t>존스</t>
  </si>
  <si>
    <t>플토</t>
  </si>
  <si>
    <t>볼텍</t>
  </si>
  <si>
    <t>반짝</t>
  </si>
  <si>
    <t>하위</t>
  </si>
  <si>
    <t>하리보</t>
  </si>
  <si>
    <t>계리사</t>
  </si>
  <si>
    <t>블핑</t>
  </si>
  <si>
    <t>민형</t>
  </si>
  <si>
    <t>마인드</t>
  </si>
  <si>
    <t>도건</t>
    <phoneticPr fontId="1" type="noConversion"/>
  </si>
  <si>
    <t>용이</t>
    <phoneticPr fontId="1" type="noConversion"/>
  </si>
  <si>
    <t>티어</t>
    <phoneticPr fontId="1" type="noConversion"/>
  </si>
  <si>
    <t>티어점수</t>
    <phoneticPr fontId="1" type="noConversion"/>
  </si>
  <si>
    <t>팀점수</t>
    <phoneticPr fontId="1" type="noConversion"/>
  </si>
  <si>
    <t>티어순위</t>
    <phoneticPr fontId="1" type="noConversion"/>
  </si>
  <si>
    <t>문규식</t>
    <phoneticPr fontId="1" type="noConversion"/>
  </si>
  <si>
    <t>행번호</t>
    <phoneticPr fontId="1" type="noConversion"/>
  </si>
  <si>
    <t>팀1</t>
    <phoneticPr fontId="1" type="noConversion"/>
  </si>
  <si>
    <t>팀2</t>
    <phoneticPr fontId="1" type="noConversion"/>
  </si>
  <si>
    <t>계리사</t>
    <phoneticPr fontId="1" type="noConversion"/>
  </si>
  <si>
    <t>넘버</t>
    <phoneticPr fontId="1" type="noConversion"/>
  </si>
  <si>
    <t>레옹</t>
    <phoneticPr fontId="1" type="noConversion"/>
  </si>
  <si>
    <t>마인드</t>
    <phoneticPr fontId="1" type="noConversion"/>
  </si>
  <si>
    <t>주캐릭여부</t>
    <phoneticPr fontId="1" type="noConversion"/>
  </si>
  <si>
    <t>승패</t>
    <phoneticPr fontId="1" type="noConversion"/>
  </si>
  <si>
    <t>울프</t>
    <phoneticPr fontId="1" type="noConversion"/>
  </si>
  <si>
    <t>티어별 팀 점수</t>
    <phoneticPr fontId="1" type="noConversion"/>
  </si>
  <si>
    <t>티어없음</t>
    <phoneticPr fontId="1" type="noConversion"/>
  </si>
  <si>
    <t>보정점수</t>
    <phoneticPr fontId="1" type="noConversion"/>
  </si>
  <si>
    <t>사카시</t>
    <phoneticPr fontId="1" type="noConversion"/>
  </si>
  <si>
    <t>부캐릭 픽할 시 티어별 팀점수 -3</t>
    <phoneticPr fontId="1" type="noConversion"/>
  </si>
  <si>
    <t>팀점수 합산에서 차이가 날 시 티어가산점 보정</t>
    <phoneticPr fontId="1" type="noConversion"/>
  </si>
  <si>
    <t>라위</t>
    <phoneticPr fontId="1" type="noConversion"/>
  </si>
  <si>
    <t>도지</t>
    <phoneticPr fontId="1" type="noConversion"/>
  </si>
  <si>
    <t>네크</t>
    <phoneticPr fontId="1" type="noConversion"/>
  </si>
  <si>
    <t>어쌔</t>
    <phoneticPr fontId="1" type="noConversion"/>
  </si>
  <si>
    <t>드루</t>
    <phoneticPr fontId="1" type="noConversion"/>
  </si>
  <si>
    <t>슴딘</t>
    <phoneticPr fontId="1" type="noConversion"/>
  </si>
  <si>
    <t>O</t>
    <phoneticPr fontId="1" type="noConversion"/>
  </si>
  <si>
    <t>린스</t>
    <phoneticPr fontId="1" type="noConversion"/>
  </si>
  <si>
    <t>르기</t>
    <phoneticPr fontId="1" type="noConversion"/>
  </si>
  <si>
    <t>드래곤</t>
    <phoneticPr fontId="1" type="noConversion"/>
  </si>
  <si>
    <t>민형</t>
    <phoneticPr fontId="1" type="noConversion"/>
  </si>
  <si>
    <t>반짝</t>
    <phoneticPr fontId="1" type="noConversion"/>
  </si>
  <si>
    <t>범키</t>
    <phoneticPr fontId="1" type="noConversion"/>
  </si>
  <si>
    <t>볼텍</t>
    <phoneticPr fontId="1" type="noConversion"/>
  </si>
  <si>
    <t>블핑</t>
    <phoneticPr fontId="1" type="noConversion"/>
  </si>
  <si>
    <t>살수</t>
    <phoneticPr fontId="1" type="noConversion"/>
  </si>
  <si>
    <t>솔</t>
    <phoneticPr fontId="1" type="noConversion"/>
  </si>
  <si>
    <t>스파이럴</t>
    <phoneticPr fontId="1" type="noConversion"/>
  </si>
  <si>
    <t>아트</t>
    <phoneticPr fontId="1" type="noConversion"/>
  </si>
  <si>
    <t>야로</t>
    <phoneticPr fontId="1" type="noConversion"/>
  </si>
  <si>
    <t>용갈</t>
    <phoneticPr fontId="1" type="noConversion"/>
  </si>
  <si>
    <t>조네</t>
    <phoneticPr fontId="1" type="noConversion"/>
  </si>
  <si>
    <t>존스</t>
    <phoneticPr fontId="1" type="noConversion"/>
  </si>
  <si>
    <t>참치</t>
    <phoneticPr fontId="1" type="noConversion"/>
  </si>
  <si>
    <t>카오스</t>
    <phoneticPr fontId="1" type="noConversion"/>
  </si>
  <si>
    <t>플토</t>
    <phoneticPr fontId="1" type="noConversion"/>
  </si>
  <si>
    <t>태식</t>
    <phoneticPr fontId="1" type="noConversion"/>
  </si>
  <si>
    <t>하리보</t>
    <phoneticPr fontId="1" type="noConversion"/>
  </si>
  <si>
    <t>하위</t>
    <phoneticPr fontId="1" type="noConversion"/>
  </si>
  <si>
    <t>화이트</t>
    <phoneticPr fontId="1" type="noConversion"/>
  </si>
  <si>
    <t>훈</t>
    <phoneticPr fontId="1" type="noConversion"/>
  </si>
  <si>
    <t>플레티넘</t>
    <phoneticPr fontId="1" type="noConversion"/>
  </si>
  <si>
    <t>다이아</t>
    <phoneticPr fontId="1" type="noConversion"/>
  </si>
  <si>
    <t>골드</t>
    <phoneticPr fontId="1" type="noConversion"/>
  </si>
  <si>
    <t>실버</t>
    <phoneticPr fontId="1" type="noConversion"/>
  </si>
  <si>
    <t>브론즈</t>
    <phoneticPr fontId="1" type="noConversion"/>
  </si>
  <si>
    <t>다이아</t>
    <phoneticPr fontId="1" type="noConversion"/>
  </si>
  <si>
    <t>획득점수</t>
    <phoneticPr fontId="1" type="noConversion"/>
  </si>
  <si>
    <t>티어</t>
    <phoneticPr fontId="1" type="noConversion"/>
  </si>
  <si>
    <t>야로</t>
    <phoneticPr fontId="1" type="noConversion"/>
  </si>
  <si>
    <t>캐릭터</t>
    <phoneticPr fontId="1" type="noConversion"/>
  </si>
  <si>
    <t>주캐릭여부</t>
    <phoneticPr fontId="1" type="noConversion"/>
  </si>
  <si>
    <t>X</t>
    <phoneticPr fontId="1" type="noConversion"/>
  </si>
  <si>
    <t>팀1</t>
    <phoneticPr fontId="1" type="noConversion"/>
  </si>
  <si>
    <t>팀2</t>
    <phoneticPr fontId="1" type="noConversion"/>
  </si>
  <si>
    <t>※ 팀, 승패 부분만 수정할 것 (각 캐릭터에 맞는 플레이어를 순서대로 입력)</t>
    <phoneticPr fontId="1" type="noConversion"/>
  </si>
  <si>
    <t>주:O, 부:X 로 표기</t>
    <phoneticPr fontId="1" type="noConversion"/>
  </si>
  <si>
    <t>드루↑</t>
    <phoneticPr fontId="1" type="noConversion"/>
  </si>
  <si>
    <t>어쌔↑</t>
    <phoneticPr fontId="1" type="noConversion"/>
  </si>
  <si>
    <t>네크↑</t>
    <phoneticPr fontId="1" type="noConversion"/>
  </si>
  <si>
    <t>슴딘↑</t>
    <phoneticPr fontId="1" type="noConversion"/>
  </si>
  <si>
    <t>팀점수</t>
  </si>
  <si>
    <t>승패</t>
  </si>
  <si>
    <t>획득점수</t>
  </si>
  <si>
    <t>팀1</t>
  </si>
  <si>
    <t>승</t>
  </si>
  <si>
    <t>캐릭터</t>
  </si>
  <si>
    <t>드루↑</t>
  </si>
  <si>
    <t>어쌔↑</t>
  </si>
  <si>
    <t>네크↑</t>
  </si>
  <si>
    <t>슴딘↑</t>
  </si>
  <si>
    <t>티어</t>
  </si>
  <si>
    <t>주캐릭여부</t>
  </si>
  <si>
    <t>주</t>
  </si>
  <si>
    <t>※ 팀, 승패 부분만 수정할 것 (각 캐릭터에 맞는 플레이어를 순서대로 입력)</t>
  </si>
  <si>
    <t>팀2</t>
  </si>
  <si>
    <t>패</t>
  </si>
  <si>
    <t xml:space="preserve">팀 평균 1티어 차이 시마다 보너스 10점 추가   
</t>
    <phoneticPr fontId="1" type="noConversion"/>
  </si>
  <si>
    <t>플레티넘</t>
    <phoneticPr fontId="1" type="noConversion"/>
  </si>
  <si>
    <t>골드</t>
    <phoneticPr fontId="1" type="noConversion"/>
  </si>
  <si>
    <t>실버</t>
    <phoneticPr fontId="1" type="noConversion"/>
  </si>
  <si>
    <t>브론즈</t>
    <phoneticPr fontId="1" type="noConversion"/>
  </si>
  <si>
    <t>팀점수</t>
    <phoneticPr fontId="1" type="noConversion"/>
  </si>
  <si>
    <t>획득배율</t>
    <phoneticPr fontId="1" type="noConversion"/>
  </si>
  <si>
    <t>티어</t>
    <phoneticPr fontId="1" type="noConversion"/>
  </si>
  <si>
    <t>순위</t>
    <phoneticPr fontId="1" type="noConversion"/>
  </si>
  <si>
    <t>다이아</t>
    <phoneticPr fontId="1" type="noConversion"/>
  </si>
  <si>
    <t>플레티넘</t>
    <phoneticPr fontId="1" type="noConversion"/>
  </si>
  <si>
    <t>골드</t>
    <phoneticPr fontId="1" type="noConversion"/>
  </si>
  <si>
    <t>실버</t>
    <phoneticPr fontId="1" type="noConversion"/>
  </si>
  <si>
    <t>브론즈</t>
    <phoneticPr fontId="1" type="noConversion"/>
  </si>
  <si>
    <t>획득점수배율</t>
    <phoneticPr fontId="1" type="noConversion"/>
  </si>
  <si>
    <t>획득점수배율</t>
  </si>
  <si>
    <t>드루승</t>
    <phoneticPr fontId="1" type="noConversion"/>
  </si>
  <si>
    <t>어쌔승</t>
    <phoneticPr fontId="1" type="noConversion"/>
  </si>
  <si>
    <t>네크승</t>
    <phoneticPr fontId="1" type="noConversion"/>
  </si>
  <si>
    <t>슴딘승</t>
    <phoneticPr fontId="1" type="noConversion"/>
  </si>
  <si>
    <t>드루패</t>
    <phoneticPr fontId="1" type="noConversion"/>
  </si>
  <si>
    <t>어쌔패</t>
    <phoneticPr fontId="1" type="noConversion"/>
  </si>
  <si>
    <t>네크패</t>
    <phoneticPr fontId="1" type="noConversion"/>
  </si>
  <si>
    <t>슴딘패</t>
    <phoneticPr fontId="1" type="noConversion"/>
  </si>
  <si>
    <t>Total</t>
    <phoneticPr fontId="1" type="noConversion"/>
  </si>
  <si>
    <t>Player</t>
    <phoneticPr fontId="1" type="noConversion"/>
  </si>
  <si>
    <t>1st</t>
    <phoneticPr fontId="1" type="noConversion"/>
  </si>
  <si>
    <t>2nd</t>
    <phoneticPr fontId="1" type="noConversion"/>
  </si>
  <si>
    <t>4th</t>
    <phoneticPr fontId="1" type="noConversion"/>
  </si>
  <si>
    <t>5th</t>
    <phoneticPr fontId="1" type="noConversion"/>
  </si>
  <si>
    <t>6th</t>
    <phoneticPr fontId="1" type="noConversion"/>
  </si>
  <si>
    <t>7th</t>
    <phoneticPr fontId="1" type="noConversion"/>
  </si>
  <si>
    <t>8th</t>
    <phoneticPr fontId="1" type="noConversion"/>
  </si>
  <si>
    <t>9th</t>
    <phoneticPr fontId="1" type="noConversion"/>
  </si>
  <si>
    <t>10th</t>
    <phoneticPr fontId="1" type="noConversion"/>
  </si>
  <si>
    <t>11th</t>
    <phoneticPr fontId="1" type="noConversion"/>
  </si>
  <si>
    <t>12th</t>
    <phoneticPr fontId="1" type="noConversion"/>
  </si>
  <si>
    <t>14th</t>
    <phoneticPr fontId="1" type="noConversion"/>
  </si>
  <si>
    <t>15th</t>
    <phoneticPr fontId="1" type="noConversion"/>
  </si>
  <si>
    <t>13th</t>
    <phoneticPr fontId="1" type="noConversion"/>
  </si>
  <si>
    <t>3rd</t>
    <phoneticPr fontId="1" type="noConversion"/>
  </si>
  <si>
    <t>16th</t>
    <phoneticPr fontId="1" type="noConversion"/>
  </si>
  <si>
    <t>17th</t>
    <phoneticPr fontId="1" type="noConversion"/>
  </si>
  <si>
    <t>Player1</t>
    <phoneticPr fontId="1" type="noConversion"/>
  </si>
  <si>
    <t>Player2</t>
    <phoneticPr fontId="1" type="noConversion"/>
  </si>
  <si>
    <t>승</t>
    <phoneticPr fontId="1" type="noConversion"/>
  </si>
  <si>
    <t>패</t>
    <phoneticPr fontId="1" type="noConversion"/>
  </si>
  <si>
    <t>승률</t>
    <phoneticPr fontId="1" type="noConversion"/>
  </si>
  <si>
    <t>↓직접 입력</t>
    <phoneticPr fontId="1" type="noConversion"/>
  </si>
  <si>
    <t>Data 집계용 Dummy 셀 (삭제금지) →</t>
    <phoneticPr fontId="1" type="noConversion"/>
  </si>
  <si>
    <t>팀1-승</t>
    <phoneticPr fontId="1" type="noConversion"/>
  </si>
  <si>
    <t>팀1-패</t>
    <phoneticPr fontId="1" type="noConversion"/>
  </si>
  <si>
    <t>팀2-승</t>
    <phoneticPr fontId="1" type="noConversion"/>
  </si>
  <si>
    <t>팀2-패</t>
    <phoneticPr fontId="1" type="noConversion"/>
  </si>
  <si>
    <t>팀3-승</t>
    <phoneticPr fontId="1" type="noConversion"/>
  </si>
  <si>
    <t>팀3-패</t>
    <phoneticPr fontId="1" type="noConversion"/>
  </si>
  <si>
    <t>팀4-승</t>
    <phoneticPr fontId="1" type="noConversion"/>
  </si>
  <si>
    <t>팀4-패</t>
    <phoneticPr fontId="1" type="noConversion"/>
  </si>
  <si>
    <t>팀5-승</t>
    <phoneticPr fontId="1" type="noConversion"/>
  </si>
  <si>
    <t>팀5-패</t>
    <phoneticPr fontId="1" type="noConversion"/>
  </si>
  <si>
    <t>팀6-승</t>
    <phoneticPr fontId="1" type="noConversion"/>
  </si>
  <si>
    <t>팀6-패</t>
    <phoneticPr fontId="1" type="noConversion"/>
  </si>
  <si>
    <t>팀7-승</t>
    <phoneticPr fontId="1" type="noConversion"/>
  </si>
  <si>
    <t>팀7-패</t>
    <phoneticPr fontId="1" type="noConversion"/>
  </si>
  <si>
    <t>팀8-승</t>
    <phoneticPr fontId="1" type="noConversion"/>
  </si>
  <si>
    <t>팀8-패</t>
    <phoneticPr fontId="1" type="noConversion"/>
  </si>
  <si>
    <t>팀9-승</t>
    <phoneticPr fontId="1" type="noConversion"/>
  </si>
  <si>
    <t>팀9-패</t>
    <phoneticPr fontId="1" type="noConversion"/>
  </si>
  <si>
    <t>팀10-승</t>
    <phoneticPr fontId="1" type="noConversion"/>
  </si>
  <si>
    <t>팀10-패</t>
    <phoneticPr fontId="1" type="noConversion"/>
  </si>
  <si>
    <t>팀11-승</t>
    <phoneticPr fontId="1" type="noConversion"/>
  </si>
  <si>
    <t>팀11-패</t>
    <phoneticPr fontId="1" type="noConversion"/>
  </si>
  <si>
    <t>팀12-승</t>
    <phoneticPr fontId="1" type="noConversion"/>
  </si>
  <si>
    <t>팀12-패</t>
    <phoneticPr fontId="1" type="noConversion"/>
  </si>
  <si>
    <t>팀13-승</t>
    <phoneticPr fontId="1" type="noConversion"/>
  </si>
  <si>
    <t>팀13-패</t>
    <phoneticPr fontId="1" type="noConversion"/>
  </si>
  <si>
    <t>팀14-승</t>
    <phoneticPr fontId="1" type="noConversion"/>
  </si>
  <si>
    <t>팀14-패</t>
    <phoneticPr fontId="1" type="noConversion"/>
  </si>
  <si>
    <t>팀15-승</t>
    <phoneticPr fontId="1" type="noConversion"/>
  </si>
  <si>
    <t>팀15-패</t>
    <phoneticPr fontId="1" type="noConversion"/>
  </si>
  <si>
    <t>팀16-승</t>
    <phoneticPr fontId="1" type="noConversion"/>
  </si>
  <si>
    <t>팀16-패</t>
    <phoneticPr fontId="1" type="noConversion"/>
  </si>
  <si>
    <t>팀17-승</t>
    <phoneticPr fontId="1" type="noConversion"/>
  </si>
  <si>
    <t>팀17-패</t>
    <phoneticPr fontId="1" type="noConversion"/>
  </si>
  <si>
    <t>팀18-승</t>
    <phoneticPr fontId="1" type="noConversion"/>
  </si>
  <si>
    <t>팀18-패</t>
    <phoneticPr fontId="1" type="noConversion"/>
  </si>
  <si>
    <t>팀19-승</t>
    <phoneticPr fontId="1" type="noConversion"/>
  </si>
  <si>
    <t>팀19-패</t>
    <phoneticPr fontId="1" type="noConversion"/>
  </si>
  <si>
    <t>팀20-승</t>
    <phoneticPr fontId="1" type="noConversion"/>
  </si>
  <si>
    <t>팀20-패</t>
    <phoneticPr fontId="1" type="noConversion"/>
  </si>
  <si>
    <t>vs</t>
    <phoneticPr fontId="1" type="noConversion"/>
  </si>
  <si>
    <t>유저2승</t>
    <phoneticPr fontId="1" type="noConversion"/>
  </si>
  <si>
    <t>유저1승</t>
    <phoneticPr fontId="1" type="noConversion"/>
  </si>
  <si>
    <t>유저1패</t>
    <phoneticPr fontId="1" type="noConversion"/>
  </si>
  <si>
    <t>유저2패</t>
    <phoneticPr fontId="1" type="noConversion"/>
  </si>
  <si>
    <t>유저1합</t>
    <phoneticPr fontId="1" type="noConversion"/>
  </si>
  <si>
    <t>유저2합</t>
    <phoneticPr fontId="1" type="noConversion"/>
  </si>
  <si>
    <t>&lt; 상대전적확인 &gt;</t>
    <phoneticPr fontId="1" type="noConversion"/>
  </si>
  <si>
    <t>&lt;연승, 연패 확인&gt;</t>
    <phoneticPr fontId="1" type="noConversion"/>
  </si>
  <si>
    <t>최대연승</t>
    <phoneticPr fontId="1" type="noConversion"/>
  </si>
  <si>
    <t>최대연패</t>
    <phoneticPr fontId="1" type="noConversion"/>
  </si>
  <si>
    <t>유저3승</t>
    <phoneticPr fontId="1" type="noConversion"/>
  </si>
  <si>
    <t>유저3패</t>
    <phoneticPr fontId="1" type="noConversion"/>
  </si>
  <si>
    <t>유저4승</t>
    <phoneticPr fontId="1" type="noConversion"/>
  </si>
  <si>
    <t>유저4패</t>
    <phoneticPr fontId="1" type="noConversion"/>
  </si>
  <si>
    <t>유저5승</t>
    <phoneticPr fontId="1" type="noConversion"/>
  </si>
  <si>
    <t>유저5패</t>
    <phoneticPr fontId="1" type="noConversion"/>
  </si>
  <si>
    <t>&lt; 팀 기록 조회 (듀오 승률) &gt;</t>
    <phoneticPr fontId="1" type="noConversion"/>
  </si>
  <si>
    <t>순번</t>
    <phoneticPr fontId="1" type="noConversion"/>
  </si>
  <si>
    <t>참가자</t>
    <phoneticPr fontId="1" type="noConversion"/>
  </si>
  <si>
    <t>드루</t>
    <phoneticPr fontId="1" type="noConversion"/>
  </si>
  <si>
    <t>어쌔</t>
    <phoneticPr fontId="1" type="noConversion"/>
  </si>
  <si>
    <t>네크</t>
    <phoneticPr fontId="1" type="noConversion"/>
  </si>
  <si>
    <t>슴딘</t>
    <phoneticPr fontId="1" type="noConversion"/>
  </si>
  <si>
    <t>ALL</t>
    <phoneticPr fontId="1" type="noConversion"/>
  </si>
  <si>
    <t>인원</t>
    <phoneticPr fontId="1" type="noConversion"/>
  </si>
  <si>
    <t>모든 클래스 채우는 방법</t>
    <phoneticPr fontId="1" type="noConversion"/>
  </si>
  <si>
    <t>D</t>
    <phoneticPr fontId="1" type="noConversion"/>
  </si>
  <si>
    <t>A</t>
    <phoneticPr fontId="1" type="noConversion"/>
  </si>
  <si>
    <t>N</t>
    <phoneticPr fontId="1" type="noConversion"/>
  </si>
  <si>
    <t>S</t>
    <phoneticPr fontId="1" type="noConversion"/>
  </si>
  <si>
    <t>DA</t>
    <phoneticPr fontId="1" type="noConversion"/>
  </si>
  <si>
    <t>DN</t>
    <phoneticPr fontId="1" type="noConversion"/>
  </si>
  <si>
    <t>DS</t>
    <phoneticPr fontId="1" type="noConversion"/>
  </si>
  <si>
    <t>AN</t>
    <phoneticPr fontId="1" type="noConversion"/>
  </si>
  <si>
    <t>AS</t>
    <phoneticPr fontId="1" type="noConversion"/>
  </si>
  <si>
    <t>NS</t>
    <phoneticPr fontId="1" type="noConversion"/>
  </si>
  <si>
    <t>DAN</t>
    <phoneticPr fontId="1" type="noConversion"/>
  </si>
  <si>
    <t>DAS</t>
    <phoneticPr fontId="1" type="noConversion"/>
  </si>
  <si>
    <t>DNS</t>
    <phoneticPr fontId="1" type="noConversion"/>
  </si>
  <si>
    <t>ANS</t>
    <phoneticPr fontId="1" type="noConversion"/>
  </si>
  <si>
    <t>DANS</t>
    <phoneticPr fontId="1" type="noConversion"/>
  </si>
  <si>
    <t>Team 1</t>
  </si>
  <si>
    <t>1. 모두 체크하고 싶은 라인에 O 입력</t>
    <phoneticPr fontId="1" type="noConversion"/>
  </si>
  <si>
    <t>Team 2</t>
  </si>
  <si>
    <t>2. 모두 채우기 클릭</t>
    <phoneticPr fontId="1" type="noConversion"/>
  </si>
  <si>
    <t>3. 모두 채워진 라인도 ALL이 체크됨</t>
    <phoneticPr fontId="1" type="noConversion"/>
  </si>
  <si>
    <t>생성 조건 확인</t>
    <phoneticPr fontId="1" type="noConversion"/>
  </si>
  <si>
    <t>드루/어쌔</t>
    <phoneticPr fontId="1" type="noConversion"/>
  </si>
  <si>
    <t>드루/네크</t>
    <phoneticPr fontId="1" type="noConversion"/>
  </si>
  <si>
    <t>드루/슴딘</t>
    <phoneticPr fontId="1" type="noConversion"/>
  </si>
  <si>
    <t>어쌔/네크</t>
    <phoneticPr fontId="1" type="noConversion"/>
  </si>
  <si>
    <t>어쌔/슴딘</t>
    <phoneticPr fontId="1" type="noConversion"/>
  </si>
  <si>
    <t>네크/슴딘</t>
    <phoneticPr fontId="1" type="noConversion"/>
  </si>
  <si>
    <t>드루/어쌔/네크</t>
    <phoneticPr fontId="1" type="noConversion"/>
  </si>
  <si>
    <t>드루/어쌔/슴딘</t>
    <phoneticPr fontId="1" type="noConversion"/>
  </si>
  <si>
    <t>드루/네크/슴딘</t>
    <phoneticPr fontId="1" type="noConversion"/>
  </si>
  <si>
    <t>어쌔/네크/슴딘</t>
    <phoneticPr fontId="1" type="noConversion"/>
  </si>
  <si>
    <t>드루/어쌔/네크/슴딘</t>
    <phoneticPr fontId="1" type="noConversion"/>
  </si>
  <si>
    <t>시즌3 주/부캐 분류</t>
    <phoneticPr fontId="1" type="noConversion"/>
  </si>
  <si>
    <t>Comment</t>
    <phoneticPr fontId="1" type="noConversion"/>
  </si>
  <si>
    <r>
      <rPr>
        <sz val="11"/>
        <color rgb="FFFF0000"/>
        <rFont val="맑은 고딕"/>
        <family val="3"/>
        <charset val="129"/>
        <scheme val="minor"/>
      </rPr>
      <t>드루</t>
    </r>
    <r>
      <rPr>
        <sz val="11"/>
        <color rgb="FF0000FF"/>
        <rFont val="맑은 고딕"/>
        <family val="2"/>
        <charset val="129"/>
        <scheme val="minor"/>
      </rPr>
      <t xml:space="preserve">(41.7%) </t>
    </r>
    <r>
      <rPr>
        <sz val="11"/>
        <color rgb="FFFF0000"/>
        <rFont val="맑은 고딕"/>
        <family val="3"/>
        <charset val="129"/>
        <scheme val="minor"/>
      </rPr>
      <t>부→</t>
    </r>
    <r>
      <rPr>
        <b/>
        <sz val="11"/>
        <color rgb="FFFF0000"/>
        <rFont val="맑은 고딕"/>
        <family val="3"/>
        <charset val="129"/>
        <scheme val="minor"/>
      </rPr>
      <t>주</t>
    </r>
    <r>
      <rPr>
        <sz val="11"/>
        <color rgb="FF0000FF"/>
        <rFont val="맑은 고딕"/>
        <family val="2"/>
        <charset val="129"/>
        <scheme val="minor"/>
      </rPr>
      <t>로 변경 | 최고 승률 슴딘 (45.5%)</t>
    </r>
    <phoneticPr fontId="1" type="noConversion"/>
  </si>
  <si>
    <r>
      <t>실제 대진고려하여</t>
    </r>
    <r>
      <rPr>
        <sz val="11"/>
        <color rgb="FFFF0000"/>
        <rFont val="맑은 고딕"/>
        <family val="3"/>
        <charset val="129"/>
        <scheme val="minor"/>
      </rPr>
      <t xml:space="preserve"> 드루</t>
    </r>
    <r>
      <rPr>
        <sz val="11"/>
        <color rgb="FF0000FF"/>
        <rFont val="맑은 고딕"/>
        <family val="2"/>
        <charset val="129"/>
        <scheme val="minor"/>
      </rPr>
      <t xml:space="preserve">(41.7%) </t>
    </r>
    <r>
      <rPr>
        <sz val="11"/>
        <color rgb="FFFF0000"/>
        <rFont val="맑은 고딕"/>
        <family val="3"/>
        <charset val="129"/>
        <scheme val="minor"/>
      </rPr>
      <t>부</t>
    </r>
    <r>
      <rPr>
        <sz val="11"/>
        <color rgb="FF0000FF"/>
        <rFont val="맑은 고딕"/>
        <family val="2"/>
        <charset val="129"/>
        <scheme val="minor"/>
      </rPr>
      <t>유지 필요</t>
    </r>
    <phoneticPr fontId="1" type="noConversion"/>
  </si>
  <si>
    <t>변경없음</t>
    <phoneticPr fontId="1" type="noConversion"/>
  </si>
  <si>
    <t>변경없음 | 드루,네크,슴딘은 시즌3 중 충분한 게임수 확보 필요</t>
    <phoneticPr fontId="1" type="noConversion"/>
  </si>
  <si>
    <t>변경없음 | 슴딘은 시즌3 중 충분한 게임수 확보 필요</t>
    <phoneticPr fontId="1" type="noConversion"/>
  </si>
  <si>
    <t>드루이드 시즌3 중 충분한 게임수 확보 후 주캐여부 재결정</t>
    <phoneticPr fontId="1" type="noConversion"/>
  </si>
  <si>
    <r>
      <rPr>
        <sz val="11"/>
        <color rgb="FFFF0000"/>
        <rFont val="맑은 고딕"/>
        <family val="3"/>
        <charset val="129"/>
        <scheme val="minor"/>
      </rPr>
      <t>어쌔</t>
    </r>
    <r>
      <rPr>
        <sz val="11"/>
        <color rgb="FF0000FF"/>
        <rFont val="맑은 고딕"/>
        <family val="2"/>
        <charset val="129"/>
        <scheme val="minor"/>
      </rPr>
      <t xml:space="preserve">(66.7%) </t>
    </r>
    <r>
      <rPr>
        <sz val="11"/>
        <color rgb="FFFF0000"/>
        <rFont val="맑은 고딕"/>
        <family val="3"/>
        <charset val="129"/>
        <scheme val="minor"/>
      </rPr>
      <t>부→</t>
    </r>
    <r>
      <rPr>
        <b/>
        <sz val="11"/>
        <color rgb="FFFF0000"/>
        <rFont val="맑은 고딕"/>
        <family val="3"/>
        <charset val="129"/>
        <scheme val="minor"/>
      </rPr>
      <t>주</t>
    </r>
    <r>
      <rPr>
        <sz val="11"/>
        <color rgb="FF0000FF"/>
        <rFont val="맑은 고딕"/>
        <family val="2"/>
        <charset val="129"/>
        <scheme val="minor"/>
      </rPr>
      <t>로 변경</t>
    </r>
    <phoneticPr fontId="1" type="noConversion"/>
  </si>
  <si>
    <r>
      <rPr>
        <sz val="11"/>
        <color rgb="FFFF0000"/>
        <rFont val="맑은 고딕"/>
        <family val="3"/>
        <charset val="129"/>
        <scheme val="minor"/>
      </rPr>
      <t>어쌔</t>
    </r>
    <r>
      <rPr>
        <sz val="11"/>
        <color rgb="FF0000FF"/>
        <rFont val="맑은 고딕"/>
        <family val="2"/>
        <charset val="129"/>
        <scheme val="minor"/>
      </rPr>
      <t xml:space="preserve">(30.8%) </t>
    </r>
    <r>
      <rPr>
        <sz val="11"/>
        <color rgb="FFFF0000"/>
        <rFont val="맑은 고딕"/>
        <family val="3"/>
        <charset val="129"/>
        <scheme val="minor"/>
      </rPr>
      <t>주→</t>
    </r>
    <r>
      <rPr>
        <b/>
        <sz val="11"/>
        <color rgb="FFFF0000"/>
        <rFont val="맑은 고딕"/>
        <family val="3"/>
        <charset val="129"/>
        <scheme val="minor"/>
      </rPr>
      <t>부</t>
    </r>
    <r>
      <rPr>
        <sz val="11"/>
        <color rgb="FF0000FF"/>
        <rFont val="맑은 고딕"/>
        <family val="2"/>
        <charset val="129"/>
        <scheme val="minor"/>
      </rPr>
      <t>로 변경 | 최고 승률 네크 (50.0%)</t>
    </r>
    <phoneticPr fontId="1" type="noConversion"/>
  </si>
  <si>
    <r>
      <rPr>
        <sz val="11"/>
        <color rgb="FFFF0000"/>
        <rFont val="맑은 고딕"/>
        <family val="3"/>
        <charset val="129"/>
        <scheme val="minor"/>
      </rPr>
      <t>드루</t>
    </r>
    <r>
      <rPr>
        <sz val="11"/>
        <color rgb="FF0000FF"/>
        <rFont val="맑은 고딕"/>
        <family val="2"/>
        <charset val="129"/>
        <scheme val="minor"/>
      </rPr>
      <t xml:space="preserve"> </t>
    </r>
    <r>
      <rPr>
        <sz val="11"/>
        <color rgb="FFFF0000"/>
        <rFont val="맑은 고딕"/>
        <family val="3"/>
        <charset val="129"/>
        <scheme val="minor"/>
      </rPr>
      <t>주→</t>
    </r>
    <r>
      <rPr>
        <b/>
        <sz val="11"/>
        <color rgb="FFFF0000"/>
        <rFont val="맑은 고딕"/>
        <family val="3"/>
        <charset val="129"/>
        <scheme val="minor"/>
      </rPr>
      <t>부</t>
    </r>
    <r>
      <rPr>
        <sz val="11"/>
        <color rgb="FF0000FF"/>
        <rFont val="맑은 고딕"/>
        <family val="2"/>
        <charset val="129"/>
        <scheme val="minor"/>
      </rPr>
      <t>로 변경 | 드루,네크,슴딘은 시즌3 중 충분한 게임수 확보 필요</t>
    </r>
    <phoneticPr fontId="1" type="noConversion"/>
  </si>
  <si>
    <r>
      <rPr>
        <sz val="11"/>
        <color rgb="FFFF0000"/>
        <rFont val="맑은 고딕"/>
        <family val="3"/>
        <charset val="129"/>
        <scheme val="minor"/>
      </rPr>
      <t>드루</t>
    </r>
    <r>
      <rPr>
        <sz val="11"/>
        <color rgb="FF0000FF"/>
        <rFont val="맑은 고딕"/>
        <family val="2"/>
        <charset val="129"/>
        <scheme val="minor"/>
      </rPr>
      <t xml:space="preserve">(50.0%) </t>
    </r>
    <r>
      <rPr>
        <sz val="11"/>
        <color rgb="FFFF0000"/>
        <rFont val="맑은 고딕"/>
        <family val="3"/>
        <charset val="129"/>
        <scheme val="minor"/>
      </rPr>
      <t>부→</t>
    </r>
    <r>
      <rPr>
        <b/>
        <sz val="11"/>
        <color rgb="FFFF0000"/>
        <rFont val="맑은 고딕"/>
        <family val="3"/>
        <charset val="129"/>
        <scheme val="minor"/>
      </rPr>
      <t>주</t>
    </r>
    <r>
      <rPr>
        <sz val="11"/>
        <color rgb="FF0000FF"/>
        <rFont val="맑은 고딕"/>
        <family val="2"/>
        <charset val="129"/>
        <scheme val="minor"/>
      </rPr>
      <t xml:space="preserve">, </t>
    </r>
    <r>
      <rPr>
        <sz val="11"/>
        <color rgb="FFFF0000"/>
        <rFont val="맑은 고딕"/>
        <family val="3"/>
        <charset val="129"/>
        <scheme val="minor"/>
      </rPr>
      <t>네크</t>
    </r>
    <r>
      <rPr>
        <sz val="11"/>
        <color rgb="FF0000FF"/>
        <rFont val="맑은 고딕"/>
        <family val="2"/>
        <charset val="129"/>
        <scheme val="minor"/>
      </rPr>
      <t xml:space="preserve">(25.0%) </t>
    </r>
    <r>
      <rPr>
        <sz val="11"/>
        <color rgb="FFFF0000"/>
        <rFont val="맑은 고딕"/>
        <family val="3"/>
        <charset val="129"/>
        <scheme val="minor"/>
      </rPr>
      <t>주→</t>
    </r>
    <r>
      <rPr>
        <b/>
        <sz val="11"/>
        <color rgb="FFFF0000"/>
        <rFont val="맑은 고딕"/>
        <family val="3"/>
        <charset val="129"/>
        <scheme val="minor"/>
      </rPr>
      <t>부</t>
    </r>
    <r>
      <rPr>
        <sz val="11"/>
        <color rgb="FF0000FF"/>
        <rFont val="맑은 고딕"/>
        <family val="2"/>
        <charset val="129"/>
        <scheme val="minor"/>
      </rPr>
      <t>로 변경 | 최고 승률 드어슴 (50.0%)</t>
    </r>
    <phoneticPr fontId="1" type="noConversion"/>
  </si>
  <si>
    <t>변경없음 | 슴딘은 시즌 중 충분한 게임수 확보 필요</t>
    <phoneticPr fontId="1" type="noConversion"/>
  </si>
  <si>
    <r>
      <rPr>
        <sz val="11"/>
        <color rgb="FFFF0000"/>
        <rFont val="맑은 고딕"/>
        <family val="3"/>
        <charset val="129"/>
        <scheme val="minor"/>
      </rPr>
      <t>네크</t>
    </r>
    <r>
      <rPr>
        <sz val="11"/>
        <color rgb="FF0000FF"/>
        <rFont val="맑은 고딕"/>
        <family val="2"/>
        <charset val="129"/>
        <scheme val="minor"/>
      </rPr>
      <t xml:space="preserve">(44.4%) </t>
    </r>
    <r>
      <rPr>
        <sz val="11"/>
        <color rgb="FFFF0000"/>
        <rFont val="맑은 고딕"/>
        <family val="3"/>
        <charset val="129"/>
        <scheme val="minor"/>
      </rPr>
      <t>부→</t>
    </r>
    <r>
      <rPr>
        <b/>
        <sz val="11"/>
        <color rgb="FFFF0000"/>
        <rFont val="맑은 고딕"/>
        <family val="3"/>
        <charset val="129"/>
        <scheme val="minor"/>
      </rPr>
      <t>주</t>
    </r>
    <r>
      <rPr>
        <sz val="11"/>
        <color rgb="FF0000FF"/>
        <rFont val="맑은 고딕"/>
        <family val="2"/>
        <charset val="129"/>
        <scheme val="minor"/>
      </rPr>
      <t>로 변경 | 최고 승률 슴딘 (50.0%)</t>
    </r>
    <phoneticPr fontId="1" type="noConversion"/>
  </si>
  <si>
    <r>
      <rPr>
        <sz val="11"/>
        <color rgb="FFFF0000"/>
        <rFont val="맑은 고딕"/>
        <family val="3"/>
        <charset val="129"/>
        <scheme val="minor"/>
      </rPr>
      <t>드루</t>
    </r>
    <r>
      <rPr>
        <sz val="11"/>
        <color rgb="FF0000FF"/>
        <rFont val="맑은 고딕"/>
        <family val="2"/>
        <charset val="129"/>
        <scheme val="minor"/>
      </rPr>
      <t xml:space="preserve"> </t>
    </r>
    <r>
      <rPr>
        <sz val="11"/>
        <color rgb="FFFF0000"/>
        <rFont val="맑은 고딕"/>
        <family val="3"/>
        <charset val="129"/>
        <scheme val="minor"/>
      </rPr>
      <t>주→</t>
    </r>
    <r>
      <rPr>
        <b/>
        <sz val="11"/>
        <color rgb="FFFF0000"/>
        <rFont val="맑은 고딕"/>
        <family val="3"/>
        <charset val="129"/>
        <scheme val="minor"/>
      </rPr>
      <t>부</t>
    </r>
    <r>
      <rPr>
        <sz val="11"/>
        <color rgb="FF0000FF"/>
        <rFont val="맑은 고딕"/>
        <family val="2"/>
        <charset val="129"/>
        <scheme val="minor"/>
      </rPr>
      <t>로 변경 | 시즌3 중 충분한 게임수 확보 필요</t>
    </r>
    <phoneticPr fontId="1" type="noConversion"/>
  </si>
  <si>
    <r>
      <rPr>
        <sz val="11"/>
        <color rgb="FFFF0000"/>
        <rFont val="맑은 고딕"/>
        <family val="3"/>
        <charset val="129"/>
        <scheme val="minor"/>
      </rPr>
      <t>슴딘</t>
    </r>
    <r>
      <rPr>
        <sz val="11"/>
        <color rgb="FF0000FF"/>
        <rFont val="맑은 고딕"/>
        <family val="2"/>
        <charset val="129"/>
        <scheme val="minor"/>
      </rPr>
      <t xml:space="preserve">(71.4%) </t>
    </r>
    <r>
      <rPr>
        <sz val="11"/>
        <color rgb="FFFF0000"/>
        <rFont val="맑은 고딕"/>
        <family val="3"/>
        <charset val="129"/>
        <scheme val="minor"/>
      </rPr>
      <t>부→</t>
    </r>
    <r>
      <rPr>
        <b/>
        <sz val="11"/>
        <color rgb="FFFF0000"/>
        <rFont val="맑은 고딕"/>
        <family val="3"/>
        <charset val="129"/>
        <scheme val="minor"/>
      </rPr>
      <t>주</t>
    </r>
    <r>
      <rPr>
        <sz val="11"/>
        <color rgb="FF0000FF"/>
        <rFont val="맑은 고딕"/>
        <family val="2"/>
        <charset val="129"/>
        <scheme val="minor"/>
      </rPr>
      <t>로 변경</t>
    </r>
    <phoneticPr fontId="1" type="noConversion"/>
  </si>
  <si>
    <r>
      <rPr>
        <sz val="11"/>
        <color rgb="FFFF0000"/>
        <rFont val="맑은 고딕"/>
        <family val="3"/>
        <charset val="129"/>
        <scheme val="minor"/>
      </rPr>
      <t>슴딘</t>
    </r>
    <r>
      <rPr>
        <sz val="11"/>
        <color rgb="FF0000FF"/>
        <rFont val="맑은 고딕"/>
        <family val="2"/>
        <charset val="129"/>
        <scheme val="minor"/>
      </rPr>
      <t xml:space="preserve">(33.3%) </t>
    </r>
    <r>
      <rPr>
        <sz val="11"/>
        <color rgb="FFFF0000"/>
        <rFont val="맑은 고딕"/>
        <family val="3"/>
        <charset val="129"/>
        <scheme val="minor"/>
      </rPr>
      <t>주→</t>
    </r>
    <r>
      <rPr>
        <b/>
        <sz val="11"/>
        <color rgb="FFFF0000"/>
        <rFont val="맑은 고딕"/>
        <family val="3"/>
        <charset val="129"/>
        <scheme val="minor"/>
      </rPr>
      <t>부</t>
    </r>
    <r>
      <rPr>
        <sz val="11"/>
        <color rgb="FF0000FF"/>
        <rFont val="맑은 고딕"/>
        <family val="2"/>
        <charset val="129"/>
        <scheme val="minor"/>
      </rPr>
      <t>로 변경 | 최고 승률 네크 (65.4%)</t>
    </r>
    <phoneticPr fontId="1" type="noConversion"/>
  </si>
  <si>
    <t>그래도 아직은 주캐 "슴딘유저"</t>
    <phoneticPr fontId="1" type="noConversion"/>
  </si>
  <si>
    <t>골드 티어 : 불고기버거 세트 / 민형</t>
    <phoneticPr fontId="1" type="noConversion"/>
  </si>
  <si>
    <t>전체 1위 : 30/15/2 코로나 / 린스</t>
    <phoneticPr fontId="1" type="noConversion"/>
  </si>
  <si>
    <t>플레티넘 티어 1위 : 면죄 10개 / 린스</t>
    <phoneticPr fontId="1" type="noConversion"/>
  </si>
  <si>
    <t>골드 티어 1위 : 면죄 10개 / 린스</t>
    <phoneticPr fontId="1" type="noConversion"/>
  </si>
  <si>
    <t>실버 티어 1위 : 면죄 10개 / 린스</t>
    <phoneticPr fontId="1" type="noConversion"/>
  </si>
  <si>
    <t>플레티넘 티어 3위 : 스타벅스 아아 / 울프</t>
    <phoneticPr fontId="1" type="noConversion"/>
  </si>
  <si>
    <t>골드 티어 4위 : 스타벅스 아아 / 울프</t>
    <phoneticPr fontId="1" type="noConversion"/>
  </si>
  <si>
    <t>실버 티어 4위 : 스타벅스 아아 / 울프</t>
    <phoneticPr fontId="1" type="noConversion"/>
  </si>
  <si>
    <t>최다 연패 기록자 : 6?/6? 콜투 / 민형</t>
    <phoneticPr fontId="1" type="noConversion"/>
  </si>
  <si>
    <t>23.09.04. ~ 23.09.27.</t>
    <phoneticPr fontId="1" type="noConversion"/>
  </si>
  <si>
    <t>다이아 티어 : 베토디 세트x3/민형</t>
    <phoneticPr fontId="1" type="noConversion"/>
  </si>
  <si>
    <t>플레티넘 티어 : 상하이 세트x3/민형, 고추바바삭/용갈x3</t>
    <phoneticPr fontId="1" type="noConversion"/>
  </si>
  <si>
    <t>네크최다패 : 역으뜸레이븐링 / 조네</t>
    <phoneticPr fontId="1" type="noConversion"/>
  </si>
  <si>
    <t>필찌</t>
    <phoneticPr fontId="1" type="noConversion"/>
  </si>
  <si>
    <t>필찌</t>
    <phoneticPr fontId="1" type="noConversion"/>
  </si>
  <si>
    <t>필찌</t>
  </si>
  <si>
    <t>아이디</t>
    <phoneticPr fontId="1" type="noConversion"/>
  </si>
  <si>
    <t>O</t>
  </si>
  <si>
    <t>아이언</t>
    <phoneticPr fontId="1" type="noConversion"/>
  </si>
  <si>
    <t>아이언</t>
    <phoneticPr fontId="1" type="noConversion"/>
  </si>
  <si>
    <t>1~2위</t>
    <phoneticPr fontId="1" type="noConversion"/>
  </si>
  <si>
    <t>3~5위</t>
    <phoneticPr fontId="1" type="noConversion"/>
  </si>
  <si>
    <t>6~9위</t>
    <phoneticPr fontId="1" type="noConversion"/>
  </si>
  <si>
    <t>10~13위</t>
    <phoneticPr fontId="1" type="noConversion"/>
  </si>
  <si>
    <t>배치5게임</t>
    <phoneticPr fontId="1" type="noConversion"/>
  </si>
  <si>
    <t>14~17위</t>
    <phoneticPr fontId="1" type="noConversion"/>
  </si>
  <si>
    <t>18위~</t>
    <phoneticPr fontId="1" type="noConversion"/>
  </si>
  <si>
    <t>18th</t>
  </si>
  <si>
    <t>19th</t>
  </si>
  <si>
    <t>20th</t>
  </si>
  <si>
    <t>부</t>
  </si>
  <si>
    <t>플레티넘</t>
  </si>
  <si>
    <t>실버</t>
  </si>
  <si>
    <t>용이</t>
  </si>
  <si>
    <t>획득점수</t>
    <phoneticPr fontId="1" type="noConversion"/>
  </si>
  <si>
    <t>최종점수</t>
    <phoneticPr fontId="1" type="noConversion"/>
  </si>
  <si>
    <t>최종점수</t>
    <phoneticPr fontId="1" type="noConversion"/>
  </si>
  <si>
    <t>Delta</t>
  </si>
  <si>
    <t>&lt;3</t>
  </si>
  <si>
    <t>&lt;6</t>
  </si>
  <si>
    <t>&lt;9</t>
  </si>
  <si>
    <t>&lt;12</t>
  </si>
  <si>
    <t>&lt;15</t>
  </si>
  <si>
    <t>&lt;18</t>
  </si>
  <si>
    <t>&lt;21</t>
  </si>
  <si>
    <t>&lt;24</t>
  </si>
  <si>
    <t>&lt;27</t>
  </si>
  <si>
    <t>&lt;30</t>
  </si>
  <si>
    <t>&lt;33</t>
  </si>
  <si>
    <t>&lt;36</t>
  </si>
  <si>
    <t>&lt;39</t>
  </si>
  <si>
    <t>&lt;42</t>
  </si>
  <si>
    <t>&lt;45</t>
  </si>
  <si>
    <t>&lt;48</t>
  </si>
  <si>
    <t>&lt;51</t>
  </si>
  <si>
    <t>&lt;54</t>
  </si>
  <si>
    <t>&lt;57</t>
  </si>
  <si>
    <t>&lt;60</t>
  </si>
  <si>
    <t>Score</t>
  </si>
  <si>
    <t>&gt;3</t>
  </si>
  <si>
    <t>&gt;6</t>
  </si>
  <si>
    <t>&gt;9</t>
  </si>
  <si>
    <t>&gt;12</t>
  </si>
  <si>
    <t>&gt;15</t>
  </si>
  <si>
    <t>&gt;18</t>
  </si>
  <si>
    <t>&gt;21</t>
  </si>
  <si>
    <t>&gt;24</t>
  </si>
  <si>
    <t>&gt;27</t>
  </si>
  <si>
    <t>&gt;30</t>
  </si>
  <si>
    <t>&gt;33</t>
  </si>
  <si>
    <t>&gt;36</t>
  </si>
  <si>
    <t>&gt;39</t>
  </si>
  <si>
    <t>&gt;42</t>
  </si>
  <si>
    <t>&gt;45</t>
  </si>
  <si>
    <t>&gt;48</t>
  </si>
  <si>
    <t>&gt;51</t>
  </si>
  <si>
    <t>&gt;54</t>
  </si>
  <si>
    <t>&gt;57</t>
  </si>
  <si>
    <t>&gt;60</t>
  </si>
  <si>
    <t>골드</t>
  </si>
  <si>
    <t>브론즈</t>
  </si>
  <si>
    <t>문규식</t>
  </si>
  <si>
    <t>도건</t>
  </si>
  <si>
    <t>티어없음</t>
  </si>
  <si>
    <t>다이아</t>
  </si>
  <si>
    <t>Result</t>
    <phoneticPr fontId="1" type="noConversion"/>
  </si>
  <si>
    <t>MMR Priority</t>
    <phoneticPr fontId="1" type="noConversion"/>
  </si>
  <si>
    <t>팀 명단</t>
    <phoneticPr fontId="1" type="noConversion"/>
  </si>
  <si>
    <t>(아래)</t>
    <phoneticPr fontId="1" type="noConversion"/>
  </si>
  <si>
    <t>(위)</t>
    <phoneticPr fontId="1" type="noConversion"/>
  </si>
  <si>
    <t>참가자 입력</t>
    <phoneticPr fontId="1" type="noConversion"/>
  </si>
  <si>
    <t>시즌2</t>
    <phoneticPr fontId="1" type="noConversion"/>
  </si>
  <si>
    <t>팀 명단</t>
  </si>
  <si>
    <t>어쌔,드루 최다 플레이 : 40/13/15 미스릴x2~3 / 린스</t>
    <phoneticPr fontId="1" type="noConversion"/>
  </si>
  <si>
    <t>Sum</t>
    <phoneticPr fontId="1" type="noConversion"/>
  </si>
  <si>
    <t>Rank</t>
    <phoneticPr fontId="1" type="noConversion"/>
  </si>
  <si>
    <t>총 게임수</t>
    <phoneticPr fontId="1" type="noConversion"/>
  </si>
  <si>
    <t>MMR순위</t>
    <phoneticPr fontId="1" type="noConversion"/>
  </si>
  <si>
    <t>전체 순위</t>
    <phoneticPr fontId="1" type="noConversion"/>
  </si>
  <si>
    <t>Druid</t>
    <phoneticPr fontId="1" type="noConversion"/>
  </si>
  <si>
    <t>Assassin</t>
    <phoneticPr fontId="1" type="noConversion"/>
  </si>
  <si>
    <t>Necromancer</t>
    <phoneticPr fontId="1" type="noConversion"/>
  </si>
  <si>
    <t>Paladin</t>
    <phoneticPr fontId="1" type="noConversion"/>
  </si>
  <si>
    <t>Win</t>
    <phoneticPr fontId="1" type="noConversion"/>
  </si>
  <si>
    <t>Lose</t>
    <phoneticPr fontId="1" type="noConversion"/>
  </si>
  <si>
    <t>Rate</t>
    <phoneticPr fontId="1" type="noConversion"/>
  </si>
  <si>
    <t>우선순위</t>
    <phoneticPr fontId="1" type="noConversion"/>
  </si>
  <si>
    <t>Total 게임수 확인용</t>
    <phoneticPr fontId="1" type="noConversion"/>
  </si>
  <si>
    <t>픽 중복 체크</t>
    <phoneticPr fontId="1" type="noConversion"/>
  </si>
  <si>
    <t>순위</t>
    <phoneticPr fontId="1" type="noConversion"/>
  </si>
  <si>
    <t>MMR</t>
    <phoneticPr fontId="1" type="noConversion"/>
  </si>
  <si>
    <t>▼ MMR Check</t>
    <phoneticPr fontId="1" type="noConversion"/>
  </si>
  <si>
    <t xml:space="preserve">&lt; 현재 MMR &gt; </t>
    <phoneticPr fontId="1" type="noConversion"/>
  </si>
  <si>
    <t>&lt; MMR 조건 체크 Team1 &gt;</t>
    <phoneticPr fontId="1" type="noConversion"/>
  </si>
  <si>
    <t>&lt; MMR 조건 체크 Team2 &gt;</t>
    <phoneticPr fontId="1" type="noConversion"/>
  </si>
  <si>
    <t>판정값</t>
    <phoneticPr fontId="1" type="noConversion"/>
  </si>
  <si>
    <t>☆ 셀변경/추가금지</t>
    <phoneticPr fontId="1" type="noConversion"/>
  </si>
  <si>
    <t>MMR Rank</t>
    <phoneticPr fontId="1" type="noConversion"/>
  </si>
  <si>
    <t>※ 표 수정 금지</t>
    <phoneticPr fontId="1" type="noConversion"/>
  </si>
  <si>
    <t>1 현재시즌 승률</t>
    <phoneticPr fontId="1" type="noConversion"/>
  </si>
  <si>
    <t>2 지난시즌 승률</t>
    <phoneticPr fontId="1" type="noConversion"/>
  </si>
  <si>
    <t>Last5</t>
    <phoneticPr fontId="1" type="noConversion"/>
  </si>
  <si>
    <t>Last4</t>
    <phoneticPr fontId="1" type="noConversion"/>
  </si>
  <si>
    <t>Last3</t>
    <phoneticPr fontId="1" type="noConversion"/>
  </si>
  <si>
    <t>Last2</t>
    <phoneticPr fontId="1" type="noConversion"/>
  </si>
  <si>
    <t>Last1</t>
    <phoneticPr fontId="1" type="noConversion"/>
  </si>
  <si>
    <t>Rate</t>
    <phoneticPr fontId="1" type="noConversion"/>
  </si>
  <si>
    <t>Total game</t>
    <phoneticPr fontId="1" type="noConversion"/>
  </si>
  <si>
    <t>O</t>
    <phoneticPr fontId="1" type="noConversion"/>
  </si>
  <si>
    <t>아이언</t>
  </si>
  <si>
    <t>살수</t>
    <phoneticPr fontId="1" type="noConversion"/>
  </si>
  <si>
    <t>반짝</t>
    <phoneticPr fontId="1" type="noConversion"/>
  </si>
  <si>
    <t>하리보</t>
    <phoneticPr fontId="1" type="noConversion"/>
  </si>
  <si>
    <t>야로</t>
    <phoneticPr fontId="1" type="noConversion"/>
  </si>
  <si>
    <t>울프</t>
    <phoneticPr fontId="1" type="noConversion"/>
  </si>
  <si>
    <t>태식</t>
    <phoneticPr fontId="1" type="noConversion"/>
  </si>
  <si>
    <t>넘버</t>
    <phoneticPr fontId="1" type="noConversion"/>
  </si>
  <si>
    <t>린스</t>
    <phoneticPr fontId="1" type="noConversion"/>
  </si>
  <si>
    <t>조네</t>
    <phoneticPr fontId="1" type="noConversion"/>
  </si>
  <si>
    <t>민형</t>
    <phoneticPr fontId="1" type="noConversion"/>
  </si>
  <si>
    <t>3 지난시즌 미진행시</t>
    <phoneticPr fontId="1" type="noConversion"/>
  </si>
  <si>
    <t>4 현재시즌 점수</t>
    <phoneticPr fontId="1" type="noConversion"/>
  </si>
  <si>
    <t>5 현재시즌 게임수</t>
    <phoneticPr fontId="1" type="noConversion"/>
  </si>
  <si>
    <t>6 랜덤숫자(동점방지)</t>
    <phoneticPr fontId="1" type="noConversion"/>
  </si>
  <si>
    <t>7 최근5승률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</si>
</sst>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41" formatCode="_-* #,##0_-;\-* #,##0_-;_-* &quot;-&quot;_-;_-@_-"/>
    <numFmt numFmtId="176" formatCode="0.0%"/>
    <numFmt numFmtId="177" formatCode="0_);[Red]\(0\)"/>
    <numFmt numFmtId="178" formatCode="&quot;총&quot;&quot;참&quot;&quot;가&quot;&quot;자&quot;##&quot;명&quot;"/>
    <numFmt numFmtId="179" formatCode="0_ "/>
    <numFmt numFmtId="180" formatCode="0.0_);[Red]\(0.0\)"/>
    <numFmt numFmtId="181" formatCode="0.0_ "/>
    <numFmt numFmtId="182" formatCode="0.00_ "/>
    <numFmt numFmtId="183" formatCode="0.00_);[Red]\(0.00\)"/>
    <numFmt numFmtId="184" formatCode="0.0000000_);[Red]\(0.0000000\)"/>
  </numFmts>
  <fonts count="25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1"/>
      <color rgb="FF0000FF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b/>
      <sz val="18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1"/>
      <color rgb="FFFF0000"/>
      <name val="맑은 고딕"/>
      <family val="2"/>
      <charset val="129"/>
      <scheme val="minor"/>
    </font>
    <font>
      <sz val="11"/>
      <color rgb="FF0000FF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b/>
      <sz val="11"/>
      <color theme="2" tint="-0.249977111117893"/>
      <name val="맑은 고딕"/>
      <family val="3"/>
      <charset val="129"/>
      <scheme val="minor"/>
    </font>
    <font>
      <sz val="11"/>
      <color theme="2" tint="-0.249977111117893"/>
      <name val="맑은 고딕"/>
      <family val="2"/>
      <charset val="129"/>
      <scheme val="minor"/>
    </font>
    <font>
      <sz val="11"/>
      <color theme="4"/>
      <name val="맑은 고딕"/>
      <family val="3"/>
      <charset val="129"/>
      <scheme val="minor"/>
    </font>
    <font>
      <sz val="11"/>
      <name val="맑은 고딕"/>
      <family val="2"/>
      <charset val="129"/>
      <scheme val="minor"/>
    </font>
    <font>
      <sz val="11"/>
      <color rgb="FFB2580E"/>
      <name val="맑은 고딕"/>
      <family val="2"/>
      <charset val="129"/>
      <scheme val="minor"/>
    </font>
    <font>
      <sz val="11"/>
      <color rgb="FF0000FF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inor"/>
    </font>
    <font>
      <sz val="11"/>
      <color theme="0" tint="-0.499984740745262"/>
      <name val="맑은 고딕"/>
      <family val="2"/>
      <charset val="129"/>
      <scheme val="minor"/>
    </font>
    <font>
      <b/>
      <u/>
      <sz val="11"/>
      <color rgb="FF00B050"/>
      <name val="맑은 고딕"/>
      <family val="3"/>
      <charset val="129"/>
      <scheme val="minor"/>
    </font>
    <font>
      <sz val="11"/>
      <color rgb="FF00B050"/>
      <name val="맑은 고딕"/>
      <family val="2"/>
      <charset val="129"/>
      <scheme val="minor"/>
    </font>
  </fonts>
  <fills count="2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34998626667073579"/>
        <bgColor indexed="64"/>
      </patternFill>
    </fill>
  </fills>
  <borders count="5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 style="double">
        <color auto="1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369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176" fontId="0" fillId="0" borderId="0" xfId="0" applyNumberFormat="1">
      <alignment vertical="center"/>
    </xf>
    <xf numFmtId="41" fontId="0" fillId="0" borderId="0" xfId="1" applyFont="1" applyBorder="1">
      <alignment vertical="center"/>
    </xf>
    <xf numFmtId="178" fontId="3" fillId="0" borderId="1" xfId="0" applyNumberFormat="1" applyFont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41" fontId="0" fillId="2" borderId="0" xfId="1" applyFont="1" applyFill="1" applyBorder="1">
      <alignment vertical="center"/>
    </xf>
    <xf numFmtId="0" fontId="0" fillId="2" borderId="0" xfId="0" applyFill="1">
      <alignment vertical="center"/>
    </xf>
    <xf numFmtId="177" fontId="0" fillId="0" borderId="0" xfId="1" applyNumberFormat="1" applyFont="1" applyBorder="1">
      <alignment vertical="center"/>
    </xf>
    <xf numFmtId="176" fontId="3" fillId="0" borderId="1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177" fontId="0" fillId="0" borderId="1" xfId="1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177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180" fontId="0" fillId="0" borderId="1" xfId="1" applyNumberFormat="1" applyFont="1" applyBorder="1">
      <alignment vertical="center"/>
    </xf>
    <xf numFmtId="0" fontId="6" fillId="7" borderId="1" xfId="0" applyFont="1" applyFill="1" applyBorder="1" applyAlignment="1">
      <alignment horizontal="center" vertical="center"/>
    </xf>
    <xf numFmtId="0" fontId="6" fillId="8" borderId="0" xfId="0" applyFont="1" applyFill="1" applyAlignment="1">
      <alignment horizontal="center" vertical="center"/>
    </xf>
    <xf numFmtId="0" fontId="3" fillId="9" borderId="12" xfId="0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0" fontId="3" fillId="9" borderId="9" xfId="0" applyFont="1" applyFill="1" applyBorder="1" applyAlignment="1">
      <alignment horizontal="center" vertical="center"/>
    </xf>
    <xf numFmtId="0" fontId="3" fillId="9" borderId="6" xfId="0" applyFont="1" applyFill="1" applyBorder="1" applyAlignment="1">
      <alignment horizontal="center" vertical="center"/>
    </xf>
    <xf numFmtId="0" fontId="3" fillId="10" borderId="12" xfId="0" applyFon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0" fontId="3" fillId="10" borderId="9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13" fillId="0" borderId="12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10" fontId="0" fillId="0" borderId="9" xfId="0" applyNumberFormat="1" applyBorder="1" applyAlignment="1">
      <alignment horizontal="center" vertical="center"/>
    </xf>
    <xf numFmtId="10" fontId="0" fillId="0" borderId="6" xfId="0" applyNumberFormat="1" applyBorder="1" applyAlignment="1">
      <alignment horizontal="center" vertical="center"/>
    </xf>
    <xf numFmtId="0" fontId="0" fillId="5" borderId="12" xfId="0" applyFill="1" applyBorder="1" applyAlignment="1">
      <alignment horizontal="center" vertical="center"/>
    </xf>
    <xf numFmtId="10" fontId="0" fillId="5" borderId="9" xfId="0" applyNumberForma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2" borderId="1" xfId="0" applyFill="1" applyBorder="1" applyAlignment="1">
      <alignment horizontal="center" vertical="center"/>
    </xf>
    <xf numFmtId="0" fontId="6" fillId="13" borderId="1" xfId="0" applyFont="1" applyFill="1" applyBorder="1" applyAlignment="1">
      <alignment horizontal="center" vertical="center"/>
    </xf>
    <xf numFmtId="0" fontId="14" fillId="14" borderId="1" xfId="0" applyFont="1" applyFill="1" applyBorder="1" applyAlignment="1">
      <alignment horizontal="center" vertical="center"/>
    </xf>
    <xf numFmtId="0" fontId="0" fillId="15" borderId="1" xfId="0" applyFill="1" applyBorder="1" applyAlignment="1">
      <alignment horizontal="center" vertical="center"/>
    </xf>
    <xf numFmtId="0" fontId="0" fillId="0" borderId="0" xfId="0" applyFill="1" applyBorder="1">
      <alignment vertical="center"/>
    </xf>
    <xf numFmtId="0" fontId="6" fillId="0" borderId="0" xfId="0" applyFont="1" applyFill="1" applyBorder="1" applyAlignment="1">
      <alignment horizontal="center" vertical="center"/>
    </xf>
    <xf numFmtId="0" fontId="14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181" fontId="3" fillId="0" borderId="0" xfId="0" applyNumberFormat="1" applyFont="1" applyFill="1" applyBorder="1" applyAlignment="1">
      <alignment horizontal="center" vertical="center"/>
    </xf>
    <xf numFmtId="176" fontId="0" fillId="0" borderId="0" xfId="0" applyNumberFormat="1" applyFill="1" applyBorder="1" applyAlignment="1">
      <alignment horizontal="center" vertical="center"/>
    </xf>
    <xf numFmtId="0" fontId="6" fillId="13" borderId="13" xfId="0" applyFont="1" applyFill="1" applyBorder="1" applyAlignment="1">
      <alignment horizontal="center" vertical="center"/>
    </xf>
    <xf numFmtId="0" fontId="6" fillId="13" borderId="14" xfId="0" applyFont="1" applyFill="1" applyBorder="1" applyAlignment="1">
      <alignment horizontal="center" vertical="center"/>
    </xf>
    <xf numFmtId="0" fontId="6" fillId="13" borderId="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182" fontId="0" fillId="0" borderId="1" xfId="0" applyNumberFormat="1" applyBorder="1" applyAlignment="1">
      <alignment horizontal="center" vertical="center"/>
    </xf>
    <xf numFmtId="182" fontId="0" fillId="3" borderId="1" xfId="0" applyNumberForma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3" fillId="16" borderId="0" xfId="0" applyFont="1" applyFill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0" fontId="17" fillId="0" borderId="0" xfId="0" applyFont="1" applyAlignment="1">
      <alignment horizontal="center" vertical="center"/>
    </xf>
    <xf numFmtId="0" fontId="17" fillId="0" borderId="0" xfId="0" applyFont="1">
      <alignment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7" borderId="0" xfId="0" applyFill="1">
      <alignment vertical="center"/>
    </xf>
    <xf numFmtId="0" fontId="0" fillId="17" borderId="0" xfId="0" applyFill="1" applyAlignment="1">
      <alignment horizontal="center" vertical="center"/>
    </xf>
    <xf numFmtId="0" fontId="3" fillId="17" borderId="0" xfId="0" applyFont="1" applyFill="1">
      <alignment vertical="center"/>
    </xf>
    <xf numFmtId="0" fontId="3" fillId="3" borderId="15" xfId="0" applyFont="1" applyFill="1" applyBorder="1" applyAlignment="1">
      <alignment horizontal="center" vertical="center"/>
    </xf>
    <xf numFmtId="0" fontId="3" fillId="3" borderId="16" xfId="0" applyFont="1" applyFill="1" applyBorder="1" applyAlignment="1">
      <alignment horizontal="center" vertical="center"/>
    </xf>
    <xf numFmtId="0" fontId="3" fillId="3" borderId="17" xfId="0" applyFont="1" applyFill="1" applyBorder="1" applyAlignment="1">
      <alignment horizontal="center" vertical="center"/>
    </xf>
    <xf numFmtId="0" fontId="3" fillId="3" borderId="18" xfId="0" applyFont="1" applyFill="1" applyBorder="1" applyAlignment="1">
      <alignment horizontal="center" vertical="center"/>
    </xf>
    <xf numFmtId="0" fontId="3" fillId="17" borderId="19" xfId="0" applyFont="1" applyFill="1" applyBorder="1" applyAlignment="1">
      <alignment horizontal="center" vertical="center"/>
    </xf>
    <xf numFmtId="0" fontId="0" fillId="17" borderId="20" xfId="0" applyFill="1" applyBorder="1" applyAlignment="1">
      <alignment horizontal="center" vertical="center"/>
    </xf>
    <xf numFmtId="0" fontId="3" fillId="3" borderId="21" xfId="0" applyFont="1" applyFill="1" applyBorder="1" applyAlignment="1">
      <alignment horizontal="center" vertical="center"/>
    </xf>
    <xf numFmtId="0" fontId="3" fillId="3" borderId="19" xfId="0" applyFont="1" applyFill="1" applyBorder="1" applyAlignment="1">
      <alignment horizontal="center" vertical="center"/>
    </xf>
    <xf numFmtId="0" fontId="3" fillId="3" borderId="20" xfId="0" applyFont="1" applyFill="1" applyBorder="1" applyAlignment="1">
      <alignment horizontal="center" vertical="center"/>
    </xf>
    <xf numFmtId="0" fontId="18" fillId="17" borderId="0" xfId="0" applyFont="1" applyFill="1">
      <alignment vertical="center"/>
    </xf>
    <xf numFmtId="0" fontId="0" fillId="17" borderId="19" xfId="0" applyFill="1" applyBorder="1" applyAlignment="1">
      <alignment horizontal="center" vertical="center"/>
    </xf>
    <xf numFmtId="0" fontId="0" fillId="17" borderId="17" xfId="0" applyFill="1" applyBorder="1" applyAlignment="1">
      <alignment horizontal="center" vertical="center"/>
    </xf>
    <xf numFmtId="0" fontId="0" fillId="2" borderId="22" xfId="0" applyFill="1" applyBorder="1" applyAlignment="1">
      <alignment horizontal="center" vertical="center"/>
    </xf>
    <xf numFmtId="0" fontId="5" fillId="16" borderId="5" xfId="0" applyFont="1" applyFill="1" applyBorder="1" applyAlignment="1">
      <alignment horizontal="center" vertical="center"/>
    </xf>
    <xf numFmtId="0" fontId="0" fillId="17" borderId="11" xfId="0" applyFill="1" applyBorder="1" applyAlignment="1">
      <alignment horizontal="center" vertical="center"/>
    </xf>
    <xf numFmtId="0" fontId="0" fillId="17" borderId="11" xfId="0" applyFill="1" applyBorder="1" applyAlignment="1">
      <alignment horizontal="center" vertical="center" wrapText="1"/>
    </xf>
    <xf numFmtId="0" fontId="0" fillId="17" borderId="4" xfId="0" applyFill="1" applyBorder="1" applyAlignment="1">
      <alignment horizontal="center" vertical="center" wrapText="1"/>
    </xf>
    <xf numFmtId="0" fontId="0" fillId="17" borderId="22" xfId="0" applyFill="1" applyBorder="1" applyAlignment="1">
      <alignment horizontal="center" vertical="center" wrapText="1"/>
    </xf>
    <xf numFmtId="0" fontId="3" fillId="17" borderId="0" xfId="0" applyFont="1" applyFill="1" applyBorder="1" applyAlignment="1">
      <alignment horizontal="center" vertical="center"/>
    </xf>
    <xf numFmtId="0" fontId="0" fillId="17" borderId="0" xfId="0" applyFill="1" applyBorder="1" applyAlignment="1">
      <alignment horizontal="center" vertical="center"/>
    </xf>
    <xf numFmtId="0" fontId="3" fillId="18" borderId="23" xfId="0" applyFont="1" applyFill="1" applyBorder="1" applyAlignment="1">
      <alignment horizontal="center" vertical="center"/>
    </xf>
    <xf numFmtId="0" fontId="5" fillId="16" borderId="24" xfId="0" applyFont="1" applyFill="1" applyBorder="1" applyAlignment="1">
      <alignment horizontal="center" vertical="center"/>
    </xf>
    <xf numFmtId="0" fontId="0" fillId="18" borderId="11" xfId="0" applyFill="1" applyBorder="1" applyAlignment="1">
      <alignment horizontal="center" vertical="center"/>
    </xf>
    <xf numFmtId="0" fontId="0" fillId="18" borderId="4" xfId="0" applyFill="1" applyBorder="1" applyAlignment="1">
      <alignment horizontal="center" vertical="center"/>
    </xf>
    <xf numFmtId="0" fontId="0" fillId="18" borderId="25" xfId="0" applyFill="1" applyBorder="1" applyAlignment="1">
      <alignment horizontal="center" vertical="center"/>
    </xf>
    <xf numFmtId="0" fontId="0" fillId="17" borderId="24" xfId="0" applyFill="1" applyBorder="1" applyAlignment="1">
      <alignment horizontal="center" vertical="center"/>
    </xf>
    <xf numFmtId="0" fontId="0" fillId="17" borderId="25" xfId="0" applyFill="1" applyBorder="1" applyAlignment="1">
      <alignment horizontal="center" vertical="center"/>
    </xf>
    <xf numFmtId="0" fontId="0" fillId="2" borderId="26" xfId="0" applyFill="1" applyBorder="1" applyAlignment="1">
      <alignment horizontal="center" vertical="center"/>
    </xf>
    <xf numFmtId="0" fontId="5" fillId="16" borderId="8" xfId="0" applyFont="1" applyFill="1" applyBorder="1" applyAlignment="1">
      <alignment horizontal="center" vertical="center"/>
    </xf>
    <xf numFmtId="0" fontId="0" fillId="17" borderId="1" xfId="0" applyFill="1" applyBorder="1" applyAlignment="1">
      <alignment horizontal="center" vertical="center"/>
    </xf>
    <xf numFmtId="0" fontId="0" fillId="17" borderId="1" xfId="0" applyFill="1" applyBorder="1" applyAlignment="1">
      <alignment horizontal="center" vertical="center" wrapText="1"/>
    </xf>
    <xf numFmtId="0" fontId="0" fillId="17" borderId="6" xfId="0" applyFill="1" applyBorder="1" applyAlignment="1">
      <alignment horizontal="center" vertical="center" wrapText="1"/>
    </xf>
    <xf numFmtId="0" fontId="0" fillId="17" borderId="26" xfId="0" applyFill="1" applyBorder="1" applyAlignment="1">
      <alignment horizontal="center" vertical="center" wrapText="1"/>
    </xf>
    <xf numFmtId="0" fontId="3" fillId="19" borderId="27" xfId="0" applyFont="1" applyFill="1" applyBorder="1" applyAlignment="1">
      <alignment horizontal="center" vertical="center"/>
    </xf>
    <xf numFmtId="0" fontId="5" fillId="16" borderId="28" xfId="0" applyFont="1" applyFill="1" applyBorder="1" applyAlignment="1">
      <alignment horizontal="center" vertical="center"/>
    </xf>
    <xf numFmtId="0" fontId="0" fillId="19" borderId="1" xfId="0" applyFill="1" applyBorder="1" applyAlignment="1">
      <alignment horizontal="center" vertical="center"/>
    </xf>
    <xf numFmtId="0" fontId="0" fillId="19" borderId="6" xfId="0" applyFill="1" applyBorder="1" applyAlignment="1">
      <alignment horizontal="center" vertical="center"/>
    </xf>
    <xf numFmtId="0" fontId="0" fillId="19" borderId="29" xfId="0" applyFill="1" applyBorder="1" applyAlignment="1">
      <alignment horizontal="center" vertical="center"/>
    </xf>
    <xf numFmtId="0" fontId="0" fillId="17" borderId="28" xfId="0" applyFill="1" applyBorder="1" applyAlignment="1">
      <alignment horizontal="center" vertical="center"/>
    </xf>
    <xf numFmtId="0" fontId="3" fillId="18" borderId="27" xfId="0" applyFont="1" applyFill="1" applyBorder="1" applyAlignment="1">
      <alignment horizontal="center" vertical="center"/>
    </xf>
    <xf numFmtId="0" fontId="0" fillId="18" borderId="1" xfId="0" applyFill="1" applyBorder="1" applyAlignment="1">
      <alignment horizontal="center" vertical="center"/>
    </xf>
    <xf numFmtId="0" fontId="0" fillId="18" borderId="6" xfId="0" applyFill="1" applyBorder="1" applyAlignment="1">
      <alignment horizontal="center" vertical="center"/>
    </xf>
    <xf numFmtId="0" fontId="0" fillId="18" borderId="29" xfId="0" applyFill="1" applyBorder="1" applyAlignment="1">
      <alignment horizontal="center" vertical="center"/>
    </xf>
    <xf numFmtId="0" fontId="3" fillId="11" borderId="27" xfId="0" applyFont="1" applyFill="1" applyBorder="1" applyAlignment="1">
      <alignment horizontal="center" vertical="center"/>
    </xf>
    <xf numFmtId="0" fontId="0" fillId="11" borderId="6" xfId="0" applyFill="1" applyBorder="1" applyAlignment="1">
      <alignment horizontal="center" vertical="center"/>
    </xf>
    <xf numFmtId="0" fontId="0" fillId="11" borderId="29" xfId="0" applyFill="1" applyBorder="1" applyAlignment="1">
      <alignment horizontal="center" vertical="center"/>
    </xf>
    <xf numFmtId="0" fontId="0" fillId="17" borderId="26" xfId="0" applyFill="1" applyBorder="1" applyAlignment="1">
      <alignment horizontal="center" vertical="center"/>
    </xf>
    <xf numFmtId="0" fontId="0" fillId="17" borderId="6" xfId="0" applyFill="1" applyBorder="1" applyAlignment="1">
      <alignment horizontal="center" vertical="center"/>
    </xf>
    <xf numFmtId="0" fontId="5" fillId="17" borderId="8" xfId="0" applyFont="1" applyFill="1" applyBorder="1" applyAlignment="1">
      <alignment horizontal="center" vertical="center"/>
    </xf>
    <xf numFmtId="0" fontId="3" fillId="11" borderId="30" xfId="0" applyFont="1" applyFill="1" applyBorder="1" applyAlignment="1">
      <alignment horizontal="center" vertical="center"/>
    </xf>
    <xf numFmtId="0" fontId="5" fillId="16" borderId="31" xfId="0" applyFont="1" applyFill="1" applyBorder="1" applyAlignment="1">
      <alignment horizontal="center" vertical="center"/>
    </xf>
    <xf numFmtId="0" fontId="0" fillId="11" borderId="32" xfId="0" applyFill="1" applyBorder="1" applyAlignment="1">
      <alignment horizontal="center" vertical="center"/>
    </xf>
    <xf numFmtId="0" fontId="0" fillId="11" borderId="33" xfId="0" applyFill="1" applyBorder="1" applyAlignment="1">
      <alignment horizontal="center" vertical="center"/>
    </xf>
    <xf numFmtId="0" fontId="0" fillId="11" borderId="34" xfId="0" applyFill="1" applyBorder="1" applyAlignment="1">
      <alignment horizontal="center" vertical="center"/>
    </xf>
    <xf numFmtId="0" fontId="3" fillId="17" borderId="0" xfId="0" applyFont="1" applyFill="1" applyAlignment="1">
      <alignment horizontal="center" vertical="center"/>
    </xf>
    <xf numFmtId="0" fontId="3" fillId="17" borderId="0" xfId="0" applyFont="1" applyFill="1" applyBorder="1" applyAlignment="1">
      <alignment vertical="center"/>
    </xf>
    <xf numFmtId="0" fontId="3" fillId="17" borderId="0" xfId="0" applyFont="1" applyFill="1" applyAlignment="1">
      <alignment vertical="center"/>
    </xf>
    <xf numFmtId="0" fontId="0" fillId="2" borderId="42" xfId="0" applyFill="1" applyBorder="1" applyAlignment="1">
      <alignment horizontal="center" vertical="center"/>
    </xf>
    <xf numFmtId="0" fontId="5" fillId="17" borderId="3" xfId="0" applyFont="1" applyFill="1" applyBorder="1" applyAlignment="1">
      <alignment horizontal="center" vertical="center"/>
    </xf>
    <xf numFmtId="0" fontId="0" fillId="17" borderId="43" xfId="0" applyFill="1" applyBorder="1" applyAlignment="1">
      <alignment horizontal="center" vertical="center"/>
    </xf>
    <xf numFmtId="0" fontId="0" fillId="17" borderId="31" xfId="0" applyFill="1" applyBorder="1" applyAlignment="1">
      <alignment horizontal="center" vertical="center"/>
    </xf>
    <xf numFmtId="0" fontId="0" fillId="17" borderId="32" xfId="0" applyFill="1" applyBorder="1" applyAlignment="1">
      <alignment horizontal="center" vertical="center"/>
    </xf>
    <xf numFmtId="0" fontId="0" fillId="17" borderId="40" xfId="0" applyFill="1" applyBorder="1" applyAlignment="1">
      <alignment horizontal="center" vertical="center"/>
    </xf>
    <xf numFmtId="0" fontId="0" fillId="17" borderId="41" xfId="0" applyFill="1" applyBorder="1" applyAlignment="1">
      <alignment horizontal="center" vertical="center"/>
    </xf>
    <xf numFmtId="0" fontId="0" fillId="17" borderId="44" xfId="0" applyFill="1" applyBorder="1">
      <alignment vertical="center"/>
    </xf>
    <xf numFmtId="0" fontId="0" fillId="17" borderId="44" xfId="0" applyFill="1" applyBorder="1" applyAlignment="1">
      <alignment horizontal="center" vertical="center"/>
    </xf>
    <xf numFmtId="0" fontId="0" fillId="17" borderId="0" xfId="0" applyFill="1" applyBorder="1">
      <alignment vertical="center"/>
    </xf>
    <xf numFmtId="0" fontId="0" fillId="17" borderId="45" xfId="0" applyFill="1" applyBorder="1" applyAlignment="1">
      <alignment horizontal="center" vertical="center"/>
    </xf>
    <xf numFmtId="0" fontId="0" fillId="17" borderId="46" xfId="0" applyFill="1" applyBorder="1" applyAlignment="1">
      <alignment horizontal="center" vertical="center"/>
    </xf>
    <xf numFmtId="0" fontId="0" fillId="17" borderId="47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10" fillId="0" borderId="6" xfId="0" applyFont="1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>
      <alignment vertical="center"/>
    </xf>
    <xf numFmtId="177" fontId="0" fillId="0" borderId="0" xfId="1" applyNumberFormat="1" applyFont="1" applyFill="1" applyBorder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0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83" fontId="0" fillId="5" borderId="1" xfId="0" applyNumberForma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21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21" borderId="1" xfId="0" applyFont="1" applyFill="1" applyBorder="1" applyAlignment="1">
      <alignment horizontal="center" vertical="center"/>
    </xf>
    <xf numFmtId="0" fontId="6" fillId="8" borderId="1" xfId="0" applyFont="1" applyFill="1" applyBorder="1" applyAlignment="1">
      <alignment horizontal="center" vertical="center"/>
    </xf>
    <xf numFmtId="0" fontId="6" fillId="23" borderId="1" xfId="0" applyFont="1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177" fontId="3" fillId="11" borderId="6" xfId="0" applyNumberFormat="1" applyFont="1" applyFill="1" applyBorder="1" applyAlignment="1">
      <alignment horizontal="center" vertical="center"/>
    </xf>
    <xf numFmtId="177" fontId="3" fillId="20" borderId="9" xfId="0" applyNumberFormat="1" applyFont="1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12" borderId="6" xfId="0" applyFill="1" applyBorder="1" applyAlignment="1">
      <alignment horizontal="center" vertical="center"/>
    </xf>
    <xf numFmtId="0" fontId="0" fillId="15" borderId="6" xfId="0" applyFill="1" applyBorder="1" applyAlignment="1">
      <alignment horizontal="center" vertical="center"/>
    </xf>
    <xf numFmtId="0" fontId="0" fillId="20" borderId="6" xfId="0" applyFill="1" applyBorder="1" applyAlignment="1">
      <alignment horizontal="center" vertical="center"/>
    </xf>
    <xf numFmtId="0" fontId="6" fillId="13" borderId="49" xfId="0" applyFont="1" applyFill="1" applyBorder="1" applyAlignment="1">
      <alignment horizontal="center" vertical="center"/>
    </xf>
    <xf numFmtId="180" fontId="3" fillId="11" borderId="49" xfId="0" applyNumberFormat="1" applyFont="1" applyFill="1" applyBorder="1" applyAlignment="1">
      <alignment horizontal="center" vertical="center"/>
    </xf>
    <xf numFmtId="180" fontId="3" fillId="3" borderId="12" xfId="0" applyNumberFormat="1" applyFont="1" applyFill="1" applyBorder="1" applyAlignment="1">
      <alignment horizontal="center" vertical="center"/>
    </xf>
    <xf numFmtId="177" fontId="3" fillId="3" borderId="9" xfId="0" applyNumberFormat="1" applyFont="1" applyFill="1" applyBorder="1" applyAlignment="1">
      <alignment horizontal="center" vertical="center"/>
    </xf>
    <xf numFmtId="180" fontId="3" fillId="5" borderId="12" xfId="0" applyNumberFormat="1" applyFont="1" applyFill="1" applyBorder="1" applyAlignment="1">
      <alignment horizontal="center" vertical="center"/>
    </xf>
    <xf numFmtId="177" fontId="3" fillId="5" borderId="9" xfId="0" applyNumberFormat="1" applyFont="1" applyFill="1" applyBorder="1" applyAlignment="1">
      <alignment horizontal="center" vertical="center"/>
    </xf>
    <xf numFmtId="180" fontId="3" fillId="12" borderId="12" xfId="0" applyNumberFormat="1" applyFont="1" applyFill="1" applyBorder="1" applyAlignment="1">
      <alignment horizontal="center" vertical="center"/>
    </xf>
    <xf numFmtId="177" fontId="3" fillId="12" borderId="9" xfId="0" applyNumberFormat="1" applyFont="1" applyFill="1" applyBorder="1" applyAlignment="1">
      <alignment horizontal="center" vertical="center"/>
    </xf>
    <xf numFmtId="180" fontId="3" fillId="15" borderId="12" xfId="0" applyNumberFormat="1" applyFont="1" applyFill="1" applyBorder="1" applyAlignment="1">
      <alignment horizontal="center" vertical="center"/>
    </xf>
    <xf numFmtId="177" fontId="3" fillId="15" borderId="9" xfId="0" applyNumberFormat="1" applyFont="1" applyFill="1" applyBorder="1" applyAlignment="1">
      <alignment horizontal="center" vertical="center"/>
    </xf>
    <xf numFmtId="181" fontId="3" fillId="20" borderId="12" xfId="0" applyNumberFormat="1" applyFont="1" applyFill="1" applyBorder="1" applyAlignment="1">
      <alignment horizontal="center" vertical="center"/>
    </xf>
    <xf numFmtId="177" fontId="3" fillId="11" borderId="9" xfId="0" applyNumberFormat="1" applyFont="1" applyFill="1" applyBorder="1" applyAlignment="1">
      <alignment horizontal="center" vertical="center"/>
    </xf>
    <xf numFmtId="0" fontId="6" fillId="13" borderId="50" xfId="0" applyFont="1" applyFill="1" applyBorder="1" applyAlignment="1">
      <alignment horizontal="center" vertical="center"/>
    </xf>
    <xf numFmtId="0" fontId="6" fillId="13" borderId="0" xfId="0" applyFont="1" applyFill="1" applyBorder="1" applyAlignment="1">
      <alignment horizontal="center" vertical="center"/>
    </xf>
    <xf numFmtId="0" fontId="0" fillId="11" borderId="12" xfId="0" applyFill="1" applyBorder="1" applyAlignment="1">
      <alignment horizontal="center" vertical="center"/>
    </xf>
    <xf numFmtId="176" fontId="0" fillId="11" borderId="9" xfId="0" applyNumberFormat="1" applyFill="1" applyBorder="1" applyAlignment="1">
      <alignment horizontal="center" vertical="center"/>
    </xf>
    <xf numFmtId="0" fontId="0" fillId="11" borderId="8" xfId="0" applyFill="1" applyBorder="1" applyAlignment="1">
      <alignment horizontal="center" vertical="center"/>
    </xf>
    <xf numFmtId="176" fontId="0" fillId="11" borderId="6" xfId="0" applyNumberFormat="1" applyFill="1" applyBorder="1" applyAlignment="1">
      <alignment horizontal="center" vertical="center"/>
    </xf>
    <xf numFmtId="176" fontId="0" fillId="11" borderId="1" xfId="0" applyNumberFormat="1" applyFill="1" applyBorder="1" applyAlignment="1">
      <alignment horizontal="center" vertical="center"/>
    </xf>
    <xf numFmtId="0" fontId="0" fillId="3" borderId="12" xfId="0" applyFill="1" applyBorder="1" applyAlignment="1">
      <alignment horizontal="center" vertical="center"/>
    </xf>
    <xf numFmtId="176" fontId="0" fillId="3" borderId="9" xfId="0" applyNumberFormat="1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176" fontId="0" fillId="3" borderId="6" xfId="0" applyNumberFormat="1" applyFill="1" applyBorder="1" applyAlignment="1">
      <alignment horizontal="center" vertical="center"/>
    </xf>
    <xf numFmtId="176" fontId="0" fillId="3" borderId="1" xfId="0" applyNumberFormat="1" applyFill="1" applyBorder="1" applyAlignment="1">
      <alignment horizontal="center" vertical="center"/>
    </xf>
    <xf numFmtId="176" fontId="0" fillId="5" borderId="9" xfId="0" applyNumberFormat="1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176" fontId="0" fillId="5" borderId="6" xfId="0" applyNumberFormat="1" applyFill="1" applyBorder="1" applyAlignment="1">
      <alignment horizontal="center" vertical="center"/>
    </xf>
    <xf numFmtId="176" fontId="0" fillId="5" borderId="1" xfId="0" applyNumberFormat="1" applyFill="1" applyBorder="1" applyAlignment="1">
      <alignment horizontal="center" vertical="center"/>
    </xf>
    <xf numFmtId="0" fontId="0" fillId="12" borderId="12" xfId="0" applyFill="1" applyBorder="1" applyAlignment="1">
      <alignment horizontal="center" vertical="center"/>
    </xf>
    <xf numFmtId="176" fontId="0" fillId="12" borderId="9" xfId="0" applyNumberFormat="1" applyFill="1" applyBorder="1" applyAlignment="1">
      <alignment horizontal="center" vertical="center"/>
    </xf>
    <xf numFmtId="0" fontId="0" fillId="12" borderId="8" xfId="0" applyFill="1" applyBorder="1" applyAlignment="1">
      <alignment horizontal="center" vertical="center"/>
    </xf>
    <xf numFmtId="176" fontId="0" fillId="12" borderId="6" xfId="0" applyNumberFormat="1" applyFill="1" applyBorder="1" applyAlignment="1">
      <alignment horizontal="center" vertical="center"/>
    </xf>
    <xf numFmtId="176" fontId="0" fillId="12" borderId="1" xfId="0" applyNumberFormat="1" applyFill="1" applyBorder="1" applyAlignment="1">
      <alignment horizontal="center" vertical="center"/>
    </xf>
    <xf numFmtId="0" fontId="0" fillId="15" borderId="12" xfId="0" applyFill="1" applyBorder="1" applyAlignment="1">
      <alignment horizontal="center" vertical="center"/>
    </xf>
    <xf numFmtId="176" fontId="0" fillId="15" borderId="9" xfId="0" applyNumberFormat="1" applyFill="1" applyBorder="1" applyAlignment="1">
      <alignment horizontal="center" vertical="center"/>
    </xf>
    <xf numFmtId="0" fontId="0" fillId="15" borderId="8" xfId="0" applyFill="1" applyBorder="1" applyAlignment="1">
      <alignment horizontal="center" vertical="center"/>
    </xf>
    <xf numFmtId="176" fontId="0" fillId="15" borderId="6" xfId="0" applyNumberFormat="1" applyFill="1" applyBorder="1" applyAlignment="1">
      <alignment horizontal="center" vertical="center"/>
    </xf>
    <xf numFmtId="176" fontId="0" fillId="15" borderId="1" xfId="0" applyNumberFormat="1" applyFill="1" applyBorder="1" applyAlignment="1">
      <alignment horizontal="center" vertical="center"/>
    </xf>
    <xf numFmtId="0" fontId="0" fillId="28" borderId="12" xfId="0" applyFill="1" applyBorder="1" applyAlignment="1">
      <alignment horizontal="center" vertical="center"/>
    </xf>
    <xf numFmtId="0" fontId="0" fillId="28" borderId="1" xfId="0" applyFill="1" applyBorder="1" applyAlignment="1">
      <alignment horizontal="center" vertical="center"/>
    </xf>
    <xf numFmtId="176" fontId="0" fillId="28" borderId="9" xfId="0" applyNumberFormat="1" applyFill="1" applyBorder="1" applyAlignment="1">
      <alignment horizontal="center" vertical="center"/>
    </xf>
    <xf numFmtId="0" fontId="0" fillId="28" borderId="8" xfId="0" applyFill="1" applyBorder="1" applyAlignment="1">
      <alignment horizontal="center" vertical="center"/>
    </xf>
    <xf numFmtId="176" fontId="0" fillId="28" borderId="6" xfId="0" applyNumberFormat="1" applyFill="1" applyBorder="1" applyAlignment="1">
      <alignment horizontal="center" vertical="center"/>
    </xf>
    <xf numFmtId="176" fontId="0" fillId="28" borderId="1" xfId="0" applyNumberFormat="1" applyFill="1" applyBorder="1" applyAlignment="1">
      <alignment horizontal="center" vertical="center"/>
    </xf>
    <xf numFmtId="181" fontId="3" fillId="0" borderId="1" xfId="0" applyNumberFormat="1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177" fontId="0" fillId="0" borderId="0" xfId="0" applyNumberFormat="1" applyFill="1" applyBorder="1" applyAlignment="1">
      <alignment horizontal="right" vertical="center"/>
    </xf>
    <xf numFmtId="177" fontId="4" fillId="0" borderId="1" xfId="0" applyNumberFormat="1" applyFont="1" applyFill="1" applyBorder="1" applyAlignment="1">
      <alignment horizontal="center" vertical="center"/>
    </xf>
    <xf numFmtId="0" fontId="4" fillId="16" borderId="1" xfId="0" applyFont="1" applyFill="1" applyBorder="1" applyAlignment="1">
      <alignment horizontal="center" vertical="center"/>
    </xf>
    <xf numFmtId="0" fontId="0" fillId="16" borderId="1" xfId="0" applyFill="1" applyBorder="1" applyAlignment="1">
      <alignment horizontal="center" vertical="center"/>
    </xf>
    <xf numFmtId="184" fontId="0" fillId="0" borderId="1" xfId="0" applyNumberFormat="1" applyFill="1" applyBorder="1" applyAlignment="1">
      <alignment horizontal="center" vertical="center"/>
    </xf>
    <xf numFmtId="0" fontId="3" fillId="17" borderId="1" xfId="0" applyFont="1" applyFill="1" applyBorder="1" applyAlignment="1">
      <alignment horizontal="center" vertical="center"/>
    </xf>
    <xf numFmtId="0" fontId="0" fillId="17" borderId="1" xfId="0" applyFill="1" applyBorder="1">
      <alignment vertical="center"/>
    </xf>
    <xf numFmtId="0" fontId="0" fillId="17" borderId="0" xfId="0" applyFill="1" applyAlignment="1">
      <alignment horizontal="left" vertical="center"/>
    </xf>
    <xf numFmtId="0" fontId="3" fillId="17" borderId="0" xfId="0" applyFont="1" applyFill="1" applyAlignment="1">
      <alignment horizontal="center" vertical="center"/>
    </xf>
    <xf numFmtId="0" fontId="22" fillId="17" borderId="0" xfId="0" applyFont="1" applyFill="1">
      <alignment vertical="center"/>
    </xf>
    <xf numFmtId="0" fontId="7" fillId="17" borderId="0" xfId="0" applyFont="1" applyFill="1">
      <alignment vertical="center"/>
    </xf>
    <xf numFmtId="0" fontId="23" fillId="17" borderId="0" xfId="0" applyFont="1" applyFill="1">
      <alignment vertical="center"/>
    </xf>
    <xf numFmtId="179" fontId="24" fillId="17" borderId="0" xfId="0" applyNumberFormat="1" applyFont="1" applyFill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177" fontId="3" fillId="3" borderId="6" xfId="0" applyNumberFormat="1" applyFont="1" applyFill="1" applyBorder="1" applyAlignment="1">
      <alignment horizontal="center" vertical="center"/>
    </xf>
    <xf numFmtId="177" fontId="3" fillId="5" borderId="6" xfId="0" applyNumberFormat="1" applyFont="1" applyFill="1" applyBorder="1" applyAlignment="1">
      <alignment horizontal="center" vertical="center"/>
    </xf>
    <xf numFmtId="177" fontId="3" fillId="12" borderId="6" xfId="0" applyNumberFormat="1" applyFont="1" applyFill="1" applyBorder="1" applyAlignment="1">
      <alignment horizontal="center" vertical="center"/>
    </xf>
    <xf numFmtId="177" fontId="3" fillId="15" borderId="6" xfId="0" applyNumberFormat="1" applyFont="1" applyFill="1" applyBorder="1" applyAlignment="1">
      <alignment horizontal="center" vertical="center"/>
    </xf>
    <xf numFmtId="177" fontId="3" fillId="28" borderId="6" xfId="0" applyNumberFormat="1" applyFont="1" applyFill="1" applyBorder="1" applyAlignment="1">
      <alignment horizontal="center" vertical="center"/>
    </xf>
    <xf numFmtId="0" fontId="3" fillId="15" borderId="1" xfId="0" applyFont="1" applyFill="1" applyBorder="1" applyAlignment="1">
      <alignment horizontal="center" vertical="center"/>
    </xf>
    <xf numFmtId="0" fontId="0" fillId="3" borderId="1" xfId="0" applyFill="1" applyBorder="1">
      <alignment vertical="center"/>
    </xf>
    <xf numFmtId="184" fontId="0" fillId="5" borderId="1" xfId="0" applyNumberFormat="1" applyFill="1" applyBorder="1" applyAlignment="1">
      <alignment horizontal="center" vertical="center"/>
    </xf>
    <xf numFmtId="184" fontId="0" fillId="5" borderId="1" xfId="1" applyNumberFormat="1" applyFont="1" applyFill="1" applyBorder="1" applyAlignment="1">
      <alignment horizontal="center" vertical="center"/>
    </xf>
    <xf numFmtId="0" fontId="3" fillId="16" borderId="1" xfId="0" applyFont="1" applyFill="1" applyBorder="1" applyAlignment="1">
      <alignment horizontal="center" vertical="center"/>
    </xf>
    <xf numFmtId="177" fontId="3" fillId="16" borderId="1" xfId="1" applyNumberFormat="1" applyFont="1" applyFill="1" applyBorder="1">
      <alignment vertical="center"/>
    </xf>
    <xf numFmtId="0" fontId="3" fillId="17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17" borderId="31" xfId="0" applyFont="1" applyFill="1" applyBorder="1" applyAlignment="1">
      <alignment horizontal="center" vertical="center"/>
    </xf>
    <xf numFmtId="0" fontId="3" fillId="17" borderId="32" xfId="0" applyFont="1" applyFill="1" applyBorder="1" applyAlignment="1">
      <alignment horizontal="center" vertical="center"/>
    </xf>
    <xf numFmtId="0" fontId="3" fillId="17" borderId="34" xfId="0" applyFont="1" applyFill="1" applyBorder="1" applyAlignment="1">
      <alignment horizontal="center" vertical="center"/>
    </xf>
    <xf numFmtId="0" fontId="3" fillId="17" borderId="39" xfId="0" applyFont="1" applyFill="1" applyBorder="1" applyAlignment="1">
      <alignment horizontal="center" vertical="center"/>
    </xf>
    <xf numFmtId="0" fontId="3" fillId="17" borderId="40" xfId="0" applyFont="1" applyFill="1" applyBorder="1" applyAlignment="1">
      <alignment horizontal="center" vertical="center"/>
    </xf>
    <xf numFmtId="0" fontId="3" fillId="17" borderId="41" xfId="0" applyFont="1" applyFill="1" applyBorder="1" applyAlignment="1">
      <alignment horizontal="center" vertical="center"/>
    </xf>
    <xf numFmtId="0" fontId="3" fillId="17" borderId="28" xfId="0" applyFont="1" applyFill="1" applyBorder="1" applyAlignment="1">
      <alignment horizontal="center" vertical="center"/>
    </xf>
    <xf numFmtId="0" fontId="3" fillId="17" borderId="1" xfId="0" applyFont="1" applyFill="1" applyBorder="1" applyAlignment="1">
      <alignment horizontal="center" vertical="center"/>
    </xf>
    <xf numFmtId="0" fontId="3" fillId="17" borderId="29" xfId="0" applyFont="1" applyFill="1" applyBorder="1" applyAlignment="1">
      <alignment horizontal="center" vertical="center"/>
    </xf>
    <xf numFmtId="0" fontId="3" fillId="17" borderId="5" xfId="0" applyFont="1" applyFill="1" applyBorder="1" applyAlignment="1">
      <alignment horizontal="center" vertical="center"/>
    </xf>
    <xf numFmtId="0" fontId="3" fillId="17" borderId="11" xfId="0" applyFont="1" applyFill="1" applyBorder="1" applyAlignment="1">
      <alignment horizontal="center" vertical="center"/>
    </xf>
    <xf numFmtId="0" fontId="3" fillId="17" borderId="25" xfId="0" applyFont="1" applyFill="1" applyBorder="1" applyAlignment="1">
      <alignment horizontal="center" vertical="center"/>
    </xf>
    <xf numFmtId="0" fontId="3" fillId="17" borderId="0" xfId="0" applyFont="1" applyFill="1" applyAlignment="1">
      <alignment horizontal="center" vertical="center"/>
    </xf>
    <xf numFmtId="0" fontId="3" fillId="17" borderId="19" xfId="0" applyFont="1" applyFill="1" applyBorder="1" applyAlignment="1">
      <alignment horizontal="center" vertical="center"/>
    </xf>
    <xf numFmtId="0" fontId="3" fillId="17" borderId="17" xfId="0" applyFont="1" applyFill="1" applyBorder="1" applyAlignment="1">
      <alignment horizontal="center" vertical="center"/>
    </xf>
    <xf numFmtId="0" fontId="3" fillId="17" borderId="20" xfId="0" applyFont="1" applyFill="1" applyBorder="1" applyAlignment="1">
      <alignment horizontal="center" vertical="center"/>
    </xf>
    <xf numFmtId="0" fontId="3" fillId="17" borderId="35" xfId="0" applyFont="1" applyFill="1" applyBorder="1" applyAlignment="1">
      <alignment horizontal="center" vertical="center"/>
    </xf>
    <xf numFmtId="0" fontId="3" fillId="17" borderId="36" xfId="0" applyFont="1" applyFill="1" applyBorder="1" applyAlignment="1">
      <alignment horizontal="center" vertical="center"/>
    </xf>
    <xf numFmtId="0" fontId="3" fillId="17" borderId="37" xfId="0" applyFont="1" applyFill="1" applyBorder="1" applyAlignment="1">
      <alignment horizontal="center" vertical="center"/>
    </xf>
    <xf numFmtId="0" fontId="3" fillId="17" borderId="38" xfId="0" applyFont="1" applyFill="1" applyBorder="1" applyAlignment="1">
      <alignment horizontal="center" vertical="center"/>
    </xf>
    <xf numFmtId="0" fontId="6" fillId="13" borderId="2" xfId="0" applyFont="1" applyFill="1" applyBorder="1" applyAlignment="1">
      <alignment horizontal="center" vertical="center"/>
    </xf>
    <xf numFmtId="181" fontId="3" fillId="0" borderId="1" xfId="0" applyNumberFormat="1" applyFont="1" applyFill="1" applyBorder="1" applyAlignment="1">
      <alignment horizontal="center" vertical="center"/>
    </xf>
    <xf numFmtId="0" fontId="6" fillId="24" borderId="12" xfId="0" applyFont="1" applyFill="1" applyBorder="1" applyAlignment="1">
      <alignment horizontal="center" vertical="center"/>
    </xf>
    <xf numFmtId="0" fontId="6" fillId="24" borderId="1" xfId="0" applyFont="1" applyFill="1" applyBorder="1" applyAlignment="1">
      <alignment horizontal="center" vertical="center"/>
    </xf>
    <xf numFmtId="0" fontId="6" fillId="24" borderId="9" xfId="0" applyFont="1" applyFill="1" applyBorder="1" applyAlignment="1">
      <alignment horizontal="center" vertical="center"/>
    </xf>
    <xf numFmtId="0" fontId="3" fillId="25" borderId="12" xfId="0" applyFont="1" applyFill="1" applyBorder="1" applyAlignment="1">
      <alignment horizontal="center" vertical="center"/>
    </xf>
    <xf numFmtId="0" fontId="3" fillId="25" borderId="1" xfId="0" applyFont="1" applyFill="1" applyBorder="1" applyAlignment="1">
      <alignment horizontal="center" vertical="center"/>
    </xf>
    <xf numFmtId="0" fontId="3" fillId="25" borderId="9" xfId="0" applyFont="1" applyFill="1" applyBorder="1" applyAlignment="1">
      <alignment horizontal="center" vertical="center"/>
    </xf>
    <xf numFmtId="0" fontId="3" fillId="6" borderId="8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3" fillId="6" borderId="6" xfId="0" applyFont="1" applyFill="1" applyBorder="1" applyAlignment="1">
      <alignment horizontal="center" vertical="center"/>
    </xf>
    <xf numFmtId="0" fontId="3" fillId="26" borderId="12" xfId="0" applyFont="1" applyFill="1" applyBorder="1" applyAlignment="1">
      <alignment horizontal="center" vertical="center"/>
    </xf>
    <xf numFmtId="0" fontId="3" fillId="26" borderId="1" xfId="0" applyFont="1" applyFill="1" applyBorder="1" applyAlignment="1">
      <alignment horizontal="center" vertical="center"/>
    </xf>
    <xf numFmtId="0" fontId="3" fillId="26" borderId="9" xfId="0" applyFont="1" applyFill="1" applyBorder="1" applyAlignment="1">
      <alignment horizontal="center" vertical="center"/>
    </xf>
    <xf numFmtId="0" fontId="3" fillId="27" borderId="8" xfId="0" applyFont="1" applyFill="1" applyBorder="1" applyAlignment="1">
      <alignment horizontal="center" vertical="center"/>
    </xf>
    <xf numFmtId="0" fontId="3" fillId="27" borderId="1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179" fontId="8" fillId="0" borderId="1" xfId="0" applyNumberFormat="1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0" fontId="0" fillId="3" borderId="48" xfId="0" applyFill="1" applyBorder="1" applyAlignment="1">
      <alignment horizontal="center" vertical="center"/>
    </xf>
    <xf numFmtId="0" fontId="0" fillId="3" borderId="11" xfId="0" applyFill="1" applyBorder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0" fontId="9" fillId="0" borderId="48" xfId="0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22" borderId="1" xfId="0" applyFont="1" applyFill="1" applyBorder="1" applyAlignment="1">
      <alignment horizontal="center" vertical="center"/>
    </xf>
    <xf numFmtId="179" fontId="8" fillId="0" borderId="10" xfId="0" applyNumberFormat="1" applyFont="1" applyFill="1" applyBorder="1" applyAlignment="1">
      <alignment horizontal="center" vertical="center"/>
    </xf>
    <xf numFmtId="179" fontId="8" fillId="0" borderId="48" xfId="0" applyNumberFormat="1" applyFont="1" applyFill="1" applyBorder="1" applyAlignment="1">
      <alignment horizontal="center" vertical="center"/>
    </xf>
    <xf numFmtId="179" fontId="8" fillId="0" borderId="11" xfId="0" applyNumberFormat="1" applyFont="1" applyFill="1" applyBorder="1" applyAlignment="1">
      <alignment horizontal="center" vertical="center"/>
    </xf>
    <xf numFmtId="0" fontId="7" fillId="5" borderId="6" xfId="0" applyFont="1" applyFill="1" applyBorder="1" applyAlignment="1">
      <alignment horizontal="center" vertical="center"/>
    </xf>
    <xf numFmtId="0" fontId="7" fillId="5" borderId="7" xfId="0" applyFont="1" applyFill="1" applyBorder="1" applyAlignment="1">
      <alignment horizontal="center" vertical="center"/>
    </xf>
    <xf numFmtId="0" fontId="7" fillId="5" borderId="8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16" borderId="0" xfId="0" applyFont="1" applyFill="1" applyAlignment="1">
      <alignment horizontal="center" vertical="center"/>
    </xf>
    <xf numFmtId="0" fontId="3" fillId="10" borderId="12" xfId="0" applyFon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0" fontId="3" fillId="10" borderId="9" xfId="0" applyFont="1" applyFill="1" applyBorder="1" applyAlignment="1">
      <alignment horizontal="center" vertical="center"/>
    </xf>
    <xf numFmtId="0" fontId="0" fillId="9" borderId="6" xfId="0" applyFill="1" applyBorder="1" applyAlignment="1">
      <alignment horizontal="center" vertical="center"/>
    </xf>
    <xf numFmtId="0" fontId="3" fillId="9" borderId="12" xfId="0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0" fontId="3" fillId="9" borderId="9" xfId="0" applyFont="1" applyFill="1" applyBorder="1" applyAlignment="1">
      <alignment horizontal="center" vertical="center"/>
    </xf>
    <xf numFmtId="0" fontId="3" fillId="9" borderId="6" xfId="0" applyFont="1" applyFill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11"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00B0F0"/>
        </patternFill>
      </fill>
    </dxf>
    <dxf>
      <font>
        <b/>
        <i val="0"/>
        <strike val="0"/>
        <color rgb="FF0000FF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0000FF"/>
      </font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0000FF"/>
      <color rgb="FF2261DE"/>
      <color rgb="FFB2580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276225</xdr:colOff>
          <xdr:row>4</xdr:row>
          <xdr:rowOff>0</xdr:rowOff>
        </xdr:from>
        <xdr:to>
          <xdr:col>10</xdr:col>
          <xdr:colOff>409575</xdr:colOff>
          <xdr:row>5</xdr:row>
          <xdr:rowOff>171450</xdr:rowOff>
        </xdr:to>
        <xdr:sp macro="" textlink="">
          <xdr:nvSpPr>
            <xdr:cNvPr id="3073" name="단추 0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모두 채우기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276225</xdr:colOff>
          <xdr:row>5</xdr:row>
          <xdr:rowOff>276225</xdr:rowOff>
        </xdr:from>
        <xdr:to>
          <xdr:col>10</xdr:col>
          <xdr:colOff>409575</xdr:colOff>
          <xdr:row>7</xdr:row>
          <xdr:rowOff>161925</xdr:rowOff>
        </xdr:to>
        <xdr:sp macro="" textlink="">
          <xdr:nvSpPr>
            <xdr:cNvPr id="3074" name="단추 0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팀짜기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276225</xdr:colOff>
          <xdr:row>7</xdr:row>
          <xdr:rowOff>276225</xdr:rowOff>
        </xdr:from>
        <xdr:to>
          <xdr:col>10</xdr:col>
          <xdr:colOff>409575</xdr:colOff>
          <xdr:row>9</xdr:row>
          <xdr:rowOff>161925</xdr:rowOff>
        </xdr:to>
        <xdr:sp macro="" textlink="">
          <xdr:nvSpPr>
            <xdr:cNvPr id="3076" name="단추 0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순서재배치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9</xdr:row>
          <xdr:rowOff>285750</xdr:rowOff>
        </xdr:from>
        <xdr:to>
          <xdr:col>11</xdr:col>
          <xdr:colOff>0</xdr:colOff>
          <xdr:row>12</xdr:row>
          <xdr:rowOff>9525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MMR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조편성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314325</xdr:colOff>
          <xdr:row>2</xdr:row>
          <xdr:rowOff>57150</xdr:rowOff>
        </xdr:from>
        <xdr:to>
          <xdr:col>6</xdr:col>
          <xdr:colOff>742950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팀섞기 A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(4 to 2)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314325</xdr:colOff>
          <xdr:row>6</xdr:row>
          <xdr:rowOff>0</xdr:rowOff>
        </xdr:from>
        <xdr:to>
          <xdr:col>6</xdr:col>
          <xdr:colOff>742950</xdr:colOff>
          <xdr:row>8</xdr:row>
          <xdr:rowOff>152400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팀섞기 B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(2 to 1)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47625</xdr:colOff>
          <xdr:row>51</xdr:row>
          <xdr:rowOff>57150</xdr:rowOff>
        </xdr:from>
        <xdr:to>
          <xdr:col>9</xdr:col>
          <xdr:colOff>685800</xdr:colOff>
          <xdr:row>62</xdr:row>
          <xdr:rowOff>142875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51</xdr:row>
          <xdr:rowOff>57150</xdr:rowOff>
        </xdr:from>
        <xdr:to>
          <xdr:col>10</xdr:col>
          <xdr:colOff>695325</xdr:colOff>
          <xdr:row>62</xdr:row>
          <xdr:rowOff>142875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되돌리기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4481</xdr:colOff>
      <xdr:row>80</xdr:row>
      <xdr:rowOff>188820</xdr:rowOff>
    </xdr:from>
    <xdr:to>
      <xdr:col>22</xdr:col>
      <xdr:colOff>41911</xdr:colOff>
      <xdr:row>103</xdr:row>
      <xdr:rowOff>117438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SpPr/>
      </xdr:nvSpPr>
      <xdr:spPr>
        <a:xfrm>
          <a:off x="5329516" y="6858561"/>
          <a:ext cx="10795077" cy="4877136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4000">
              <a:solidFill>
                <a:srgbClr val="FF0000"/>
              </a:solidFill>
            </a:rPr>
            <a:t>상세 승률은 시즌 종료</a:t>
          </a:r>
          <a:r>
            <a:rPr lang="ko-KR" altLang="en-US" sz="4000" baseline="0">
              <a:solidFill>
                <a:srgbClr val="FF0000"/>
              </a:solidFill>
            </a:rPr>
            <a:t> 후</a:t>
          </a:r>
          <a:endParaRPr lang="ko-KR" altLang="en-US" sz="4000">
            <a:solidFill>
              <a:srgbClr val="FF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BP68"/>
  <sheetViews>
    <sheetView zoomScaleNormal="100" workbookViewId="0">
      <pane ySplit="2" topLeftCell="A3" activePane="bottomLeft" state="frozen"/>
      <selection pane="bottomLeft" activeCell="B2" sqref="B2"/>
    </sheetView>
  </sheetViews>
  <sheetFormatPr defaultColWidth="9" defaultRowHeight="16.5"/>
  <cols>
    <col min="1" max="1" width="3.5" style="82" customWidth="1"/>
    <col min="2" max="2" width="5.875" style="82" customWidth="1"/>
    <col min="3" max="3" width="11.625" style="83" customWidth="1"/>
    <col min="4" max="7" width="5.5" style="83" bestFit="1" customWidth="1"/>
    <col min="8" max="8" width="5.5" style="83" customWidth="1"/>
    <col min="9" max="9" width="3.75" style="82" customWidth="1"/>
    <col min="10" max="10" width="5.5" style="82" bestFit="1" customWidth="1"/>
    <col min="11" max="11" width="5.5" style="82" customWidth="1"/>
    <col min="12" max="12" width="2.875" style="82" customWidth="1"/>
    <col min="13" max="13" width="10.125" style="139" customWidth="1"/>
    <col min="14" max="14" width="9.375" style="83" customWidth="1"/>
    <col min="15" max="18" width="5.5" style="83" bestFit="1" customWidth="1"/>
    <col min="19" max="19" width="9.125" style="83" customWidth="1"/>
    <col min="20" max="23" width="5.5" style="83" bestFit="1" customWidth="1"/>
    <col min="24" max="24" width="10.125" style="83" customWidth="1"/>
    <col min="25" max="26" width="5.5" style="83" bestFit="1" customWidth="1"/>
    <col min="27" max="28" width="5.5" style="82" bestFit="1" customWidth="1"/>
    <col min="29" max="29" width="9" style="82"/>
    <col min="30" max="33" width="5.5" style="82" bestFit="1" customWidth="1"/>
    <col min="34" max="34" width="24.625" style="82" customWidth="1"/>
    <col min="35" max="35" width="6.75" style="82" customWidth="1"/>
    <col min="36" max="67" width="9" style="82" customWidth="1"/>
    <col min="68" max="16384" width="9" style="82"/>
  </cols>
  <sheetData>
    <row r="1" spans="1:67" ht="25.5" customHeight="1" thickBot="1">
      <c r="M1" s="84"/>
      <c r="N1" s="82"/>
      <c r="O1" s="82"/>
      <c r="P1" s="82"/>
      <c r="Q1" s="82"/>
      <c r="R1" s="82"/>
      <c r="S1" s="82"/>
      <c r="T1" s="82"/>
      <c r="U1" s="82"/>
      <c r="V1" s="82"/>
      <c r="W1" s="82"/>
      <c r="X1" s="82"/>
      <c r="Y1" s="82"/>
      <c r="Z1" s="82"/>
      <c r="AH1" s="261"/>
      <c r="AI1" s="261" t="s">
        <v>422</v>
      </c>
      <c r="AQ1" s="298"/>
      <c r="AR1" s="298"/>
      <c r="AS1" s="298"/>
      <c r="BA1" s="82">
        <f>FLOOR(K2/4,1)</f>
        <v>2</v>
      </c>
    </row>
    <row r="2" spans="1:67" ht="22.5" customHeight="1" thickBot="1">
      <c r="A2" s="83"/>
      <c r="B2" s="85" t="s">
        <v>247</v>
      </c>
      <c r="C2" s="86" t="s">
        <v>248</v>
      </c>
      <c r="D2" s="87" t="s">
        <v>249</v>
      </c>
      <c r="E2" s="87" t="s">
        <v>250</v>
      </c>
      <c r="F2" s="87" t="s">
        <v>251</v>
      </c>
      <c r="G2" s="88" t="s">
        <v>252</v>
      </c>
      <c r="H2" s="85" t="s">
        <v>253</v>
      </c>
      <c r="J2" s="89" t="s">
        <v>254</v>
      </c>
      <c r="K2" s="90">
        <f>COUNTA(C:C)-1</f>
        <v>8</v>
      </c>
      <c r="M2" s="91"/>
      <c r="N2" s="92" t="s">
        <v>248</v>
      </c>
      <c r="O2" s="87" t="s">
        <v>249</v>
      </c>
      <c r="P2" s="88" t="s">
        <v>250</v>
      </c>
      <c r="Q2" s="88" t="s">
        <v>251</v>
      </c>
      <c r="R2" s="93" t="s">
        <v>252</v>
      </c>
      <c r="S2" s="92" t="s">
        <v>248</v>
      </c>
      <c r="T2" s="87" t="s">
        <v>249</v>
      </c>
      <c r="U2" s="88" t="s">
        <v>250</v>
      </c>
      <c r="V2" s="88" t="s">
        <v>251</v>
      </c>
      <c r="W2" s="93" t="s">
        <v>252</v>
      </c>
      <c r="X2" s="92" t="s">
        <v>248</v>
      </c>
      <c r="Y2" s="87" t="s">
        <v>249</v>
      </c>
      <c r="Z2" s="88" t="s">
        <v>250</v>
      </c>
      <c r="AA2" s="88" t="s">
        <v>251</v>
      </c>
      <c r="AB2" s="93" t="s">
        <v>252</v>
      </c>
      <c r="AC2" s="92" t="s">
        <v>248</v>
      </c>
      <c r="AD2" s="87" t="s">
        <v>249</v>
      </c>
      <c r="AE2" s="88" t="s">
        <v>250</v>
      </c>
      <c r="AF2" s="88" t="s">
        <v>251</v>
      </c>
      <c r="AG2" s="93" t="s">
        <v>252</v>
      </c>
      <c r="AH2" s="263" t="s">
        <v>417</v>
      </c>
      <c r="AI2" s="82" t="s">
        <v>255</v>
      </c>
      <c r="AR2" s="94"/>
      <c r="AS2" s="94"/>
      <c r="BA2" s="95" t="s">
        <v>256</v>
      </c>
      <c r="BB2" s="96" t="s">
        <v>257</v>
      </c>
      <c r="BC2" s="96" t="s">
        <v>258</v>
      </c>
      <c r="BD2" s="96" t="s">
        <v>259</v>
      </c>
      <c r="BE2" s="96" t="s">
        <v>260</v>
      </c>
      <c r="BF2" s="96" t="s">
        <v>261</v>
      </c>
      <c r="BG2" s="96" t="s">
        <v>262</v>
      </c>
      <c r="BH2" s="96" t="s">
        <v>263</v>
      </c>
      <c r="BI2" s="96" t="s">
        <v>264</v>
      </c>
      <c r="BJ2" s="96" t="s">
        <v>265</v>
      </c>
      <c r="BK2" s="96" t="s">
        <v>266</v>
      </c>
      <c r="BL2" s="96" t="s">
        <v>267</v>
      </c>
      <c r="BM2" s="96" t="s">
        <v>268</v>
      </c>
      <c r="BN2" s="96" t="s">
        <v>269</v>
      </c>
      <c r="BO2" s="90" t="s">
        <v>270</v>
      </c>
    </row>
    <row r="3" spans="1:67" ht="22.5" customHeight="1">
      <c r="B3" s="97">
        <v>1</v>
      </c>
      <c r="C3" s="98" t="s">
        <v>442</v>
      </c>
      <c r="D3" s="99" t="s">
        <v>323</v>
      </c>
      <c r="E3" s="100"/>
      <c r="F3" s="100" t="s">
        <v>323</v>
      </c>
      <c r="G3" s="101" t="s">
        <v>323</v>
      </c>
      <c r="H3" s="102"/>
      <c r="J3" s="103"/>
      <c r="K3" s="104"/>
      <c r="M3" s="105" t="s">
        <v>271</v>
      </c>
      <c r="N3" s="106" t="str">
        <f ca="1" xml:space="preserve"> INDIRECT("C9")</f>
        <v>반짝</v>
      </c>
      <c r="O3" s="107" t="str">
        <f ca="1" xml:space="preserve"> IF(INDIRECT("D9")="O", INDIRECT("D9"), "")</f>
        <v>O</v>
      </c>
      <c r="P3" s="108" t="str">
        <f ca="1" xml:space="preserve"> IF(INDIRECT("E9")="O", INDIRECT("E9"), "")</f>
        <v>O</v>
      </c>
      <c r="Q3" s="108" t="str">
        <f ca="1" xml:space="preserve"> IF(INDIRECT("F9")="O", INDIRECT("F9"), "")</f>
        <v>O</v>
      </c>
      <c r="R3" s="109" t="str">
        <f ca="1" xml:space="preserve"> IF(INDIRECT("G9")="O", INDIRECT("G9"), "")</f>
        <v>O</v>
      </c>
      <c r="S3" s="106" t="str">
        <f ca="1" xml:space="preserve"> INDIRECT("C6")</f>
        <v>울프</v>
      </c>
      <c r="T3" s="107" t="str">
        <f ca="1" xml:space="preserve"> IF(INDIRECT("D6")="O", INDIRECT("D6"), "")</f>
        <v/>
      </c>
      <c r="U3" s="108" t="str">
        <f ca="1" xml:space="preserve"> IF(INDIRECT("E6")="O", INDIRECT("E6"), "")</f>
        <v>O</v>
      </c>
      <c r="V3" s="108" t="str">
        <f ca="1" xml:space="preserve"> IF(INDIRECT("F6")="O", INDIRECT("F6"), "")</f>
        <v>O</v>
      </c>
      <c r="W3" s="109" t="str">
        <f ca="1" xml:space="preserve"> IF(INDIRECT("G6")="O", INDIRECT("G6"), "")</f>
        <v/>
      </c>
      <c r="X3" s="106" t="str">
        <f ca="1" xml:space="preserve"> INDIRECT("C7")</f>
        <v>조네</v>
      </c>
      <c r="Y3" s="107" t="str">
        <f ca="1" xml:space="preserve"> IF(INDIRECT("D7")="O", INDIRECT("D7"), "")</f>
        <v>O</v>
      </c>
      <c r="Z3" s="108" t="str">
        <f ca="1" xml:space="preserve"> IF(INDIRECT("E7")="O", INDIRECT("E7"), "")</f>
        <v>O</v>
      </c>
      <c r="AA3" s="108" t="str">
        <f ca="1" xml:space="preserve"> IF(INDIRECT("F7")="O", INDIRECT("F7"), "")</f>
        <v>O</v>
      </c>
      <c r="AB3" s="109" t="str">
        <f ca="1" xml:space="preserve"> IF(INDIRECT("G7")="O", INDIRECT("G7"), "")</f>
        <v>O</v>
      </c>
      <c r="AC3" s="106" t="str">
        <f ca="1" xml:space="preserve"> INDIRECT("C3")</f>
        <v>넘버</v>
      </c>
      <c r="AD3" s="107" t="str">
        <f ca="1" xml:space="preserve"> IF(INDIRECT("D3")="O", INDIRECT("D3"), "")</f>
        <v>O</v>
      </c>
      <c r="AE3" s="108" t="str">
        <f ca="1" xml:space="preserve"> IF(INDIRECT("E3")="O", INDIRECT("E3"), "")</f>
        <v/>
      </c>
      <c r="AF3" s="108" t="str">
        <f ca="1" xml:space="preserve"> IF(INDIRECT("F3")="O", INDIRECT("F3"), "")</f>
        <v>O</v>
      </c>
      <c r="AG3" s="109" t="str">
        <f ca="1" xml:space="preserve"> IF(INDIRECT("G3")="O", INDIRECT("G3"), "")</f>
        <v>O</v>
      </c>
      <c r="AH3" s="259" t="str">
        <f ca="1">IF(W39=18,"Fail",IF(W39=23,"Fail",IF(W39=32,"Fail",IF(W39=57,"Fail",IF(W39=128,"Fail",IF(W39=241,"Fail",IF(W39=354,"Fail",IF(W39=467,"Fail",IF(W40=18,"Fail",IF(W40=23,"Fail",IF(W40=32,"Fail",IF(W40=57,"Fail",IF(W40=128,"Fail",IF(W40=241,"Fail",IF(W40=354,"Fail",IF(W40=467,"Fail",IF(W41=18,"Fail",IF(W41=23,"Fail",IF(W41=32,"Fail",IF(W41=57,"Fail",IF(W41=128,"Fail",IF(W41=241,"Fail",IF(W41=354,"Fail",IF(W41=467,"Fail",IF(W42=18,"Fail",IF(W42=23,"Fail",IF(W42=32,"Fail",IF(W42=57,"Fail",IF(W42=128,"Fail",IF(W42=241,"Fail",IF(W42=354,"Fail",IF(W42=467,"Fail","Pass"))))))))))))))))))))))))))))))))</f>
        <v>Pass</v>
      </c>
      <c r="AI3" s="82" t="s">
        <v>272</v>
      </c>
      <c r="AR3" s="94"/>
      <c r="AS3" s="94"/>
      <c r="BA3" s="110">
        <f t="shared" ref="BA3:BA34" si="0">IF(D3="O",1,0)</f>
        <v>1</v>
      </c>
      <c r="BB3" s="99">
        <f t="shared" ref="BB3:BB34" si="1">IF(E3="O",1,0)</f>
        <v>0</v>
      </c>
      <c r="BC3" s="99">
        <f t="shared" ref="BC3:BC34" si="2">IF(F3="O",1,0)</f>
        <v>1</v>
      </c>
      <c r="BD3" s="99">
        <f t="shared" ref="BD3:BD34" si="3">IF(G3="O",1,0)</f>
        <v>1</v>
      </c>
      <c r="BE3" s="99">
        <f t="shared" ref="BE3:BE34" si="4">IF(OR(D3="O",E3="O"),1,0)</f>
        <v>1</v>
      </c>
      <c r="BF3" s="99">
        <f t="shared" ref="BF3:BF34" si="5">IF(OR(D3="O",F3="O"),1,0)</f>
        <v>1</v>
      </c>
      <c r="BG3" s="99">
        <f t="shared" ref="BG3:BG34" si="6">IF(OR(D3="O",G3="O"),1,0)</f>
        <v>1</v>
      </c>
      <c r="BH3" s="99">
        <f t="shared" ref="BH3:BH34" si="7">IF(OR(E3="O",F3="O"),1,0)</f>
        <v>1</v>
      </c>
      <c r="BI3" s="99">
        <f t="shared" ref="BI3:BI34" si="8">IF(OR(E3="O",G3="O"),1,0)</f>
        <v>1</v>
      </c>
      <c r="BJ3" s="99">
        <f t="shared" ref="BJ3:BJ34" si="9">IF(OR(F3="O",G3="O"),1,0)</f>
        <v>1</v>
      </c>
      <c r="BK3" s="99">
        <f t="shared" ref="BK3:BK34" si="10">IF(OR(D3="O",E3="O",F3="O"),1,0)</f>
        <v>1</v>
      </c>
      <c r="BL3" s="99">
        <f t="shared" ref="BL3:BL34" si="11">IF(OR(D3="O",E3="O",G3="O"),1,0)</f>
        <v>1</v>
      </c>
      <c r="BM3" s="99">
        <f t="shared" ref="BM3:BM34" si="12">IF(OR(D3="O",F3="O",G3="O"),1,0)</f>
        <v>1</v>
      </c>
      <c r="BN3" s="99">
        <f t="shared" ref="BN3:BN34" si="13">IF(OR(E3="O",F3="O",G3="O"),1,0)</f>
        <v>1</v>
      </c>
      <c r="BO3" s="111">
        <f t="shared" ref="BO3:BO34" si="14">IF(OR(D3="O",E3="O",F3="O",G3="O"),1,0)</f>
        <v>1</v>
      </c>
    </row>
    <row r="4" spans="1:67" ht="22.5" customHeight="1">
      <c r="B4" s="112">
        <v>2</v>
      </c>
      <c r="C4" s="113" t="s">
        <v>436</v>
      </c>
      <c r="D4" s="114" t="s">
        <v>434</v>
      </c>
      <c r="E4" s="115" t="s">
        <v>434</v>
      </c>
      <c r="F4" s="115" t="s">
        <v>434</v>
      </c>
      <c r="G4" s="116" t="s">
        <v>434</v>
      </c>
      <c r="H4" s="117" t="s">
        <v>434</v>
      </c>
      <c r="M4" s="118" t="s">
        <v>273</v>
      </c>
      <c r="N4" s="119" t="str">
        <f ca="1" xml:space="preserve"> INDIRECT("C5")</f>
        <v>야로</v>
      </c>
      <c r="O4" s="120" t="str">
        <f ca="1" xml:space="preserve"> IF(INDIRECT("D5")="O", INDIRECT("D5"), "")</f>
        <v>O</v>
      </c>
      <c r="P4" s="121" t="str">
        <f ca="1" xml:space="preserve"> IF(INDIRECT("E5")="O", INDIRECT("E5"), "")</f>
        <v>O</v>
      </c>
      <c r="Q4" s="121" t="str">
        <f ca="1" xml:space="preserve"> IF(INDIRECT("F5")="O", INDIRECT("F5"), "")</f>
        <v>O</v>
      </c>
      <c r="R4" s="122" t="str">
        <f ca="1" xml:space="preserve"> IF(INDIRECT("G5")="O", INDIRECT("G5"), "")</f>
        <v>O</v>
      </c>
      <c r="S4" s="119" t="str">
        <f ca="1" xml:space="preserve"> INDIRECT("C8")</f>
        <v>민형</v>
      </c>
      <c r="T4" s="120" t="str">
        <f ca="1" xml:space="preserve"> IF(INDIRECT("D8")="O", INDIRECT("D8"), "")</f>
        <v/>
      </c>
      <c r="U4" s="121" t="str">
        <f ca="1" xml:space="preserve"> IF(INDIRECT("E8")="O", INDIRECT("E8"), "")</f>
        <v>O</v>
      </c>
      <c r="V4" s="121" t="str">
        <f ca="1" xml:space="preserve"> IF(INDIRECT("F8")="O", INDIRECT("F8"), "")</f>
        <v>O</v>
      </c>
      <c r="W4" s="122" t="str">
        <f ca="1" xml:space="preserve"> IF(INDIRECT("G8")="O", INDIRECT("G8"), "")</f>
        <v>O</v>
      </c>
      <c r="X4" s="119" t="str">
        <f ca="1" xml:space="preserve"> INDIRECT("C10")</f>
        <v>하리보</v>
      </c>
      <c r="Y4" s="120" t="str">
        <f ca="1" xml:space="preserve"> IF(INDIRECT("D10")="O", INDIRECT("D10"), "")</f>
        <v/>
      </c>
      <c r="Z4" s="121" t="str">
        <f ca="1" xml:space="preserve"> IF(INDIRECT("E10")="O", INDIRECT("E10"), "")</f>
        <v/>
      </c>
      <c r="AA4" s="121" t="str">
        <f ca="1" xml:space="preserve"> IF(INDIRECT("F10")="O", INDIRECT("F10"), "")</f>
        <v>O</v>
      </c>
      <c r="AB4" s="122" t="str">
        <f ca="1" xml:space="preserve"> IF(INDIRECT("G10")="O", INDIRECT("G10"), "")</f>
        <v>O</v>
      </c>
      <c r="AC4" s="119" t="str">
        <f ca="1" xml:space="preserve"> INDIRECT("C4")</f>
        <v>살수</v>
      </c>
      <c r="AD4" s="120" t="str">
        <f ca="1" xml:space="preserve"> IF(INDIRECT("D4")="O", INDIRECT("D4"), "")</f>
        <v>O</v>
      </c>
      <c r="AE4" s="121" t="str">
        <f ca="1" xml:space="preserve"> IF(INDIRECT("E4")="O", INDIRECT("E4"), "")</f>
        <v>O</v>
      </c>
      <c r="AF4" s="121" t="str">
        <f ca="1" xml:space="preserve"> IF(INDIRECT("F4")="O", INDIRECT("F4"), "")</f>
        <v>O</v>
      </c>
      <c r="AG4" s="122" t="str">
        <f ca="1" xml:space="preserve"> IF(INDIRECT("G4")="O", INDIRECT("G4"), "")</f>
        <v>O</v>
      </c>
      <c r="AH4" s="259" t="str">
        <f ca="1">IF(AE39=18,"Fail",IF(AE39=23,"Fail",IF(AE39=32,"Fail",IF(AE39=57,"Fail",IF(AE39=128,"Fail",IF(AE39=241,"Fail",IF(AE39=354,"Fail",IF(AE39=467,"Fail",IF(AE40=18,"Fail",IF(AE40=23,"Fail",IF(AE40=32,"Fail",IF(AE40=57,"Fail",IF(AE40=128,"Fail",IF(AE40=241,"Fail",IF(AE40=354,"Fail",IF(AE40=467,"Fail",IF(AE41=18,"Fail",IF(AE41=23,"Fail",IF(AE41=32,"Fail",IF(AE41=57,"Fail",IF(AE41=128,"Fail",IF(AE41=241,"Fail",IF(AE41=354,"Fail",IF(AE41=467,"Fail",IF(AE42=18,"Fail",IF(AE42=23,"Fail",IF(AE42=32,"Fail",IF(AE42=57,"Fail",IF(AE42=128,"Fail",IF(AE42=241,"Fail",IF(AE42=354,"Fail",IF(AE42=467,"Fail","Pass"))))))))))))))))))))))))))))))))</f>
        <v>Pass</v>
      </c>
      <c r="AI4" s="82" t="s">
        <v>274</v>
      </c>
      <c r="AR4" s="94"/>
      <c r="AS4" s="94"/>
      <c r="BA4" s="123">
        <f t="shared" si="0"/>
        <v>1</v>
      </c>
      <c r="BB4" s="114">
        <f t="shared" si="1"/>
        <v>1</v>
      </c>
      <c r="BC4" s="114">
        <f t="shared" si="2"/>
        <v>1</v>
      </c>
      <c r="BD4" s="114">
        <f t="shared" si="3"/>
        <v>1</v>
      </c>
      <c r="BE4" s="114">
        <f t="shared" si="4"/>
        <v>1</v>
      </c>
      <c r="BF4" s="114">
        <f t="shared" si="5"/>
        <v>1</v>
      </c>
      <c r="BG4" s="114">
        <f t="shared" si="6"/>
        <v>1</v>
      </c>
      <c r="BH4" s="114">
        <f t="shared" si="7"/>
        <v>1</v>
      </c>
      <c r="BI4" s="114">
        <f t="shared" si="8"/>
        <v>1</v>
      </c>
      <c r="BJ4" s="114">
        <f t="shared" si="9"/>
        <v>1</v>
      </c>
      <c r="BK4" s="99">
        <f t="shared" si="10"/>
        <v>1</v>
      </c>
      <c r="BL4" s="99">
        <f t="shared" si="11"/>
        <v>1</v>
      </c>
      <c r="BM4" s="99">
        <f t="shared" si="12"/>
        <v>1</v>
      </c>
      <c r="BN4" s="99">
        <f t="shared" si="13"/>
        <v>1</v>
      </c>
      <c r="BO4" s="111">
        <f t="shared" si="14"/>
        <v>1</v>
      </c>
    </row>
    <row r="5" spans="1:67" ht="22.5" customHeight="1">
      <c r="B5" s="112">
        <v>3</v>
      </c>
      <c r="C5" s="113" t="s">
        <v>439</v>
      </c>
      <c r="D5" s="115" t="s">
        <v>434</v>
      </c>
      <c r="E5" s="115" t="s">
        <v>434</v>
      </c>
      <c r="F5" s="115" t="s">
        <v>434</v>
      </c>
      <c r="G5" s="116" t="s">
        <v>434</v>
      </c>
      <c r="H5" s="117" t="s">
        <v>434</v>
      </c>
      <c r="M5" s="124"/>
      <c r="N5" s="119"/>
      <c r="O5" s="125"/>
      <c r="P5" s="126"/>
      <c r="Q5" s="126"/>
      <c r="R5" s="127"/>
      <c r="S5" s="119"/>
      <c r="T5" s="125"/>
      <c r="U5" s="126"/>
      <c r="V5" s="126"/>
      <c r="W5" s="127"/>
      <c r="X5" s="119"/>
      <c r="Y5" s="125"/>
      <c r="Z5" s="126"/>
      <c r="AA5" s="126"/>
      <c r="AB5" s="127"/>
      <c r="AC5" s="119"/>
      <c r="AD5" s="125"/>
      <c r="AE5" s="126"/>
      <c r="AF5" s="126"/>
      <c r="AG5" s="127"/>
      <c r="AI5" s="82" t="s">
        <v>275</v>
      </c>
      <c r="AR5" s="94"/>
      <c r="AS5" s="94"/>
      <c r="BA5" s="123">
        <f t="shared" si="0"/>
        <v>1</v>
      </c>
      <c r="BB5" s="114">
        <f t="shared" si="1"/>
        <v>1</v>
      </c>
      <c r="BC5" s="114">
        <f t="shared" si="2"/>
        <v>1</v>
      </c>
      <c r="BD5" s="114">
        <f t="shared" si="3"/>
        <v>1</v>
      </c>
      <c r="BE5" s="114">
        <f t="shared" si="4"/>
        <v>1</v>
      </c>
      <c r="BF5" s="114">
        <f t="shared" si="5"/>
        <v>1</v>
      </c>
      <c r="BG5" s="114">
        <f t="shared" si="6"/>
        <v>1</v>
      </c>
      <c r="BH5" s="114">
        <f t="shared" si="7"/>
        <v>1</v>
      </c>
      <c r="BI5" s="114">
        <f t="shared" si="8"/>
        <v>1</v>
      </c>
      <c r="BJ5" s="114">
        <f t="shared" si="9"/>
        <v>1</v>
      </c>
      <c r="BK5" s="99">
        <f t="shared" si="10"/>
        <v>1</v>
      </c>
      <c r="BL5" s="99">
        <f t="shared" si="11"/>
        <v>1</v>
      </c>
      <c r="BM5" s="99">
        <f t="shared" si="12"/>
        <v>1</v>
      </c>
      <c r="BN5" s="99">
        <f t="shared" si="13"/>
        <v>1</v>
      </c>
      <c r="BO5" s="111">
        <f t="shared" si="14"/>
        <v>1</v>
      </c>
    </row>
    <row r="6" spans="1:67" ht="22.5" customHeight="1">
      <c r="B6" s="112">
        <v>4</v>
      </c>
      <c r="C6" s="113" t="s">
        <v>440</v>
      </c>
      <c r="D6" s="115"/>
      <c r="E6" s="114" t="s">
        <v>323</v>
      </c>
      <c r="F6" s="115" t="s">
        <v>323</v>
      </c>
      <c r="G6" s="116"/>
      <c r="H6" s="117"/>
      <c r="M6" s="128"/>
      <c r="N6" s="119"/>
      <c r="O6" s="49"/>
      <c r="P6" s="129"/>
      <c r="Q6" s="129"/>
      <c r="R6" s="130"/>
      <c r="S6" s="119"/>
      <c r="T6" s="49"/>
      <c r="U6" s="129"/>
      <c r="V6" s="129"/>
      <c r="W6" s="130"/>
      <c r="X6" s="119"/>
      <c r="Y6" s="49"/>
      <c r="Z6" s="129"/>
      <c r="AA6" s="129"/>
      <c r="AB6" s="130"/>
      <c r="AC6" s="119"/>
      <c r="AD6" s="49"/>
      <c r="AE6" s="129"/>
      <c r="AF6" s="129"/>
      <c r="AG6" s="130"/>
      <c r="AR6" s="94"/>
      <c r="AS6" s="94"/>
      <c r="BA6" s="123">
        <f t="shared" si="0"/>
        <v>0</v>
      </c>
      <c r="BB6" s="114">
        <f t="shared" si="1"/>
        <v>1</v>
      </c>
      <c r="BC6" s="114">
        <f t="shared" si="2"/>
        <v>1</v>
      </c>
      <c r="BD6" s="114">
        <f t="shared" si="3"/>
        <v>0</v>
      </c>
      <c r="BE6" s="114">
        <f t="shared" si="4"/>
        <v>1</v>
      </c>
      <c r="BF6" s="114">
        <f t="shared" si="5"/>
        <v>1</v>
      </c>
      <c r="BG6" s="114">
        <f t="shared" si="6"/>
        <v>0</v>
      </c>
      <c r="BH6" s="114">
        <f t="shared" si="7"/>
        <v>1</v>
      </c>
      <c r="BI6" s="114">
        <f t="shared" si="8"/>
        <v>1</v>
      </c>
      <c r="BJ6" s="114">
        <f t="shared" si="9"/>
        <v>1</v>
      </c>
      <c r="BK6" s="99">
        <f t="shared" si="10"/>
        <v>1</v>
      </c>
      <c r="BL6" s="99">
        <f t="shared" si="11"/>
        <v>1</v>
      </c>
      <c r="BM6" s="99">
        <f t="shared" si="12"/>
        <v>1</v>
      </c>
      <c r="BN6" s="99">
        <f t="shared" si="13"/>
        <v>1</v>
      </c>
      <c r="BO6" s="111">
        <f t="shared" si="14"/>
        <v>1</v>
      </c>
    </row>
    <row r="7" spans="1:67" ht="22.5" customHeight="1">
      <c r="B7" s="112">
        <v>5</v>
      </c>
      <c r="C7" s="113" t="s">
        <v>444</v>
      </c>
      <c r="D7" s="114" t="s">
        <v>434</v>
      </c>
      <c r="E7" s="115" t="s">
        <v>434</v>
      </c>
      <c r="F7" s="115" t="s">
        <v>434</v>
      </c>
      <c r="G7" s="116" t="s">
        <v>434</v>
      </c>
      <c r="H7" s="131" t="s">
        <v>434</v>
      </c>
      <c r="M7" s="124"/>
      <c r="N7" s="119"/>
      <c r="O7" s="107"/>
      <c r="P7" s="108"/>
      <c r="Q7" s="108"/>
      <c r="R7" s="109"/>
      <c r="S7" s="119"/>
      <c r="T7" s="107"/>
      <c r="U7" s="108"/>
      <c r="V7" s="108"/>
      <c r="W7" s="109"/>
      <c r="X7" s="119"/>
      <c r="Y7" s="107"/>
      <c r="Z7" s="108"/>
      <c r="AA7" s="108"/>
      <c r="AB7" s="109"/>
      <c r="AC7" s="119"/>
      <c r="AD7" s="107"/>
      <c r="AE7" s="108"/>
      <c r="AF7" s="108"/>
      <c r="AG7" s="109"/>
      <c r="AJ7" s="82" t="str">
        <f t="shared" ref="AJ7:AJ28" si="15">IFERROR(INDEX($B:$B,MATCH(AI7,$C:$C,0))-1,"")</f>
        <v/>
      </c>
      <c r="AR7" s="94"/>
      <c r="AS7" s="94"/>
      <c r="BA7" s="123">
        <f t="shared" si="0"/>
        <v>1</v>
      </c>
      <c r="BB7" s="114">
        <f t="shared" si="1"/>
        <v>1</v>
      </c>
      <c r="BC7" s="114">
        <f t="shared" si="2"/>
        <v>1</v>
      </c>
      <c r="BD7" s="114">
        <f t="shared" si="3"/>
        <v>1</v>
      </c>
      <c r="BE7" s="114">
        <f t="shared" si="4"/>
        <v>1</v>
      </c>
      <c r="BF7" s="114">
        <f t="shared" si="5"/>
        <v>1</v>
      </c>
      <c r="BG7" s="114">
        <f t="shared" si="6"/>
        <v>1</v>
      </c>
      <c r="BH7" s="114">
        <f t="shared" si="7"/>
        <v>1</v>
      </c>
      <c r="BI7" s="114">
        <f t="shared" si="8"/>
        <v>1</v>
      </c>
      <c r="BJ7" s="114">
        <f t="shared" si="9"/>
        <v>1</v>
      </c>
      <c r="BK7" s="99">
        <f t="shared" si="10"/>
        <v>1</v>
      </c>
      <c r="BL7" s="99">
        <f t="shared" si="11"/>
        <v>1</v>
      </c>
      <c r="BM7" s="99">
        <f t="shared" si="12"/>
        <v>1</v>
      </c>
      <c r="BN7" s="99">
        <f t="shared" si="13"/>
        <v>1</v>
      </c>
      <c r="BO7" s="111">
        <f t="shared" si="14"/>
        <v>1</v>
      </c>
    </row>
    <row r="8" spans="1:67" ht="22.5" customHeight="1">
      <c r="B8" s="112">
        <v>6</v>
      </c>
      <c r="C8" s="113" t="s">
        <v>445</v>
      </c>
      <c r="D8" s="114"/>
      <c r="E8" s="116" t="s">
        <v>323</v>
      </c>
      <c r="F8" s="116" t="s">
        <v>323</v>
      </c>
      <c r="G8" s="116" t="s">
        <v>323</v>
      </c>
      <c r="H8" s="117"/>
      <c r="M8" s="128"/>
      <c r="N8" s="119"/>
      <c r="O8" s="120"/>
      <c r="P8" s="121"/>
      <c r="Q8" s="121"/>
      <c r="R8" s="122"/>
      <c r="S8" s="119"/>
      <c r="T8" s="120"/>
      <c r="U8" s="121"/>
      <c r="V8" s="121"/>
      <c r="W8" s="122"/>
      <c r="X8" s="119"/>
      <c r="Y8" s="120"/>
      <c r="Z8" s="121"/>
      <c r="AA8" s="121"/>
      <c r="AB8" s="122"/>
      <c r="AC8" s="119"/>
      <c r="AD8" s="120"/>
      <c r="AE8" s="121"/>
      <c r="AF8" s="121"/>
      <c r="AG8" s="122"/>
      <c r="AJ8" s="82" t="str">
        <f t="shared" si="15"/>
        <v/>
      </c>
      <c r="AR8" s="94"/>
      <c r="AS8" s="94"/>
      <c r="BA8" s="123">
        <f t="shared" si="0"/>
        <v>0</v>
      </c>
      <c r="BB8" s="114">
        <f t="shared" si="1"/>
        <v>1</v>
      </c>
      <c r="BC8" s="114">
        <f t="shared" si="2"/>
        <v>1</v>
      </c>
      <c r="BD8" s="114">
        <f t="shared" si="3"/>
        <v>1</v>
      </c>
      <c r="BE8" s="114">
        <f t="shared" si="4"/>
        <v>1</v>
      </c>
      <c r="BF8" s="114">
        <f t="shared" si="5"/>
        <v>1</v>
      </c>
      <c r="BG8" s="114">
        <f t="shared" si="6"/>
        <v>1</v>
      </c>
      <c r="BH8" s="114">
        <f t="shared" si="7"/>
        <v>1</v>
      </c>
      <c r="BI8" s="114">
        <f t="shared" si="8"/>
        <v>1</v>
      </c>
      <c r="BJ8" s="114">
        <f t="shared" si="9"/>
        <v>1</v>
      </c>
      <c r="BK8" s="99">
        <f t="shared" si="10"/>
        <v>1</v>
      </c>
      <c r="BL8" s="99">
        <f t="shared" si="11"/>
        <v>1</v>
      </c>
      <c r="BM8" s="99">
        <f t="shared" si="12"/>
        <v>1</v>
      </c>
      <c r="BN8" s="99">
        <f t="shared" si="13"/>
        <v>1</v>
      </c>
      <c r="BO8" s="111">
        <f t="shared" si="14"/>
        <v>1</v>
      </c>
    </row>
    <row r="9" spans="1:67" ht="22.5" customHeight="1">
      <c r="B9" s="112">
        <v>7</v>
      </c>
      <c r="C9" s="113" t="s">
        <v>437</v>
      </c>
      <c r="D9" s="116" t="s">
        <v>434</v>
      </c>
      <c r="E9" s="114" t="s">
        <v>434</v>
      </c>
      <c r="F9" s="115" t="s">
        <v>434</v>
      </c>
      <c r="G9" s="116" t="s">
        <v>434</v>
      </c>
      <c r="H9" s="117" t="s">
        <v>434</v>
      </c>
      <c r="M9" s="124"/>
      <c r="N9" s="119"/>
      <c r="O9" s="125"/>
      <c r="P9" s="126"/>
      <c r="Q9" s="126"/>
      <c r="R9" s="127"/>
      <c r="S9" s="119"/>
      <c r="T9" s="125"/>
      <c r="U9" s="126"/>
      <c r="V9" s="126"/>
      <c r="W9" s="127"/>
      <c r="X9" s="119"/>
      <c r="Y9" s="125"/>
      <c r="Z9" s="126"/>
      <c r="AA9" s="126"/>
      <c r="AB9" s="127"/>
      <c r="AC9" s="119"/>
      <c r="AD9" s="125"/>
      <c r="AE9" s="126"/>
      <c r="AF9" s="126"/>
      <c r="AG9" s="127"/>
      <c r="AJ9" s="82" t="str">
        <f t="shared" si="15"/>
        <v/>
      </c>
      <c r="AR9" s="94"/>
      <c r="AS9" s="94"/>
      <c r="BA9" s="123">
        <f t="shared" si="0"/>
        <v>1</v>
      </c>
      <c r="BB9" s="114">
        <f t="shared" si="1"/>
        <v>1</v>
      </c>
      <c r="BC9" s="114">
        <f t="shared" si="2"/>
        <v>1</v>
      </c>
      <c r="BD9" s="114">
        <f t="shared" si="3"/>
        <v>1</v>
      </c>
      <c r="BE9" s="114">
        <f t="shared" si="4"/>
        <v>1</v>
      </c>
      <c r="BF9" s="114">
        <f t="shared" si="5"/>
        <v>1</v>
      </c>
      <c r="BG9" s="114">
        <f t="shared" si="6"/>
        <v>1</v>
      </c>
      <c r="BH9" s="114">
        <f t="shared" si="7"/>
        <v>1</v>
      </c>
      <c r="BI9" s="114">
        <f t="shared" si="8"/>
        <v>1</v>
      </c>
      <c r="BJ9" s="114">
        <f t="shared" si="9"/>
        <v>1</v>
      </c>
      <c r="BK9" s="99">
        <f t="shared" si="10"/>
        <v>1</v>
      </c>
      <c r="BL9" s="99">
        <f t="shared" si="11"/>
        <v>1</v>
      </c>
      <c r="BM9" s="99">
        <f t="shared" si="12"/>
        <v>1</v>
      </c>
      <c r="BN9" s="99">
        <f t="shared" si="13"/>
        <v>1</v>
      </c>
      <c r="BO9" s="111">
        <f t="shared" si="14"/>
        <v>1</v>
      </c>
    </row>
    <row r="10" spans="1:67" ht="22.5" customHeight="1">
      <c r="B10" s="112">
        <v>8</v>
      </c>
      <c r="C10" s="113" t="s">
        <v>438</v>
      </c>
      <c r="D10" s="114"/>
      <c r="E10" s="114"/>
      <c r="F10" s="115" t="s">
        <v>323</v>
      </c>
      <c r="G10" s="132" t="s">
        <v>323</v>
      </c>
      <c r="H10" s="117"/>
      <c r="M10" s="128"/>
      <c r="N10" s="119"/>
      <c r="O10" s="49"/>
      <c r="P10" s="129"/>
      <c r="Q10" s="129"/>
      <c r="R10" s="130"/>
      <c r="S10" s="119"/>
      <c r="T10" s="49"/>
      <c r="U10" s="129"/>
      <c r="V10" s="129"/>
      <c r="W10" s="130"/>
      <c r="X10" s="119"/>
      <c r="Y10" s="49"/>
      <c r="Z10" s="129"/>
      <c r="AA10" s="129"/>
      <c r="AB10" s="130"/>
      <c r="AC10" s="119"/>
      <c r="AD10" s="49"/>
      <c r="AE10" s="129"/>
      <c r="AF10" s="129"/>
      <c r="AG10" s="130"/>
      <c r="AJ10" s="82" t="str">
        <f t="shared" si="15"/>
        <v/>
      </c>
      <c r="AR10" s="94"/>
      <c r="AS10" s="94"/>
      <c r="BA10" s="123">
        <f t="shared" si="0"/>
        <v>0</v>
      </c>
      <c r="BB10" s="114">
        <f t="shared" si="1"/>
        <v>0</v>
      </c>
      <c r="BC10" s="114">
        <f t="shared" si="2"/>
        <v>1</v>
      </c>
      <c r="BD10" s="114">
        <f t="shared" si="3"/>
        <v>1</v>
      </c>
      <c r="BE10" s="114">
        <f t="shared" si="4"/>
        <v>0</v>
      </c>
      <c r="BF10" s="114">
        <f t="shared" si="5"/>
        <v>1</v>
      </c>
      <c r="BG10" s="114">
        <f t="shared" si="6"/>
        <v>1</v>
      </c>
      <c r="BH10" s="114">
        <f t="shared" si="7"/>
        <v>1</v>
      </c>
      <c r="BI10" s="114">
        <f t="shared" si="8"/>
        <v>1</v>
      </c>
      <c r="BJ10" s="114">
        <f t="shared" si="9"/>
        <v>1</v>
      </c>
      <c r="BK10" s="99">
        <f t="shared" si="10"/>
        <v>1</v>
      </c>
      <c r="BL10" s="99">
        <f t="shared" si="11"/>
        <v>1</v>
      </c>
      <c r="BM10" s="99">
        <f t="shared" si="12"/>
        <v>1</v>
      </c>
      <c r="BN10" s="99">
        <f t="shared" si="13"/>
        <v>1</v>
      </c>
      <c r="BO10" s="111">
        <f t="shared" si="14"/>
        <v>1</v>
      </c>
    </row>
    <row r="11" spans="1:67" ht="22.5" customHeight="1">
      <c r="B11" s="112">
        <v>9</v>
      </c>
      <c r="C11" s="133"/>
      <c r="D11" s="114"/>
      <c r="E11" s="116"/>
      <c r="F11" s="116"/>
      <c r="G11" s="116"/>
      <c r="H11" s="117"/>
      <c r="M11" s="124"/>
      <c r="N11" s="119"/>
      <c r="O11" s="107"/>
      <c r="P11" s="108"/>
      <c r="Q11" s="108"/>
      <c r="R11" s="109"/>
      <c r="S11" s="119"/>
      <c r="T11" s="107"/>
      <c r="U11" s="108"/>
      <c r="V11" s="108"/>
      <c r="W11" s="109"/>
      <c r="X11" s="119"/>
      <c r="Y11" s="107"/>
      <c r="Z11" s="108"/>
      <c r="AA11" s="108"/>
      <c r="AB11" s="109"/>
      <c r="AC11" s="119"/>
      <c r="AD11" s="107"/>
      <c r="AE11" s="108"/>
      <c r="AF11" s="108"/>
      <c r="AG11" s="109"/>
      <c r="AJ11" s="82" t="str">
        <f t="shared" si="15"/>
        <v/>
      </c>
      <c r="AR11" s="94"/>
      <c r="AS11" s="94"/>
      <c r="BA11" s="123">
        <f t="shared" si="0"/>
        <v>0</v>
      </c>
      <c r="BB11" s="114">
        <f t="shared" si="1"/>
        <v>0</v>
      </c>
      <c r="BC11" s="114">
        <f t="shared" si="2"/>
        <v>0</v>
      </c>
      <c r="BD11" s="114">
        <f t="shared" si="3"/>
        <v>0</v>
      </c>
      <c r="BE11" s="114">
        <f t="shared" si="4"/>
        <v>0</v>
      </c>
      <c r="BF11" s="114">
        <f t="shared" si="5"/>
        <v>0</v>
      </c>
      <c r="BG11" s="114">
        <f t="shared" si="6"/>
        <v>0</v>
      </c>
      <c r="BH11" s="114">
        <f t="shared" si="7"/>
        <v>0</v>
      </c>
      <c r="BI11" s="114">
        <f t="shared" si="8"/>
        <v>0</v>
      </c>
      <c r="BJ11" s="114">
        <f t="shared" si="9"/>
        <v>0</v>
      </c>
      <c r="BK11" s="99">
        <f t="shared" si="10"/>
        <v>0</v>
      </c>
      <c r="BL11" s="99">
        <f t="shared" si="11"/>
        <v>0</v>
      </c>
      <c r="BM11" s="99">
        <f t="shared" si="12"/>
        <v>0</v>
      </c>
      <c r="BN11" s="99">
        <f t="shared" si="13"/>
        <v>0</v>
      </c>
      <c r="BO11" s="111">
        <f t="shared" si="14"/>
        <v>0</v>
      </c>
    </row>
    <row r="12" spans="1:67" ht="22.5" customHeight="1">
      <c r="B12" s="112">
        <v>10</v>
      </c>
      <c r="C12" s="133"/>
      <c r="D12" s="114"/>
      <c r="E12" s="116"/>
      <c r="F12" s="116"/>
      <c r="G12" s="116"/>
      <c r="H12" s="117"/>
      <c r="J12" s="262"/>
      <c r="M12" s="128"/>
      <c r="N12" s="119"/>
      <c r="O12" s="120"/>
      <c r="P12" s="121"/>
      <c r="Q12" s="121"/>
      <c r="R12" s="122"/>
      <c r="S12" s="119"/>
      <c r="T12" s="120"/>
      <c r="U12" s="121"/>
      <c r="V12" s="121"/>
      <c r="W12" s="122"/>
      <c r="X12" s="119"/>
      <c r="Y12" s="120"/>
      <c r="Z12" s="121"/>
      <c r="AA12" s="121"/>
      <c r="AB12" s="122"/>
      <c r="AC12" s="119"/>
      <c r="AD12" s="120"/>
      <c r="AE12" s="121"/>
      <c r="AF12" s="121"/>
      <c r="AG12" s="122"/>
      <c r="AJ12" s="82" t="str">
        <f t="shared" si="15"/>
        <v/>
      </c>
      <c r="AR12" s="94"/>
      <c r="AS12" s="94"/>
      <c r="BA12" s="123">
        <f t="shared" si="0"/>
        <v>0</v>
      </c>
      <c r="BB12" s="114">
        <f t="shared" si="1"/>
        <v>0</v>
      </c>
      <c r="BC12" s="114">
        <f t="shared" si="2"/>
        <v>0</v>
      </c>
      <c r="BD12" s="114">
        <f t="shared" si="3"/>
        <v>0</v>
      </c>
      <c r="BE12" s="114">
        <f t="shared" si="4"/>
        <v>0</v>
      </c>
      <c r="BF12" s="114">
        <f t="shared" si="5"/>
        <v>0</v>
      </c>
      <c r="BG12" s="114">
        <f t="shared" si="6"/>
        <v>0</v>
      </c>
      <c r="BH12" s="114">
        <f t="shared" si="7"/>
        <v>0</v>
      </c>
      <c r="BI12" s="114">
        <f t="shared" si="8"/>
        <v>0</v>
      </c>
      <c r="BJ12" s="114">
        <f t="shared" si="9"/>
        <v>0</v>
      </c>
      <c r="BK12" s="99">
        <f t="shared" si="10"/>
        <v>0</v>
      </c>
      <c r="BL12" s="99">
        <f t="shared" si="11"/>
        <v>0</v>
      </c>
      <c r="BM12" s="99">
        <f t="shared" si="12"/>
        <v>0</v>
      </c>
      <c r="BN12" s="99">
        <f t="shared" si="13"/>
        <v>0</v>
      </c>
      <c r="BO12" s="111">
        <f t="shared" si="14"/>
        <v>0</v>
      </c>
    </row>
    <row r="13" spans="1:67" ht="22.5" customHeight="1">
      <c r="B13" s="112">
        <v>11</v>
      </c>
      <c r="C13" s="133"/>
      <c r="D13" s="116"/>
      <c r="E13" s="114"/>
      <c r="F13" s="115"/>
      <c r="G13" s="116"/>
      <c r="H13" s="117"/>
      <c r="M13" s="124"/>
      <c r="N13" s="119"/>
      <c r="O13" s="125"/>
      <c r="P13" s="126"/>
      <c r="Q13" s="126"/>
      <c r="R13" s="127"/>
      <c r="S13" s="119"/>
      <c r="T13" s="125"/>
      <c r="U13" s="126"/>
      <c r="V13" s="126"/>
      <c r="W13" s="127"/>
      <c r="X13" s="119"/>
      <c r="Y13" s="125"/>
      <c r="Z13" s="126"/>
      <c r="AA13" s="126"/>
      <c r="AB13" s="127"/>
      <c r="AC13" s="119"/>
      <c r="AD13" s="125"/>
      <c r="AE13" s="126"/>
      <c r="AF13" s="126"/>
      <c r="AG13" s="127"/>
      <c r="AJ13" s="82" t="str">
        <f t="shared" si="15"/>
        <v/>
      </c>
      <c r="AR13" s="94"/>
      <c r="AS13" s="94"/>
      <c r="BA13" s="123">
        <f t="shared" si="0"/>
        <v>0</v>
      </c>
      <c r="BB13" s="114">
        <f t="shared" si="1"/>
        <v>0</v>
      </c>
      <c r="BC13" s="114">
        <f t="shared" si="2"/>
        <v>0</v>
      </c>
      <c r="BD13" s="114">
        <f t="shared" si="3"/>
        <v>0</v>
      </c>
      <c r="BE13" s="114">
        <f t="shared" si="4"/>
        <v>0</v>
      </c>
      <c r="BF13" s="114">
        <f t="shared" si="5"/>
        <v>0</v>
      </c>
      <c r="BG13" s="114">
        <f t="shared" si="6"/>
        <v>0</v>
      </c>
      <c r="BH13" s="114">
        <f t="shared" si="7"/>
        <v>0</v>
      </c>
      <c r="BI13" s="114">
        <f t="shared" si="8"/>
        <v>0</v>
      </c>
      <c r="BJ13" s="114">
        <f t="shared" si="9"/>
        <v>0</v>
      </c>
      <c r="BK13" s="99">
        <f t="shared" si="10"/>
        <v>0</v>
      </c>
      <c r="BL13" s="99">
        <f t="shared" si="11"/>
        <v>0</v>
      </c>
      <c r="BM13" s="99">
        <f t="shared" si="12"/>
        <v>0</v>
      </c>
      <c r="BN13" s="99">
        <f t="shared" si="13"/>
        <v>0</v>
      </c>
      <c r="BO13" s="111">
        <f t="shared" si="14"/>
        <v>0</v>
      </c>
    </row>
    <row r="14" spans="1:67" ht="22.5" customHeight="1">
      <c r="B14" s="112">
        <v>12</v>
      </c>
      <c r="C14" s="133"/>
      <c r="D14" s="114"/>
      <c r="E14" s="114"/>
      <c r="F14" s="115"/>
      <c r="G14" s="116"/>
      <c r="H14" s="117"/>
      <c r="M14" s="128"/>
      <c r="N14" s="119"/>
      <c r="O14" s="49"/>
      <c r="P14" s="129"/>
      <c r="Q14" s="129"/>
      <c r="R14" s="130"/>
      <c r="S14" s="119"/>
      <c r="T14" s="49"/>
      <c r="U14" s="129"/>
      <c r="V14" s="129"/>
      <c r="W14" s="130"/>
      <c r="X14" s="119"/>
      <c r="Y14" s="49"/>
      <c r="Z14" s="129"/>
      <c r="AA14" s="129"/>
      <c r="AB14" s="130"/>
      <c r="AC14" s="119"/>
      <c r="AD14" s="49"/>
      <c r="AE14" s="129"/>
      <c r="AF14" s="129"/>
      <c r="AG14" s="130"/>
      <c r="AJ14" s="82" t="str">
        <f t="shared" si="15"/>
        <v/>
      </c>
      <c r="AR14" s="94"/>
      <c r="AS14" s="94"/>
      <c r="BA14" s="123">
        <f t="shared" si="0"/>
        <v>0</v>
      </c>
      <c r="BB14" s="114">
        <f t="shared" si="1"/>
        <v>0</v>
      </c>
      <c r="BC14" s="114">
        <f t="shared" si="2"/>
        <v>0</v>
      </c>
      <c r="BD14" s="114">
        <f t="shared" si="3"/>
        <v>0</v>
      </c>
      <c r="BE14" s="114">
        <f t="shared" si="4"/>
        <v>0</v>
      </c>
      <c r="BF14" s="114">
        <f t="shared" si="5"/>
        <v>0</v>
      </c>
      <c r="BG14" s="114">
        <f t="shared" si="6"/>
        <v>0</v>
      </c>
      <c r="BH14" s="114">
        <f t="shared" si="7"/>
        <v>0</v>
      </c>
      <c r="BI14" s="114">
        <f t="shared" si="8"/>
        <v>0</v>
      </c>
      <c r="BJ14" s="114">
        <f t="shared" si="9"/>
        <v>0</v>
      </c>
      <c r="BK14" s="99">
        <f t="shared" si="10"/>
        <v>0</v>
      </c>
      <c r="BL14" s="99">
        <f t="shared" si="11"/>
        <v>0</v>
      </c>
      <c r="BM14" s="99">
        <f t="shared" si="12"/>
        <v>0</v>
      </c>
      <c r="BN14" s="99">
        <f t="shared" si="13"/>
        <v>0</v>
      </c>
      <c r="BO14" s="111">
        <f t="shared" si="14"/>
        <v>0</v>
      </c>
    </row>
    <row r="15" spans="1:67" ht="22.5" customHeight="1">
      <c r="B15" s="112">
        <v>13</v>
      </c>
      <c r="C15" s="133"/>
      <c r="D15" s="114"/>
      <c r="E15" s="114"/>
      <c r="F15" s="115"/>
      <c r="G15" s="116"/>
      <c r="H15" s="117"/>
      <c r="M15" s="124"/>
      <c r="N15" s="119"/>
      <c r="O15" s="107"/>
      <c r="P15" s="108"/>
      <c r="Q15" s="108"/>
      <c r="R15" s="109"/>
      <c r="S15" s="119"/>
      <c r="T15" s="107"/>
      <c r="U15" s="108"/>
      <c r="V15" s="108"/>
      <c r="W15" s="109"/>
      <c r="X15" s="119"/>
      <c r="Y15" s="107"/>
      <c r="Z15" s="108"/>
      <c r="AA15" s="108"/>
      <c r="AB15" s="109"/>
      <c r="AC15" s="119"/>
      <c r="AD15" s="107"/>
      <c r="AE15" s="108"/>
      <c r="AF15" s="108"/>
      <c r="AG15" s="109"/>
      <c r="AJ15" s="82" t="str">
        <f t="shared" si="15"/>
        <v/>
      </c>
      <c r="AR15" s="94"/>
      <c r="AS15" s="94"/>
      <c r="BA15" s="123">
        <f t="shared" si="0"/>
        <v>0</v>
      </c>
      <c r="BB15" s="114">
        <f t="shared" si="1"/>
        <v>0</v>
      </c>
      <c r="BC15" s="114">
        <f t="shared" si="2"/>
        <v>0</v>
      </c>
      <c r="BD15" s="114">
        <f t="shared" si="3"/>
        <v>0</v>
      </c>
      <c r="BE15" s="114">
        <f t="shared" si="4"/>
        <v>0</v>
      </c>
      <c r="BF15" s="114">
        <f t="shared" si="5"/>
        <v>0</v>
      </c>
      <c r="BG15" s="114">
        <f t="shared" si="6"/>
        <v>0</v>
      </c>
      <c r="BH15" s="114">
        <f t="shared" si="7"/>
        <v>0</v>
      </c>
      <c r="BI15" s="114">
        <f t="shared" si="8"/>
        <v>0</v>
      </c>
      <c r="BJ15" s="114">
        <f t="shared" si="9"/>
        <v>0</v>
      </c>
      <c r="BK15" s="99">
        <f t="shared" si="10"/>
        <v>0</v>
      </c>
      <c r="BL15" s="99">
        <f t="shared" si="11"/>
        <v>0</v>
      </c>
      <c r="BM15" s="99">
        <f t="shared" si="12"/>
        <v>0</v>
      </c>
      <c r="BN15" s="99">
        <f t="shared" si="13"/>
        <v>0</v>
      </c>
      <c r="BO15" s="111">
        <f t="shared" si="14"/>
        <v>0</v>
      </c>
    </row>
    <row r="16" spans="1:67" ht="22.5" customHeight="1">
      <c r="B16" s="112">
        <v>14</v>
      </c>
      <c r="C16" s="133"/>
      <c r="D16" s="114"/>
      <c r="E16" s="116"/>
      <c r="F16" s="116"/>
      <c r="G16" s="116"/>
      <c r="H16" s="117"/>
      <c r="M16" s="128"/>
      <c r="N16" s="119"/>
      <c r="O16" s="120"/>
      <c r="P16" s="121"/>
      <c r="Q16" s="121"/>
      <c r="R16" s="122"/>
      <c r="S16" s="119"/>
      <c r="T16" s="120"/>
      <c r="U16" s="121"/>
      <c r="V16" s="121"/>
      <c r="W16" s="122"/>
      <c r="X16" s="119"/>
      <c r="Y16" s="120"/>
      <c r="Z16" s="121"/>
      <c r="AA16" s="121"/>
      <c r="AB16" s="122"/>
      <c r="AC16" s="119"/>
      <c r="AD16" s="120"/>
      <c r="AE16" s="121"/>
      <c r="AF16" s="121"/>
      <c r="AG16" s="122"/>
      <c r="AJ16" s="82" t="str">
        <f t="shared" si="15"/>
        <v/>
      </c>
      <c r="AR16" s="94"/>
      <c r="AS16" s="94"/>
      <c r="BA16" s="123">
        <f t="shared" si="0"/>
        <v>0</v>
      </c>
      <c r="BB16" s="114">
        <f t="shared" si="1"/>
        <v>0</v>
      </c>
      <c r="BC16" s="114">
        <f t="shared" si="2"/>
        <v>0</v>
      </c>
      <c r="BD16" s="114">
        <f t="shared" si="3"/>
        <v>0</v>
      </c>
      <c r="BE16" s="114">
        <f t="shared" si="4"/>
        <v>0</v>
      </c>
      <c r="BF16" s="114">
        <f t="shared" si="5"/>
        <v>0</v>
      </c>
      <c r="BG16" s="114">
        <f t="shared" si="6"/>
        <v>0</v>
      </c>
      <c r="BH16" s="114">
        <f t="shared" si="7"/>
        <v>0</v>
      </c>
      <c r="BI16" s="114">
        <f t="shared" si="8"/>
        <v>0</v>
      </c>
      <c r="BJ16" s="114">
        <f t="shared" si="9"/>
        <v>0</v>
      </c>
      <c r="BK16" s="99">
        <f t="shared" si="10"/>
        <v>0</v>
      </c>
      <c r="BL16" s="99">
        <f t="shared" si="11"/>
        <v>0</v>
      </c>
      <c r="BM16" s="99">
        <f t="shared" si="12"/>
        <v>0</v>
      </c>
      <c r="BN16" s="99">
        <f t="shared" si="13"/>
        <v>0</v>
      </c>
      <c r="BO16" s="111">
        <f t="shared" si="14"/>
        <v>0</v>
      </c>
    </row>
    <row r="17" spans="2:67" ht="22.5" customHeight="1">
      <c r="B17" s="112">
        <v>15</v>
      </c>
      <c r="C17" s="133"/>
      <c r="D17" s="116"/>
      <c r="E17" s="114"/>
      <c r="F17" s="115"/>
      <c r="G17" s="116"/>
      <c r="H17" s="117"/>
      <c r="M17" s="124"/>
      <c r="N17" s="119"/>
      <c r="O17" s="125"/>
      <c r="P17" s="126"/>
      <c r="Q17" s="126"/>
      <c r="R17" s="127"/>
      <c r="S17" s="119"/>
      <c r="T17" s="125"/>
      <c r="U17" s="126"/>
      <c r="V17" s="126"/>
      <c r="W17" s="127"/>
      <c r="X17" s="119"/>
      <c r="Y17" s="125"/>
      <c r="Z17" s="126"/>
      <c r="AA17" s="126"/>
      <c r="AB17" s="127"/>
      <c r="AC17" s="119"/>
      <c r="AD17" s="125"/>
      <c r="AE17" s="126"/>
      <c r="AF17" s="126"/>
      <c r="AG17" s="127"/>
      <c r="AJ17" s="82" t="str">
        <f t="shared" si="15"/>
        <v/>
      </c>
      <c r="AR17" s="94"/>
      <c r="AS17" s="94"/>
      <c r="BA17" s="123">
        <f t="shared" si="0"/>
        <v>0</v>
      </c>
      <c r="BB17" s="114">
        <f t="shared" si="1"/>
        <v>0</v>
      </c>
      <c r="BC17" s="114">
        <f t="shared" si="2"/>
        <v>0</v>
      </c>
      <c r="BD17" s="114">
        <f t="shared" si="3"/>
        <v>0</v>
      </c>
      <c r="BE17" s="114">
        <f t="shared" si="4"/>
        <v>0</v>
      </c>
      <c r="BF17" s="114">
        <f t="shared" si="5"/>
        <v>0</v>
      </c>
      <c r="BG17" s="114">
        <f t="shared" si="6"/>
        <v>0</v>
      </c>
      <c r="BH17" s="114">
        <f t="shared" si="7"/>
        <v>0</v>
      </c>
      <c r="BI17" s="114">
        <f t="shared" si="8"/>
        <v>0</v>
      </c>
      <c r="BJ17" s="114">
        <f t="shared" si="9"/>
        <v>0</v>
      </c>
      <c r="BK17" s="99">
        <f t="shared" si="10"/>
        <v>0</v>
      </c>
      <c r="BL17" s="99">
        <f t="shared" si="11"/>
        <v>0</v>
      </c>
      <c r="BM17" s="99">
        <f t="shared" si="12"/>
        <v>0</v>
      </c>
      <c r="BN17" s="99">
        <f t="shared" si="13"/>
        <v>0</v>
      </c>
      <c r="BO17" s="111">
        <f t="shared" si="14"/>
        <v>0</v>
      </c>
    </row>
    <row r="18" spans="2:67" ht="22.5" customHeight="1" thickBot="1">
      <c r="B18" s="112">
        <v>16</v>
      </c>
      <c r="C18" s="133"/>
      <c r="D18" s="114"/>
      <c r="E18" s="114"/>
      <c r="F18" s="115"/>
      <c r="G18" s="116"/>
      <c r="H18" s="117"/>
      <c r="M18" s="134"/>
      <c r="N18" s="135"/>
      <c r="O18" s="136"/>
      <c r="P18" s="137"/>
      <c r="Q18" s="137"/>
      <c r="R18" s="138"/>
      <c r="S18" s="135"/>
      <c r="T18" s="136"/>
      <c r="U18" s="137"/>
      <c r="V18" s="137"/>
      <c r="W18" s="138"/>
      <c r="X18" s="135"/>
      <c r="Y18" s="136"/>
      <c r="Z18" s="137"/>
      <c r="AA18" s="137"/>
      <c r="AB18" s="138"/>
      <c r="AC18" s="135"/>
      <c r="AD18" s="136"/>
      <c r="AE18" s="137"/>
      <c r="AF18" s="137"/>
      <c r="AG18" s="138"/>
      <c r="AJ18" s="82" t="str">
        <f t="shared" si="15"/>
        <v/>
      </c>
      <c r="AR18" s="94" t="str">
        <f t="shared" ref="AR18" si="16">IFERROR(MATCH(AQ18,$C:$C,0)-3,"")</f>
        <v/>
      </c>
      <c r="AS18" s="94"/>
      <c r="BA18" s="123">
        <f t="shared" si="0"/>
        <v>0</v>
      </c>
      <c r="BB18" s="114">
        <f t="shared" si="1"/>
        <v>0</v>
      </c>
      <c r="BC18" s="114">
        <f t="shared" si="2"/>
        <v>0</v>
      </c>
      <c r="BD18" s="114">
        <f t="shared" si="3"/>
        <v>0</v>
      </c>
      <c r="BE18" s="114">
        <f t="shared" si="4"/>
        <v>0</v>
      </c>
      <c r="BF18" s="114">
        <f t="shared" si="5"/>
        <v>0</v>
      </c>
      <c r="BG18" s="114">
        <f t="shared" si="6"/>
        <v>0</v>
      </c>
      <c r="BH18" s="114">
        <f t="shared" si="7"/>
        <v>0</v>
      </c>
      <c r="BI18" s="114">
        <f t="shared" si="8"/>
        <v>0</v>
      </c>
      <c r="BJ18" s="114">
        <f t="shared" si="9"/>
        <v>0</v>
      </c>
      <c r="BK18" s="99">
        <f t="shared" si="10"/>
        <v>0</v>
      </c>
      <c r="BL18" s="99">
        <f t="shared" si="11"/>
        <v>0</v>
      </c>
      <c r="BM18" s="99">
        <f t="shared" si="12"/>
        <v>0</v>
      </c>
      <c r="BN18" s="99">
        <f t="shared" si="13"/>
        <v>0</v>
      </c>
      <c r="BO18" s="111">
        <f t="shared" si="14"/>
        <v>0</v>
      </c>
    </row>
    <row r="19" spans="2:67" ht="22.5" customHeight="1" thickBot="1">
      <c r="B19" s="112">
        <v>17</v>
      </c>
      <c r="C19" s="133"/>
      <c r="D19" s="99"/>
      <c r="E19" s="100"/>
      <c r="F19" s="100"/>
      <c r="G19" s="101"/>
      <c r="H19" s="131"/>
      <c r="Z19" s="81"/>
      <c r="AJ19" s="82" t="str">
        <f t="shared" si="15"/>
        <v/>
      </c>
      <c r="AR19" s="94"/>
      <c r="AS19" s="94"/>
      <c r="BA19" s="123">
        <f t="shared" si="0"/>
        <v>0</v>
      </c>
      <c r="BB19" s="114">
        <f t="shared" si="1"/>
        <v>0</v>
      </c>
      <c r="BC19" s="114">
        <f t="shared" si="2"/>
        <v>0</v>
      </c>
      <c r="BD19" s="114">
        <f t="shared" si="3"/>
        <v>0</v>
      </c>
      <c r="BE19" s="114">
        <f t="shared" si="4"/>
        <v>0</v>
      </c>
      <c r="BF19" s="114">
        <f t="shared" si="5"/>
        <v>0</v>
      </c>
      <c r="BG19" s="114">
        <f t="shared" si="6"/>
        <v>0</v>
      </c>
      <c r="BH19" s="114">
        <f t="shared" si="7"/>
        <v>0</v>
      </c>
      <c r="BI19" s="114">
        <f t="shared" si="8"/>
        <v>0</v>
      </c>
      <c r="BJ19" s="114">
        <f t="shared" si="9"/>
        <v>0</v>
      </c>
      <c r="BK19" s="99">
        <f t="shared" si="10"/>
        <v>0</v>
      </c>
      <c r="BL19" s="99">
        <f t="shared" si="11"/>
        <v>0</v>
      </c>
      <c r="BM19" s="99">
        <f t="shared" si="12"/>
        <v>0</v>
      </c>
      <c r="BN19" s="99">
        <f t="shared" si="13"/>
        <v>0</v>
      </c>
      <c r="BO19" s="111">
        <f t="shared" si="14"/>
        <v>0</v>
      </c>
    </row>
    <row r="20" spans="2:67" ht="22.5" customHeight="1" thickBot="1">
      <c r="B20" s="112">
        <v>18</v>
      </c>
      <c r="C20" s="133"/>
      <c r="D20" s="114"/>
      <c r="E20" s="115"/>
      <c r="F20" s="115"/>
      <c r="G20" s="116"/>
      <c r="H20" s="131"/>
      <c r="M20" s="299" t="s">
        <v>276</v>
      </c>
      <c r="N20" s="300"/>
      <c r="O20" s="300"/>
      <c r="P20" s="300"/>
      <c r="Q20" s="300"/>
      <c r="R20" s="300"/>
      <c r="S20" s="300"/>
      <c r="T20" s="300"/>
      <c r="U20" s="300"/>
      <c r="V20" s="300"/>
      <c r="W20" s="300"/>
      <c r="X20" s="300"/>
      <c r="Y20" s="300"/>
      <c r="Z20" s="300"/>
      <c r="AA20" s="300"/>
      <c r="AB20" s="300"/>
      <c r="AC20" s="300"/>
      <c r="AD20" s="300"/>
      <c r="AE20" s="300"/>
      <c r="AF20" s="300"/>
      <c r="AG20" s="301"/>
      <c r="AJ20" s="82" t="str">
        <f t="shared" si="15"/>
        <v/>
      </c>
      <c r="AR20" s="94"/>
      <c r="AS20" s="94"/>
      <c r="BA20" s="123">
        <f t="shared" si="0"/>
        <v>0</v>
      </c>
      <c r="BB20" s="114">
        <f t="shared" si="1"/>
        <v>0</v>
      </c>
      <c r="BC20" s="114">
        <f t="shared" si="2"/>
        <v>0</v>
      </c>
      <c r="BD20" s="114">
        <f t="shared" si="3"/>
        <v>0</v>
      </c>
      <c r="BE20" s="114">
        <f t="shared" si="4"/>
        <v>0</v>
      </c>
      <c r="BF20" s="114">
        <f t="shared" si="5"/>
        <v>0</v>
      </c>
      <c r="BG20" s="114">
        <f t="shared" si="6"/>
        <v>0</v>
      </c>
      <c r="BH20" s="114">
        <f t="shared" si="7"/>
        <v>0</v>
      </c>
      <c r="BI20" s="114">
        <f t="shared" si="8"/>
        <v>0</v>
      </c>
      <c r="BJ20" s="114">
        <f t="shared" si="9"/>
        <v>0</v>
      </c>
      <c r="BK20" s="99">
        <f t="shared" si="10"/>
        <v>0</v>
      </c>
      <c r="BL20" s="99">
        <f t="shared" si="11"/>
        <v>0</v>
      </c>
      <c r="BM20" s="99">
        <f t="shared" si="12"/>
        <v>0</v>
      </c>
      <c r="BN20" s="99">
        <f t="shared" si="13"/>
        <v>0</v>
      </c>
      <c r="BO20" s="111">
        <f t="shared" si="14"/>
        <v>0</v>
      </c>
    </row>
    <row r="21" spans="2:67" ht="22.5" customHeight="1">
      <c r="B21" s="112">
        <v>19</v>
      </c>
      <c r="C21" s="133"/>
      <c r="D21" s="114"/>
      <c r="E21" s="115"/>
      <c r="F21" s="115"/>
      <c r="G21" s="116"/>
      <c r="H21" s="131"/>
      <c r="M21" s="302" t="s">
        <v>249</v>
      </c>
      <c r="N21" s="303"/>
      <c r="O21" s="303"/>
      <c r="P21" s="303"/>
      <c r="Q21" s="303"/>
      <c r="R21" s="303"/>
      <c r="S21" s="303"/>
      <c r="T21" s="303"/>
      <c r="U21" s="303"/>
      <c r="V21" s="304"/>
      <c r="W21" s="305" t="str">
        <f>IF(BA$68&gt;0, BA$68 &amp;"명 필요","만족")</f>
        <v>만족</v>
      </c>
      <c r="X21" s="303"/>
      <c r="Y21" s="303"/>
      <c r="Z21" s="303"/>
      <c r="AA21" s="303"/>
      <c r="AB21" s="303"/>
      <c r="AC21" s="303"/>
      <c r="AD21" s="303"/>
      <c r="AE21" s="303"/>
      <c r="AF21" s="303"/>
      <c r="AG21" s="304"/>
      <c r="AJ21" s="82" t="str">
        <f t="shared" si="15"/>
        <v/>
      </c>
      <c r="AR21" s="94"/>
      <c r="AS21" s="94"/>
      <c r="BA21" s="123">
        <f t="shared" si="0"/>
        <v>0</v>
      </c>
      <c r="BB21" s="114">
        <f t="shared" si="1"/>
        <v>0</v>
      </c>
      <c r="BC21" s="114">
        <f t="shared" si="2"/>
        <v>0</v>
      </c>
      <c r="BD21" s="114">
        <f t="shared" si="3"/>
        <v>0</v>
      </c>
      <c r="BE21" s="114">
        <f t="shared" si="4"/>
        <v>0</v>
      </c>
      <c r="BF21" s="114">
        <f t="shared" si="5"/>
        <v>0</v>
      </c>
      <c r="BG21" s="114">
        <f t="shared" si="6"/>
        <v>0</v>
      </c>
      <c r="BH21" s="114">
        <f t="shared" si="7"/>
        <v>0</v>
      </c>
      <c r="BI21" s="114">
        <f t="shared" si="8"/>
        <v>0</v>
      </c>
      <c r="BJ21" s="114">
        <f t="shared" si="9"/>
        <v>0</v>
      </c>
      <c r="BK21" s="99">
        <f t="shared" si="10"/>
        <v>0</v>
      </c>
      <c r="BL21" s="99">
        <f t="shared" si="11"/>
        <v>0</v>
      </c>
      <c r="BM21" s="99">
        <f t="shared" si="12"/>
        <v>0</v>
      </c>
      <c r="BN21" s="99">
        <f t="shared" si="13"/>
        <v>0</v>
      </c>
      <c r="BO21" s="111">
        <f t="shared" si="14"/>
        <v>0</v>
      </c>
    </row>
    <row r="22" spans="2:67" ht="22.5" customHeight="1">
      <c r="B22" s="112">
        <v>20</v>
      </c>
      <c r="C22" s="133"/>
      <c r="D22" s="114"/>
      <c r="E22" s="114"/>
      <c r="F22" s="115"/>
      <c r="G22" s="116"/>
      <c r="H22" s="131"/>
      <c r="M22" s="292" t="s">
        <v>250</v>
      </c>
      <c r="N22" s="293"/>
      <c r="O22" s="293"/>
      <c r="P22" s="293"/>
      <c r="Q22" s="293"/>
      <c r="R22" s="293"/>
      <c r="S22" s="293"/>
      <c r="T22" s="293"/>
      <c r="U22" s="293"/>
      <c r="V22" s="294"/>
      <c r="W22" s="295" t="str">
        <f>IF(BB$68&gt;0, BB$68 &amp;"명 필요","만족")</f>
        <v>만족</v>
      </c>
      <c r="X22" s="296"/>
      <c r="Y22" s="296"/>
      <c r="Z22" s="296"/>
      <c r="AA22" s="296"/>
      <c r="AB22" s="296"/>
      <c r="AC22" s="296"/>
      <c r="AD22" s="296"/>
      <c r="AE22" s="296"/>
      <c r="AF22" s="296"/>
      <c r="AG22" s="297"/>
      <c r="AJ22" s="82" t="str">
        <f t="shared" si="15"/>
        <v/>
      </c>
      <c r="BA22" s="123">
        <f t="shared" si="0"/>
        <v>0</v>
      </c>
      <c r="BB22" s="114">
        <f t="shared" si="1"/>
        <v>0</v>
      </c>
      <c r="BC22" s="114">
        <f t="shared" si="2"/>
        <v>0</v>
      </c>
      <c r="BD22" s="114">
        <f t="shared" si="3"/>
        <v>0</v>
      </c>
      <c r="BE22" s="114">
        <f t="shared" si="4"/>
        <v>0</v>
      </c>
      <c r="BF22" s="114">
        <f t="shared" si="5"/>
        <v>0</v>
      </c>
      <c r="BG22" s="114">
        <f t="shared" si="6"/>
        <v>0</v>
      </c>
      <c r="BH22" s="114">
        <f t="shared" si="7"/>
        <v>0</v>
      </c>
      <c r="BI22" s="114">
        <f t="shared" si="8"/>
        <v>0</v>
      </c>
      <c r="BJ22" s="114">
        <f t="shared" si="9"/>
        <v>0</v>
      </c>
      <c r="BK22" s="99">
        <f t="shared" si="10"/>
        <v>0</v>
      </c>
      <c r="BL22" s="99">
        <f t="shared" si="11"/>
        <v>0</v>
      </c>
      <c r="BM22" s="99">
        <f t="shared" si="12"/>
        <v>0</v>
      </c>
      <c r="BN22" s="99">
        <f t="shared" si="13"/>
        <v>0</v>
      </c>
      <c r="BO22" s="111">
        <f t="shared" si="14"/>
        <v>0</v>
      </c>
    </row>
    <row r="23" spans="2:67" ht="22.5" customHeight="1">
      <c r="B23" s="112">
        <v>21</v>
      </c>
      <c r="C23" s="133"/>
      <c r="D23" s="114"/>
      <c r="E23" s="114"/>
      <c r="F23" s="115"/>
      <c r="G23" s="116"/>
      <c r="H23" s="131"/>
      <c r="M23" s="292" t="s">
        <v>251</v>
      </c>
      <c r="N23" s="293"/>
      <c r="O23" s="293"/>
      <c r="P23" s="293"/>
      <c r="Q23" s="293"/>
      <c r="R23" s="293"/>
      <c r="S23" s="293"/>
      <c r="T23" s="293"/>
      <c r="U23" s="293"/>
      <c r="V23" s="294"/>
      <c r="W23" s="295" t="str">
        <f>IF(BC$68&gt;0, BC$68 &amp;"명 필요","만족")</f>
        <v>만족</v>
      </c>
      <c r="X23" s="296"/>
      <c r="Y23" s="296"/>
      <c r="Z23" s="296"/>
      <c r="AA23" s="296"/>
      <c r="AB23" s="296"/>
      <c r="AC23" s="296"/>
      <c r="AD23" s="296"/>
      <c r="AE23" s="296"/>
      <c r="AF23" s="296"/>
      <c r="AG23" s="297"/>
      <c r="AJ23" s="82" t="str">
        <f t="shared" si="15"/>
        <v/>
      </c>
      <c r="BA23" s="123">
        <f t="shared" si="0"/>
        <v>0</v>
      </c>
      <c r="BB23" s="114">
        <f t="shared" si="1"/>
        <v>0</v>
      </c>
      <c r="BC23" s="114">
        <f t="shared" si="2"/>
        <v>0</v>
      </c>
      <c r="BD23" s="114">
        <f t="shared" si="3"/>
        <v>0</v>
      </c>
      <c r="BE23" s="114">
        <f t="shared" si="4"/>
        <v>0</v>
      </c>
      <c r="BF23" s="114">
        <f t="shared" si="5"/>
        <v>0</v>
      </c>
      <c r="BG23" s="114">
        <f t="shared" si="6"/>
        <v>0</v>
      </c>
      <c r="BH23" s="114">
        <f t="shared" si="7"/>
        <v>0</v>
      </c>
      <c r="BI23" s="114">
        <f t="shared" si="8"/>
        <v>0</v>
      </c>
      <c r="BJ23" s="114">
        <f t="shared" si="9"/>
        <v>0</v>
      </c>
      <c r="BK23" s="99">
        <f t="shared" si="10"/>
        <v>0</v>
      </c>
      <c r="BL23" s="99">
        <f t="shared" si="11"/>
        <v>0</v>
      </c>
      <c r="BM23" s="99">
        <f t="shared" si="12"/>
        <v>0</v>
      </c>
      <c r="BN23" s="99">
        <f t="shared" si="13"/>
        <v>0</v>
      </c>
      <c r="BO23" s="111">
        <f t="shared" si="14"/>
        <v>0</v>
      </c>
    </row>
    <row r="24" spans="2:67" ht="22.5" customHeight="1">
      <c r="B24" s="112">
        <v>22</v>
      </c>
      <c r="C24" s="133"/>
      <c r="D24" s="114"/>
      <c r="E24" s="114"/>
      <c r="F24" s="114"/>
      <c r="G24" s="116"/>
      <c r="H24" s="131"/>
      <c r="M24" s="292" t="s">
        <v>252</v>
      </c>
      <c r="N24" s="293"/>
      <c r="O24" s="293"/>
      <c r="P24" s="293"/>
      <c r="Q24" s="293"/>
      <c r="R24" s="293"/>
      <c r="S24" s="293"/>
      <c r="T24" s="293"/>
      <c r="U24" s="293"/>
      <c r="V24" s="294"/>
      <c r="W24" s="295" t="str">
        <f>IF(BD$68&gt;0, BD$68 &amp;"명 필요","만족")</f>
        <v>만족</v>
      </c>
      <c r="X24" s="296"/>
      <c r="Y24" s="296"/>
      <c r="Z24" s="296"/>
      <c r="AA24" s="296"/>
      <c r="AB24" s="296"/>
      <c r="AC24" s="296"/>
      <c r="AD24" s="296"/>
      <c r="AE24" s="296"/>
      <c r="AF24" s="296"/>
      <c r="AG24" s="297"/>
      <c r="AJ24" s="82" t="str">
        <f t="shared" si="15"/>
        <v/>
      </c>
      <c r="BA24" s="123">
        <f t="shared" si="0"/>
        <v>0</v>
      </c>
      <c r="BB24" s="114">
        <f t="shared" si="1"/>
        <v>0</v>
      </c>
      <c r="BC24" s="114">
        <f t="shared" si="2"/>
        <v>0</v>
      </c>
      <c r="BD24" s="114">
        <f t="shared" si="3"/>
        <v>0</v>
      </c>
      <c r="BE24" s="114">
        <f t="shared" si="4"/>
        <v>0</v>
      </c>
      <c r="BF24" s="114">
        <f t="shared" si="5"/>
        <v>0</v>
      </c>
      <c r="BG24" s="114">
        <f t="shared" si="6"/>
        <v>0</v>
      </c>
      <c r="BH24" s="114">
        <f t="shared" si="7"/>
        <v>0</v>
      </c>
      <c r="BI24" s="114">
        <f t="shared" si="8"/>
        <v>0</v>
      </c>
      <c r="BJ24" s="114">
        <f t="shared" si="9"/>
        <v>0</v>
      </c>
      <c r="BK24" s="99">
        <f t="shared" si="10"/>
        <v>0</v>
      </c>
      <c r="BL24" s="99">
        <f t="shared" si="11"/>
        <v>0</v>
      </c>
      <c r="BM24" s="99">
        <f t="shared" si="12"/>
        <v>0</v>
      </c>
      <c r="BN24" s="99">
        <f t="shared" si="13"/>
        <v>0</v>
      </c>
      <c r="BO24" s="111">
        <f t="shared" si="14"/>
        <v>0</v>
      </c>
    </row>
    <row r="25" spans="2:67" ht="22.5" customHeight="1">
      <c r="B25" s="112">
        <v>23</v>
      </c>
      <c r="C25" s="133"/>
      <c r="D25" s="114"/>
      <c r="E25" s="114"/>
      <c r="F25" s="115"/>
      <c r="G25" s="116"/>
      <c r="H25" s="131"/>
      <c r="M25" s="292" t="s">
        <v>277</v>
      </c>
      <c r="N25" s="293"/>
      <c r="O25" s="293"/>
      <c r="P25" s="293"/>
      <c r="Q25" s="293"/>
      <c r="R25" s="293"/>
      <c r="S25" s="293"/>
      <c r="T25" s="293"/>
      <c r="U25" s="293"/>
      <c r="V25" s="294"/>
      <c r="W25" s="295" t="str">
        <f>IF(BE$68&gt;0, BE$68 &amp;"명 필요","만족")</f>
        <v>만족</v>
      </c>
      <c r="X25" s="296"/>
      <c r="Y25" s="296"/>
      <c r="Z25" s="296"/>
      <c r="AA25" s="296"/>
      <c r="AB25" s="296"/>
      <c r="AC25" s="296"/>
      <c r="AD25" s="296"/>
      <c r="AE25" s="296"/>
      <c r="AF25" s="296"/>
      <c r="AG25" s="297"/>
      <c r="AJ25" s="82" t="str">
        <f t="shared" si="15"/>
        <v/>
      </c>
      <c r="BA25" s="123">
        <f t="shared" si="0"/>
        <v>0</v>
      </c>
      <c r="BB25" s="114">
        <f t="shared" si="1"/>
        <v>0</v>
      </c>
      <c r="BC25" s="114">
        <f t="shared" si="2"/>
        <v>0</v>
      </c>
      <c r="BD25" s="114">
        <f t="shared" si="3"/>
        <v>0</v>
      </c>
      <c r="BE25" s="114">
        <f t="shared" si="4"/>
        <v>0</v>
      </c>
      <c r="BF25" s="114">
        <f t="shared" si="5"/>
        <v>0</v>
      </c>
      <c r="BG25" s="114">
        <f t="shared" si="6"/>
        <v>0</v>
      </c>
      <c r="BH25" s="114">
        <f t="shared" si="7"/>
        <v>0</v>
      </c>
      <c r="BI25" s="114">
        <f t="shared" si="8"/>
        <v>0</v>
      </c>
      <c r="BJ25" s="114">
        <f t="shared" si="9"/>
        <v>0</v>
      </c>
      <c r="BK25" s="99">
        <f t="shared" si="10"/>
        <v>0</v>
      </c>
      <c r="BL25" s="99">
        <f t="shared" si="11"/>
        <v>0</v>
      </c>
      <c r="BM25" s="99">
        <f t="shared" si="12"/>
        <v>0</v>
      </c>
      <c r="BN25" s="99">
        <f t="shared" si="13"/>
        <v>0</v>
      </c>
      <c r="BO25" s="111">
        <f t="shared" si="14"/>
        <v>0</v>
      </c>
    </row>
    <row r="26" spans="2:67" ht="22.5" customHeight="1">
      <c r="B26" s="112">
        <v>24</v>
      </c>
      <c r="C26" s="133"/>
      <c r="D26" s="114"/>
      <c r="E26" s="114"/>
      <c r="F26" s="115"/>
      <c r="G26" s="116"/>
      <c r="H26" s="131"/>
      <c r="M26" s="292" t="s">
        <v>278</v>
      </c>
      <c r="N26" s="293"/>
      <c r="O26" s="293"/>
      <c r="P26" s="293"/>
      <c r="Q26" s="293"/>
      <c r="R26" s="293"/>
      <c r="S26" s="293"/>
      <c r="T26" s="293"/>
      <c r="U26" s="293"/>
      <c r="V26" s="294"/>
      <c r="W26" s="295" t="str">
        <f>IF(BF$68&gt;0, BF$68 &amp;"명 필요","만족")</f>
        <v>만족</v>
      </c>
      <c r="X26" s="296"/>
      <c r="Y26" s="296"/>
      <c r="Z26" s="296"/>
      <c r="AA26" s="296"/>
      <c r="AB26" s="296"/>
      <c r="AC26" s="296"/>
      <c r="AD26" s="296"/>
      <c r="AE26" s="296"/>
      <c r="AF26" s="296"/>
      <c r="AG26" s="297"/>
      <c r="AJ26" s="82" t="str">
        <f t="shared" si="15"/>
        <v/>
      </c>
      <c r="BA26" s="123">
        <f t="shared" si="0"/>
        <v>0</v>
      </c>
      <c r="BB26" s="114">
        <f t="shared" si="1"/>
        <v>0</v>
      </c>
      <c r="BC26" s="114">
        <f t="shared" si="2"/>
        <v>0</v>
      </c>
      <c r="BD26" s="114">
        <f t="shared" si="3"/>
        <v>0</v>
      </c>
      <c r="BE26" s="114">
        <f t="shared" si="4"/>
        <v>0</v>
      </c>
      <c r="BF26" s="114">
        <f t="shared" si="5"/>
        <v>0</v>
      </c>
      <c r="BG26" s="114">
        <f t="shared" si="6"/>
        <v>0</v>
      </c>
      <c r="BH26" s="114">
        <f t="shared" si="7"/>
        <v>0</v>
      </c>
      <c r="BI26" s="114">
        <f t="shared" si="8"/>
        <v>0</v>
      </c>
      <c r="BJ26" s="114">
        <f t="shared" si="9"/>
        <v>0</v>
      </c>
      <c r="BK26" s="99">
        <f t="shared" si="10"/>
        <v>0</v>
      </c>
      <c r="BL26" s="99">
        <f t="shared" si="11"/>
        <v>0</v>
      </c>
      <c r="BM26" s="99">
        <f t="shared" si="12"/>
        <v>0</v>
      </c>
      <c r="BN26" s="99">
        <f t="shared" si="13"/>
        <v>0</v>
      </c>
      <c r="BO26" s="111">
        <f t="shared" si="14"/>
        <v>0</v>
      </c>
    </row>
    <row r="27" spans="2:67" ht="22.5" customHeight="1">
      <c r="B27" s="112">
        <v>25</v>
      </c>
      <c r="C27" s="133"/>
      <c r="D27" s="114"/>
      <c r="E27" s="114"/>
      <c r="F27" s="114"/>
      <c r="G27" s="116"/>
      <c r="H27" s="131"/>
      <c r="M27" s="292" t="s">
        <v>279</v>
      </c>
      <c r="N27" s="293"/>
      <c r="O27" s="293"/>
      <c r="P27" s="293"/>
      <c r="Q27" s="293"/>
      <c r="R27" s="293"/>
      <c r="S27" s="293"/>
      <c r="T27" s="293"/>
      <c r="U27" s="293"/>
      <c r="V27" s="294"/>
      <c r="W27" s="295" t="str">
        <f>IF(BG$68&gt;0, BG$68 &amp;"명 필요","만족")</f>
        <v>만족</v>
      </c>
      <c r="X27" s="296"/>
      <c r="Y27" s="296"/>
      <c r="Z27" s="296"/>
      <c r="AA27" s="296"/>
      <c r="AB27" s="296"/>
      <c r="AC27" s="296"/>
      <c r="AD27" s="296"/>
      <c r="AE27" s="296"/>
      <c r="AF27" s="296"/>
      <c r="AG27" s="297"/>
      <c r="AJ27" s="82" t="str">
        <f t="shared" si="15"/>
        <v/>
      </c>
      <c r="BA27" s="123">
        <f t="shared" si="0"/>
        <v>0</v>
      </c>
      <c r="BB27" s="114">
        <f t="shared" si="1"/>
        <v>0</v>
      </c>
      <c r="BC27" s="114">
        <f t="shared" si="2"/>
        <v>0</v>
      </c>
      <c r="BD27" s="114">
        <f t="shared" si="3"/>
        <v>0</v>
      </c>
      <c r="BE27" s="114">
        <f t="shared" si="4"/>
        <v>0</v>
      </c>
      <c r="BF27" s="114">
        <f t="shared" si="5"/>
        <v>0</v>
      </c>
      <c r="BG27" s="114">
        <f t="shared" si="6"/>
        <v>0</v>
      </c>
      <c r="BH27" s="114">
        <f t="shared" si="7"/>
        <v>0</v>
      </c>
      <c r="BI27" s="114">
        <f t="shared" si="8"/>
        <v>0</v>
      </c>
      <c r="BJ27" s="114">
        <f t="shared" si="9"/>
        <v>0</v>
      </c>
      <c r="BK27" s="99">
        <f t="shared" si="10"/>
        <v>0</v>
      </c>
      <c r="BL27" s="99">
        <f t="shared" si="11"/>
        <v>0</v>
      </c>
      <c r="BM27" s="99">
        <f t="shared" si="12"/>
        <v>0</v>
      </c>
      <c r="BN27" s="99">
        <f t="shared" si="13"/>
        <v>0</v>
      </c>
      <c r="BO27" s="111">
        <f t="shared" si="14"/>
        <v>0</v>
      </c>
    </row>
    <row r="28" spans="2:67" ht="22.5" customHeight="1">
      <c r="B28" s="112">
        <v>26</v>
      </c>
      <c r="C28" s="133"/>
      <c r="D28" s="114"/>
      <c r="E28" s="114"/>
      <c r="F28" s="114"/>
      <c r="G28" s="132"/>
      <c r="H28" s="131"/>
      <c r="M28" s="292" t="s">
        <v>280</v>
      </c>
      <c r="N28" s="293"/>
      <c r="O28" s="293"/>
      <c r="P28" s="293"/>
      <c r="Q28" s="293"/>
      <c r="R28" s="293"/>
      <c r="S28" s="293"/>
      <c r="T28" s="293"/>
      <c r="U28" s="293"/>
      <c r="V28" s="294"/>
      <c r="W28" s="295" t="str">
        <f>IF(BH$68&gt;0, BH$68 &amp;"명 필요","만족")</f>
        <v>만족</v>
      </c>
      <c r="X28" s="296"/>
      <c r="Y28" s="296"/>
      <c r="Z28" s="296"/>
      <c r="AA28" s="296"/>
      <c r="AB28" s="296"/>
      <c r="AC28" s="296"/>
      <c r="AD28" s="296"/>
      <c r="AE28" s="296"/>
      <c r="AF28" s="296"/>
      <c r="AG28" s="297"/>
      <c r="AJ28" s="82" t="str">
        <f t="shared" si="15"/>
        <v/>
      </c>
      <c r="BA28" s="123">
        <f t="shared" si="0"/>
        <v>0</v>
      </c>
      <c r="BB28" s="114">
        <f t="shared" si="1"/>
        <v>0</v>
      </c>
      <c r="BC28" s="114">
        <f t="shared" si="2"/>
        <v>0</v>
      </c>
      <c r="BD28" s="114">
        <f t="shared" si="3"/>
        <v>0</v>
      </c>
      <c r="BE28" s="114">
        <f t="shared" si="4"/>
        <v>0</v>
      </c>
      <c r="BF28" s="114">
        <f t="shared" si="5"/>
        <v>0</v>
      </c>
      <c r="BG28" s="114">
        <f t="shared" si="6"/>
        <v>0</v>
      </c>
      <c r="BH28" s="114">
        <f t="shared" si="7"/>
        <v>0</v>
      </c>
      <c r="BI28" s="114">
        <f t="shared" si="8"/>
        <v>0</v>
      </c>
      <c r="BJ28" s="114">
        <f t="shared" si="9"/>
        <v>0</v>
      </c>
      <c r="BK28" s="99">
        <f t="shared" si="10"/>
        <v>0</v>
      </c>
      <c r="BL28" s="99">
        <f t="shared" si="11"/>
        <v>0</v>
      </c>
      <c r="BM28" s="99">
        <f t="shared" si="12"/>
        <v>0</v>
      </c>
      <c r="BN28" s="99">
        <f t="shared" si="13"/>
        <v>0</v>
      </c>
      <c r="BO28" s="111">
        <f t="shared" si="14"/>
        <v>0</v>
      </c>
    </row>
    <row r="29" spans="2:67" ht="22.5" customHeight="1">
      <c r="B29" s="112">
        <v>27</v>
      </c>
      <c r="C29" s="133"/>
      <c r="D29" s="114"/>
      <c r="E29" s="114"/>
      <c r="F29" s="114"/>
      <c r="G29" s="132"/>
      <c r="H29" s="131"/>
      <c r="M29" s="292" t="s">
        <v>281</v>
      </c>
      <c r="N29" s="293"/>
      <c r="O29" s="293"/>
      <c r="P29" s="293"/>
      <c r="Q29" s="293"/>
      <c r="R29" s="293"/>
      <c r="S29" s="293"/>
      <c r="T29" s="293"/>
      <c r="U29" s="293"/>
      <c r="V29" s="294"/>
      <c r="W29" s="295" t="str">
        <f>IF(BI$68&gt;0, BI$68 &amp;"명 필요","만족")</f>
        <v>만족</v>
      </c>
      <c r="X29" s="296"/>
      <c r="Y29" s="296"/>
      <c r="Z29" s="296"/>
      <c r="AA29" s="296"/>
      <c r="AB29" s="296"/>
      <c r="AC29" s="296"/>
      <c r="AD29" s="296"/>
      <c r="AE29" s="296"/>
      <c r="AF29" s="296"/>
      <c r="AG29" s="297"/>
      <c r="BA29" s="123">
        <f t="shared" si="0"/>
        <v>0</v>
      </c>
      <c r="BB29" s="114">
        <f t="shared" si="1"/>
        <v>0</v>
      </c>
      <c r="BC29" s="114">
        <f t="shared" si="2"/>
        <v>0</v>
      </c>
      <c r="BD29" s="114">
        <f t="shared" si="3"/>
        <v>0</v>
      </c>
      <c r="BE29" s="114">
        <f t="shared" si="4"/>
        <v>0</v>
      </c>
      <c r="BF29" s="114">
        <f t="shared" si="5"/>
        <v>0</v>
      </c>
      <c r="BG29" s="114">
        <f t="shared" si="6"/>
        <v>0</v>
      </c>
      <c r="BH29" s="114">
        <f t="shared" si="7"/>
        <v>0</v>
      </c>
      <c r="BI29" s="114">
        <f t="shared" si="8"/>
        <v>0</v>
      </c>
      <c r="BJ29" s="114">
        <f t="shared" si="9"/>
        <v>0</v>
      </c>
      <c r="BK29" s="99">
        <f t="shared" si="10"/>
        <v>0</v>
      </c>
      <c r="BL29" s="99">
        <f t="shared" si="11"/>
        <v>0</v>
      </c>
      <c r="BM29" s="99">
        <f t="shared" si="12"/>
        <v>0</v>
      </c>
      <c r="BN29" s="99">
        <f t="shared" si="13"/>
        <v>0</v>
      </c>
      <c r="BO29" s="111">
        <f t="shared" si="14"/>
        <v>0</v>
      </c>
    </row>
    <row r="30" spans="2:67" ht="22.5" customHeight="1">
      <c r="B30" s="112">
        <v>28</v>
      </c>
      <c r="C30" s="133"/>
      <c r="D30" s="114"/>
      <c r="E30" s="114"/>
      <c r="F30" s="114"/>
      <c r="G30" s="132"/>
      <c r="H30" s="131"/>
      <c r="M30" s="292" t="s">
        <v>282</v>
      </c>
      <c r="N30" s="293"/>
      <c r="O30" s="293"/>
      <c r="P30" s="293"/>
      <c r="Q30" s="293"/>
      <c r="R30" s="293"/>
      <c r="S30" s="293"/>
      <c r="T30" s="293"/>
      <c r="U30" s="293"/>
      <c r="V30" s="294"/>
      <c r="W30" s="295" t="str">
        <f>IF(BJ$68&gt;0, BJ$68 &amp;"명 필요","만족")</f>
        <v>만족</v>
      </c>
      <c r="X30" s="296"/>
      <c r="Y30" s="296"/>
      <c r="Z30" s="296"/>
      <c r="AA30" s="296"/>
      <c r="AB30" s="296"/>
      <c r="AC30" s="296"/>
      <c r="AD30" s="296"/>
      <c r="AE30" s="296"/>
      <c r="AF30" s="296"/>
      <c r="AG30" s="297"/>
      <c r="BA30" s="123">
        <f t="shared" si="0"/>
        <v>0</v>
      </c>
      <c r="BB30" s="114">
        <f t="shared" si="1"/>
        <v>0</v>
      </c>
      <c r="BC30" s="114">
        <f t="shared" si="2"/>
        <v>0</v>
      </c>
      <c r="BD30" s="114">
        <f t="shared" si="3"/>
        <v>0</v>
      </c>
      <c r="BE30" s="114">
        <f t="shared" si="4"/>
        <v>0</v>
      </c>
      <c r="BF30" s="114">
        <f t="shared" si="5"/>
        <v>0</v>
      </c>
      <c r="BG30" s="114">
        <f t="shared" si="6"/>
        <v>0</v>
      </c>
      <c r="BH30" s="114">
        <f t="shared" si="7"/>
        <v>0</v>
      </c>
      <c r="BI30" s="114">
        <f t="shared" si="8"/>
        <v>0</v>
      </c>
      <c r="BJ30" s="114">
        <f t="shared" si="9"/>
        <v>0</v>
      </c>
      <c r="BK30" s="99">
        <f t="shared" si="10"/>
        <v>0</v>
      </c>
      <c r="BL30" s="99">
        <f t="shared" si="11"/>
        <v>0</v>
      </c>
      <c r="BM30" s="99">
        <f t="shared" si="12"/>
        <v>0</v>
      </c>
      <c r="BN30" s="99">
        <f t="shared" si="13"/>
        <v>0</v>
      </c>
      <c r="BO30" s="111">
        <f t="shared" si="14"/>
        <v>0</v>
      </c>
    </row>
    <row r="31" spans="2:67" ht="22.5" customHeight="1">
      <c r="B31" s="112">
        <v>29</v>
      </c>
      <c r="C31" s="133"/>
      <c r="D31" s="114"/>
      <c r="E31" s="114"/>
      <c r="F31" s="114"/>
      <c r="G31" s="132"/>
      <c r="H31" s="131"/>
      <c r="M31" s="292" t="s">
        <v>283</v>
      </c>
      <c r="N31" s="293"/>
      <c r="O31" s="293"/>
      <c r="P31" s="293"/>
      <c r="Q31" s="293"/>
      <c r="R31" s="293"/>
      <c r="S31" s="293"/>
      <c r="T31" s="293"/>
      <c r="U31" s="293"/>
      <c r="V31" s="294"/>
      <c r="W31" s="295" t="str">
        <f>IF(BK$68&gt;0, BK$68 &amp;"명 필요","만족")</f>
        <v>만족</v>
      </c>
      <c r="X31" s="296"/>
      <c r="Y31" s="296"/>
      <c r="Z31" s="296"/>
      <c r="AA31" s="296"/>
      <c r="AB31" s="296"/>
      <c r="AC31" s="296"/>
      <c r="AD31" s="296"/>
      <c r="AE31" s="296"/>
      <c r="AF31" s="296"/>
      <c r="AG31" s="297"/>
      <c r="BA31" s="123">
        <f t="shared" si="0"/>
        <v>0</v>
      </c>
      <c r="BB31" s="114">
        <f t="shared" si="1"/>
        <v>0</v>
      </c>
      <c r="BC31" s="114">
        <f t="shared" si="2"/>
        <v>0</v>
      </c>
      <c r="BD31" s="114">
        <f t="shared" si="3"/>
        <v>0</v>
      </c>
      <c r="BE31" s="114">
        <f t="shared" si="4"/>
        <v>0</v>
      </c>
      <c r="BF31" s="114">
        <f t="shared" si="5"/>
        <v>0</v>
      </c>
      <c r="BG31" s="114">
        <f t="shared" si="6"/>
        <v>0</v>
      </c>
      <c r="BH31" s="114">
        <f t="shared" si="7"/>
        <v>0</v>
      </c>
      <c r="BI31" s="114">
        <f t="shared" si="8"/>
        <v>0</v>
      </c>
      <c r="BJ31" s="114">
        <f t="shared" si="9"/>
        <v>0</v>
      </c>
      <c r="BK31" s="99">
        <f t="shared" si="10"/>
        <v>0</v>
      </c>
      <c r="BL31" s="99">
        <f t="shared" si="11"/>
        <v>0</v>
      </c>
      <c r="BM31" s="99">
        <f t="shared" si="12"/>
        <v>0</v>
      </c>
      <c r="BN31" s="99">
        <f t="shared" si="13"/>
        <v>0</v>
      </c>
      <c r="BO31" s="111">
        <f t="shared" si="14"/>
        <v>0</v>
      </c>
    </row>
    <row r="32" spans="2:67" ht="22.5" customHeight="1">
      <c r="B32" s="112">
        <v>30</v>
      </c>
      <c r="C32" s="133"/>
      <c r="D32" s="114"/>
      <c r="E32" s="114"/>
      <c r="F32" s="114"/>
      <c r="G32" s="132"/>
      <c r="H32" s="131"/>
      <c r="M32" s="292" t="s">
        <v>284</v>
      </c>
      <c r="N32" s="293"/>
      <c r="O32" s="293"/>
      <c r="P32" s="293"/>
      <c r="Q32" s="293"/>
      <c r="R32" s="293"/>
      <c r="S32" s="293"/>
      <c r="T32" s="293"/>
      <c r="U32" s="293"/>
      <c r="V32" s="294"/>
      <c r="W32" s="295" t="str">
        <f>IF(BL$68&gt;0, BL$68 &amp;"명 필요","만족")</f>
        <v>만족</v>
      </c>
      <c r="X32" s="296"/>
      <c r="Y32" s="296"/>
      <c r="Z32" s="296"/>
      <c r="AA32" s="296"/>
      <c r="AB32" s="296"/>
      <c r="AC32" s="296"/>
      <c r="AD32" s="296"/>
      <c r="AE32" s="296"/>
      <c r="AF32" s="296"/>
      <c r="AG32" s="297"/>
      <c r="BA32" s="123">
        <f t="shared" si="0"/>
        <v>0</v>
      </c>
      <c r="BB32" s="114">
        <f t="shared" si="1"/>
        <v>0</v>
      </c>
      <c r="BC32" s="114">
        <f t="shared" si="2"/>
        <v>0</v>
      </c>
      <c r="BD32" s="114">
        <f t="shared" si="3"/>
        <v>0</v>
      </c>
      <c r="BE32" s="114">
        <f t="shared" si="4"/>
        <v>0</v>
      </c>
      <c r="BF32" s="114">
        <f t="shared" si="5"/>
        <v>0</v>
      </c>
      <c r="BG32" s="114">
        <f t="shared" si="6"/>
        <v>0</v>
      </c>
      <c r="BH32" s="114">
        <f t="shared" si="7"/>
        <v>0</v>
      </c>
      <c r="BI32" s="114">
        <f t="shared" si="8"/>
        <v>0</v>
      </c>
      <c r="BJ32" s="114">
        <f t="shared" si="9"/>
        <v>0</v>
      </c>
      <c r="BK32" s="99">
        <f t="shared" si="10"/>
        <v>0</v>
      </c>
      <c r="BL32" s="99">
        <f t="shared" si="11"/>
        <v>0</v>
      </c>
      <c r="BM32" s="99">
        <f t="shared" si="12"/>
        <v>0</v>
      </c>
      <c r="BN32" s="99">
        <f t="shared" si="13"/>
        <v>0</v>
      </c>
      <c r="BO32" s="111">
        <f t="shared" si="14"/>
        <v>0</v>
      </c>
    </row>
    <row r="33" spans="2:67" ht="22.5" customHeight="1">
      <c r="B33" s="112">
        <v>31</v>
      </c>
      <c r="C33" s="133"/>
      <c r="D33" s="114"/>
      <c r="E33" s="114"/>
      <c r="F33" s="114"/>
      <c r="G33" s="132"/>
      <c r="H33" s="131"/>
      <c r="M33" s="292" t="s">
        <v>285</v>
      </c>
      <c r="N33" s="293"/>
      <c r="O33" s="293"/>
      <c r="P33" s="293"/>
      <c r="Q33" s="293"/>
      <c r="R33" s="293"/>
      <c r="S33" s="293"/>
      <c r="T33" s="293"/>
      <c r="U33" s="293"/>
      <c r="V33" s="294"/>
      <c r="W33" s="295" t="str">
        <f>IF(BM$68&gt;0, BM$68 &amp;"명 필요","만족")</f>
        <v>만족</v>
      </c>
      <c r="X33" s="296"/>
      <c r="Y33" s="296"/>
      <c r="Z33" s="296"/>
      <c r="AA33" s="296"/>
      <c r="AB33" s="296"/>
      <c r="AC33" s="296"/>
      <c r="AD33" s="296"/>
      <c r="AE33" s="296"/>
      <c r="AF33" s="296"/>
      <c r="AG33" s="297"/>
      <c r="BA33" s="123">
        <f t="shared" si="0"/>
        <v>0</v>
      </c>
      <c r="BB33" s="114">
        <f t="shared" si="1"/>
        <v>0</v>
      </c>
      <c r="BC33" s="114">
        <f t="shared" si="2"/>
        <v>0</v>
      </c>
      <c r="BD33" s="114">
        <f t="shared" si="3"/>
        <v>0</v>
      </c>
      <c r="BE33" s="114">
        <f t="shared" si="4"/>
        <v>0</v>
      </c>
      <c r="BF33" s="114">
        <f t="shared" si="5"/>
        <v>0</v>
      </c>
      <c r="BG33" s="114">
        <f t="shared" si="6"/>
        <v>0</v>
      </c>
      <c r="BH33" s="114">
        <f t="shared" si="7"/>
        <v>0</v>
      </c>
      <c r="BI33" s="114">
        <f t="shared" si="8"/>
        <v>0</v>
      </c>
      <c r="BJ33" s="114">
        <f t="shared" si="9"/>
        <v>0</v>
      </c>
      <c r="BK33" s="99">
        <f t="shared" si="10"/>
        <v>0</v>
      </c>
      <c r="BL33" s="99">
        <f t="shared" si="11"/>
        <v>0</v>
      </c>
      <c r="BM33" s="99">
        <f t="shared" si="12"/>
        <v>0</v>
      </c>
      <c r="BN33" s="99">
        <f t="shared" si="13"/>
        <v>0</v>
      </c>
      <c r="BO33" s="111">
        <f t="shared" si="14"/>
        <v>0</v>
      </c>
    </row>
    <row r="34" spans="2:67" ht="22.5" customHeight="1">
      <c r="B34" s="112">
        <v>32</v>
      </c>
      <c r="C34" s="133"/>
      <c r="D34" s="114"/>
      <c r="E34" s="114"/>
      <c r="F34" s="114"/>
      <c r="G34" s="132"/>
      <c r="H34" s="131"/>
      <c r="M34" s="292" t="s">
        <v>286</v>
      </c>
      <c r="N34" s="293"/>
      <c r="O34" s="293"/>
      <c r="P34" s="293"/>
      <c r="Q34" s="293"/>
      <c r="R34" s="293"/>
      <c r="S34" s="293"/>
      <c r="T34" s="293"/>
      <c r="U34" s="293"/>
      <c r="V34" s="294"/>
      <c r="W34" s="295" t="str">
        <f>IF(BN$68&gt;0, BN$68 &amp;"명 필요","만족")</f>
        <v>만족</v>
      </c>
      <c r="X34" s="296"/>
      <c r="Y34" s="296"/>
      <c r="Z34" s="296"/>
      <c r="AA34" s="296"/>
      <c r="AB34" s="296"/>
      <c r="AC34" s="296"/>
      <c r="AD34" s="296"/>
      <c r="AE34" s="296"/>
      <c r="AF34" s="296"/>
      <c r="AG34" s="297"/>
      <c r="BA34" s="123">
        <f t="shared" si="0"/>
        <v>0</v>
      </c>
      <c r="BB34" s="114">
        <f t="shared" si="1"/>
        <v>0</v>
      </c>
      <c r="BC34" s="114">
        <f t="shared" si="2"/>
        <v>0</v>
      </c>
      <c r="BD34" s="114">
        <f t="shared" si="3"/>
        <v>0</v>
      </c>
      <c r="BE34" s="114">
        <f t="shared" si="4"/>
        <v>0</v>
      </c>
      <c r="BF34" s="114">
        <f t="shared" si="5"/>
        <v>0</v>
      </c>
      <c r="BG34" s="114">
        <f t="shared" si="6"/>
        <v>0</v>
      </c>
      <c r="BH34" s="114">
        <f t="shared" si="7"/>
        <v>0</v>
      </c>
      <c r="BI34" s="114">
        <f t="shared" si="8"/>
        <v>0</v>
      </c>
      <c r="BJ34" s="114">
        <f t="shared" si="9"/>
        <v>0</v>
      </c>
      <c r="BK34" s="99">
        <f t="shared" si="10"/>
        <v>0</v>
      </c>
      <c r="BL34" s="99">
        <f t="shared" si="11"/>
        <v>0</v>
      </c>
      <c r="BM34" s="99">
        <f t="shared" si="12"/>
        <v>0</v>
      </c>
      <c r="BN34" s="99">
        <f t="shared" si="13"/>
        <v>0</v>
      </c>
      <c r="BO34" s="111">
        <f t="shared" si="14"/>
        <v>0</v>
      </c>
    </row>
    <row r="35" spans="2:67" ht="22.5" customHeight="1" thickBot="1">
      <c r="B35" s="112">
        <v>33</v>
      </c>
      <c r="C35" s="133"/>
      <c r="D35" s="99"/>
      <c r="E35" s="100"/>
      <c r="F35" s="100"/>
      <c r="G35" s="101"/>
      <c r="H35" s="131"/>
      <c r="M35" s="286" t="s">
        <v>287</v>
      </c>
      <c r="N35" s="287"/>
      <c r="O35" s="287"/>
      <c r="P35" s="287"/>
      <c r="Q35" s="287"/>
      <c r="R35" s="287"/>
      <c r="S35" s="287"/>
      <c r="T35" s="287"/>
      <c r="U35" s="287"/>
      <c r="V35" s="288"/>
      <c r="W35" s="289" t="str">
        <f>IF(BO$68&gt;0, BO$68 &amp;"명 필요","만족")</f>
        <v>만족</v>
      </c>
      <c r="X35" s="290"/>
      <c r="Y35" s="290"/>
      <c r="Z35" s="290"/>
      <c r="AA35" s="290"/>
      <c r="AB35" s="290"/>
      <c r="AC35" s="290"/>
      <c r="AD35" s="290"/>
      <c r="AE35" s="290"/>
      <c r="AF35" s="290"/>
      <c r="AG35" s="291"/>
      <c r="BA35" s="123">
        <f t="shared" ref="BA35:BA66" si="17">IF(D35="O",1,0)</f>
        <v>0</v>
      </c>
      <c r="BB35" s="114">
        <f t="shared" ref="BB35:BB66" si="18">IF(E35="O",1,0)</f>
        <v>0</v>
      </c>
      <c r="BC35" s="114">
        <f t="shared" ref="BC35:BC66" si="19">IF(F35="O",1,0)</f>
        <v>0</v>
      </c>
      <c r="BD35" s="114">
        <f t="shared" ref="BD35:BD66" si="20">IF(G35="O",1,0)</f>
        <v>0</v>
      </c>
      <c r="BE35" s="114">
        <f t="shared" ref="BE35:BE66" si="21">IF(OR(D35="O",E35="O"),1,0)</f>
        <v>0</v>
      </c>
      <c r="BF35" s="114">
        <f t="shared" ref="BF35:BF66" si="22">IF(OR(D35="O",F35="O"),1,0)</f>
        <v>0</v>
      </c>
      <c r="BG35" s="114">
        <f t="shared" ref="BG35:BG66" si="23">IF(OR(D35="O",G35="O"),1,0)</f>
        <v>0</v>
      </c>
      <c r="BH35" s="114">
        <f t="shared" ref="BH35:BH66" si="24">IF(OR(E35="O",F35="O"),1,0)</f>
        <v>0</v>
      </c>
      <c r="BI35" s="114">
        <f t="shared" ref="BI35:BI66" si="25">IF(OR(E35="O",G35="O"),1,0)</f>
        <v>0</v>
      </c>
      <c r="BJ35" s="114">
        <f t="shared" ref="BJ35:BJ66" si="26">IF(OR(F35="O",G35="O"),1,0)</f>
        <v>0</v>
      </c>
      <c r="BK35" s="99">
        <f t="shared" ref="BK35:BK66" si="27">IF(OR(D35="O",E35="O",F35="O"),1,0)</f>
        <v>0</v>
      </c>
      <c r="BL35" s="99">
        <f t="shared" ref="BL35:BL66" si="28">IF(OR(D35="O",E35="O",G35="O"),1,0)</f>
        <v>0</v>
      </c>
      <c r="BM35" s="99">
        <f t="shared" ref="BM35:BM66" si="29">IF(OR(D35="O",F35="O",G35="O"),1,0)</f>
        <v>0</v>
      </c>
      <c r="BN35" s="99">
        <f t="shared" ref="BN35:BN66" si="30">IF(OR(E35="O",F35="O",G35="O"),1,0)</f>
        <v>0</v>
      </c>
      <c r="BO35" s="111">
        <f t="shared" ref="BO35:BO66" si="31">IF(OR(D35="O",E35="O",F35="O",G35="O"),1,0)</f>
        <v>0</v>
      </c>
    </row>
    <row r="36" spans="2:67" ht="22.5" customHeight="1">
      <c r="B36" s="112">
        <v>34</v>
      </c>
      <c r="C36" s="133"/>
      <c r="D36" s="114"/>
      <c r="E36" s="115"/>
      <c r="F36" s="115"/>
      <c r="G36" s="116"/>
      <c r="H36" s="131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  <c r="AA36" s="140"/>
      <c r="AB36" s="140"/>
      <c r="AC36" s="140"/>
      <c r="AD36" s="140"/>
      <c r="AE36" s="140"/>
      <c r="AF36" s="140"/>
      <c r="AG36" s="140"/>
      <c r="BA36" s="123">
        <f t="shared" si="17"/>
        <v>0</v>
      </c>
      <c r="BB36" s="114">
        <f t="shared" si="18"/>
        <v>0</v>
      </c>
      <c r="BC36" s="114">
        <f t="shared" si="19"/>
        <v>0</v>
      </c>
      <c r="BD36" s="114">
        <f t="shared" si="20"/>
        <v>0</v>
      </c>
      <c r="BE36" s="114">
        <f t="shared" si="21"/>
        <v>0</v>
      </c>
      <c r="BF36" s="114">
        <f t="shared" si="22"/>
        <v>0</v>
      </c>
      <c r="BG36" s="114">
        <f t="shared" si="23"/>
        <v>0</v>
      </c>
      <c r="BH36" s="114">
        <f t="shared" si="24"/>
        <v>0</v>
      </c>
      <c r="BI36" s="114">
        <f t="shared" si="25"/>
        <v>0</v>
      </c>
      <c r="BJ36" s="114">
        <f t="shared" si="26"/>
        <v>0</v>
      </c>
      <c r="BK36" s="99">
        <f t="shared" si="27"/>
        <v>0</v>
      </c>
      <c r="BL36" s="99">
        <f t="shared" si="28"/>
        <v>0</v>
      </c>
      <c r="BM36" s="99">
        <f t="shared" si="29"/>
        <v>0</v>
      </c>
      <c r="BN36" s="99">
        <f t="shared" si="30"/>
        <v>0</v>
      </c>
      <c r="BO36" s="111">
        <f t="shared" si="31"/>
        <v>0</v>
      </c>
    </row>
    <row r="37" spans="2:67" ht="22.5" customHeight="1">
      <c r="B37" s="112">
        <v>35</v>
      </c>
      <c r="C37" s="133"/>
      <c r="D37" s="114"/>
      <c r="E37" s="115"/>
      <c r="F37" s="115"/>
      <c r="G37" s="116"/>
      <c r="H37" s="131"/>
      <c r="M37" s="141" t="s">
        <v>418</v>
      </c>
      <c r="N37" s="141"/>
      <c r="O37" s="141"/>
      <c r="P37" s="141"/>
      <c r="Q37" s="141"/>
      <c r="R37" s="141" t="s">
        <v>419</v>
      </c>
      <c r="S37" s="141"/>
      <c r="T37" s="141"/>
      <c r="U37" s="141"/>
      <c r="V37" s="141"/>
      <c r="W37" s="141"/>
      <c r="X37" s="141"/>
      <c r="Y37" s="141"/>
      <c r="Z37" s="141" t="s">
        <v>420</v>
      </c>
      <c r="AA37" s="141"/>
      <c r="AB37" s="141"/>
      <c r="AC37" s="141"/>
      <c r="AD37" s="141"/>
      <c r="AE37" s="141"/>
      <c r="AF37" s="141"/>
      <c r="AG37" s="141"/>
      <c r="BA37" s="123">
        <f t="shared" si="17"/>
        <v>0</v>
      </c>
      <c r="BB37" s="114">
        <f t="shared" si="18"/>
        <v>0</v>
      </c>
      <c r="BC37" s="114">
        <f t="shared" si="19"/>
        <v>0</v>
      </c>
      <c r="BD37" s="114">
        <f t="shared" si="20"/>
        <v>0</v>
      </c>
      <c r="BE37" s="114">
        <f t="shared" si="21"/>
        <v>0</v>
      </c>
      <c r="BF37" s="114">
        <f t="shared" si="22"/>
        <v>0</v>
      </c>
      <c r="BG37" s="114">
        <f t="shared" si="23"/>
        <v>0</v>
      </c>
      <c r="BH37" s="114">
        <f t="shared" si="24"/>
        <v>0</v>
      </c>
      <c r="BI37" s="114">
        <f t="shared" si="25"/>
        <v>0</v>
      </c>
      <c r="BJ37" s="114">
        <f t="shared" si="26"/>
        <v>0</v>
      </c>
      <c r="BK37" s="99">
        <f t="shared" si="27"/>
        <v>0</v>
      </c>
      <c r="BL37" s="99">
        <f t="shared" si="28"/>
        <v>0</v>
      </c>
      <c r="BM37" s="99">
        <f t="shared" si="29"/>
        <v>0</v>
      </c>
      <c r="BN37" s="99">
        <f t="shared" si="30"/>
        <v>0</v>
      </c>
      <c r="BO37" s="111">
        <f t="shared" si="31"/>
        <v>0</v>
      </c>
    </row>
    <row r="38" spans="2:67" ht="22.5" customHeight="1">
      <c r="B38" s="112">
        <v>36</v>
      </c>
      <c r="C38" s="133"/>
      <c r="D38" s="114"/>
      <c r="E38" s="114"/>
      <c r="F38" s="115"/>
      <c r="G38" s="116"/>
      <c r="H38" s="131"/>
      <c r="L38" s="258"/>
      <c r="M38" s="258"/>
      <c r="N38" s="257" t="s">
        <v>416</v>
      </c>
      <c r="O38" s="257" t="s">
        <v>415</v>
      </c>
      <c r="P38" s="141"/>
      <c r="Q38" s="141"/>
      <c r="R38" s="260" t="str">
        <f ca="1">$N$3</f>
        <v>반짝</v>
      </c>
      <c r="S38" s="260" t="str">
        <f ca="1">$S$3</f>
        <v>울프</v>
      </c>
      <c r="T38" s="260" t="str">
        <f ca="1">$X$3</f>
        <v>조네</v>
      </c>
      <c r="U38" s="260" t="str">
        <f ca="1">$AC$3</f>
        <v>넘버</v>
      </c>
      <c r="V38" s="141"/>
      <c r="W38" s="141" t="s">
        <v>421</v>
      </c>
      <c r="X38" s="141"/>
      <c r="Y38" s="141"/>
      <c r="Z38" s="260" t="str">
        <f ca="1">$N$4</f>
        <v>야로</v>
      </c>
      <c r="AA38" s="260" t="str">
        <f ca="1">$S$4</f>
        <v>민형</v>
      </c>
      <c r="AB38" s="260" t="str">
        <f ca="1">$X$4</f>
        <v>하리보</v>
      </c>
      <c r="AC38" s="260" t="str">
        <f ca="1">$AC$4</f>
        <v>살수</v>
      </c>
      <c r="AD38" s="141"/>
      <c r="AE38" s="141" t="s">
        <v>421</v>
      </c>
      <c r="AF38" s="141"/>
      <c r="AG38" s="141"/>
      <c r="BA38" s="123">
        <f t="shared" si="17"/>
        <v>0</v>
      </c>
      <c r="BB38" s="114">
        <f t="shared" si="18"/>
        <v>0</v>
      </c>
      <c r="BC38" s="114">
        <f t="shared" si="19"/>
        <v>0</v>
      </c>
      <c r="BD38" s="114">
        <f t="shared" si="20"/>
        <v>0</v>
      </c>
      <c r="BE38" s="114">
        <f t="shared" si="21"/>
        <v>0</v>
      </c>
      <c r="BF38" s="114">
        <f t="shared" si="22"/>
        <v>0</v>
      </c>
      <c r="BG38" s="114">
        <f t="shared" si="23"/>
        <v>0</v>
      </c>
      <c r="BH38" s="114">
        <f t="shared" si="24"/>
        <v>0</v>
      </c>
      <c r="BI38" s="114">
        <f t="shared" si="25"/>
        <v>0</v>
      </c>
      <c r="BJ38" s="114">
        <f t="shared" si="26"/>
        <v>0</v>
      </c>
      <c r="BK38" s="99">
        <f t="shared" si="27"/>
        <v>0</v>
      </c>
      <c r="BL38" s="99">
        <f t="shared" si="28"/>
        <v>0</v>
      </c>
      <c r="BM38" s="99">
        <f t="shared" si="29"/>
        <v>0</v>
      </c>
      <c r="BN38" s="99">
        <f t="shared" si="30"/>
        <v>0</v>
      </c>
      <c r="BO38" s="111">
        <f t="shared" si="31"/>
        <v>0</v>
      </c>
    </row>
    <row r="39" spans="2:67" ht="22.5" customHeight="1">
      <c r="B39" s="112">
        <v>37</v>
      </c>
      <c r="C39" s="133"/>
      <c r="D39" s="114"/>
      <c r="E39" s="114"/>
      <c r="F39" s="115"/>
      <c r="G39" s="116"/>
      <c r="H39" s="131"/>
      <c r="L39" s="114">
        <v>1</v>
      </c>
      <c r="M39" s="114" t="str">
        <f>C3</f>
        <v>넘버</v>
      </c>
      <c r="N39" s="257">
        <f>HLOOKUP(M39,조편성_MMR!$C$20:$AU$30,10,FALSE)</f>
        <v>0</v>
      </c>
      <c r="O39" s="114">
        <f>_xlfn.RANK.EQ(N39,$N$39:$N$46,1)</f>
        <v>1</v>
      </c>
      <c r="R39" s="83">
        <f ca="1">VLOOKUP($N$3,$M$39:$O$46,3,FALSE)</f>
        <v>1</v>
      </c>
      <c r="S39" s="83">
        <f ca="1">VLOOKUP($S$3,$M$39:$O$46,3,FALSE)</f>
        <v>1</v>
      </c>
      <c r="T39" s="83">
        <f ca="1">VLOOKUP($X$3,$M$39:$O$46,3,FALSE)</f>
        <v>1</v>
      </c>
      <c r="U39" s="83">
        <f ca="1">VLOOKUP($AC$3,$M$39:$O$46,3,FALSE)</f>
        <v>1</v>
      </c>
      <c r="W39" s="264">
        <f ca="1">(R39+S39+T39)+(R39*S39*T39)+(R39*S39*T39)</f>
        <v>5</v>
      </c>
      <c r="Z39" s="83">
        <f ca="1">VLOOKUP($N$4,$M$39:$O$46,3,FALSE)</f>
        <v>1</v>
      </c>
      <c r="AA39" s="83">
        <f ca="1">VLOOKUP($S$4,$M$39:$O$46,3,FALSE)</f>
        <v>1</v>
      </c>
      <c r="AB39" s="83">
        <f ca="1">VLOOKUP($X$4,$M$39:$O$46,3,FALSE)</f>
        <v>1</v>
      </c>
      <c r="AC39" s="83">
        <f ca="1">VLOOKUP($AC$4,$M$39:$O$46,3,FALSE)</f>
        <v>1</v>
      </c>
      <c r="AD39" s="83"/>
      <c r="AE39" s="264">
        <f ca="1">(Z39+AA39+AB39)+(Z39*AA39*AB39)+(Z39*AA39*AB39)</f>
        <v>5</v>
      </c>
      <c r="BA39" s="123">
        <f t="shared" si="17"/>
        <v>0</v>
      </c>
      <c r="BB39" s="114">
        <f t="shared" si="18"/>
        <v>0</v>
      </c>
      <c r="BC39" s="114">
        <f t="shared" si="19"/>
        <v>0</v>
      </c>
      <c r="BD39" s="114">
        <f t="shared" si="20"/>
        <v>0</v>
      </c>
      <c r="BE39" s="114">
        <f t="shared" si="21"/>
        <v>0</v>
      </c>
      <c r="BF39" s="114">
        <f t="shared" si="22"/>
        <v>0</v>
      </c>
      <c r="BG39" s="114">
        <f t="shared" si="23"/>
        <v>0</v>
      </c>
      <c r="BH39" s="114">
        <f t="shared" si="24"/>
        <v>0</v>
      </c>
      <c r="BI39" s="114">
        <f t="shared" si="25"/>
        <v>0</v>
      </c>
      <c r="BJ39" s="114">
        <f t="shared" si="26"/>
        <v>0</v>
      </c>
      <c r="BK39" s="99">
        <f t="shared" si="27"/>
        <v>0</v>
      </c>
      <c r="BL39" s="99">
        <f t="shared" si="28"/>
        <v>0</v>
      </c>
      <c r="BM39" s="99">
        <f t="shared" si="29"/>
        <v>0</v>
      </c>
      <c r="BN39" s="99">
        <f t="shared" si="30"/>
        <v>0</v>
      </c>
      <c r="BO39" s="111">
        <f t="shared" si="31"/>
        <v>0</v>
      </c>
    </row>
    <row r="40" spans="2:67" ht="22.5" customHeight="1">
      <c r="B40" s="112">
        <v>38</v>
      </c>
      <c r="C40" s="133"/>
      <c r="D40" s="114"/>
      <c r="E40" s="114"/>
      <c r="F40" s="114"/>
      <c r="G40" s="116"/>
      <c r="H40" s="131"/>
      <c r="L40" s="114">
        <v>2</v>
      </c>
      <c r="M40" s="114" t="str">
        <f t="shared" ref="M40:M46" si="32">C4</f>
        <v>살수</v>
      </c>
      <c r="N40" s="283">
        <f>HLOOKUP(M40,조편성_MMR!$C$20:$AU$30,10,FALSE)</f>
        <v>0</v>
      </c>
      <c r="O40" s="114">
        <f t="shared" ref="O40:O46" si="33">_xlfn.RANK.EQ(N40,$N$39:$N$46,1)</f>
        <v>1</v>
      </c>
      <c r="R40" s="83">
        <f ca="1">VLOOKUP($N$3,$M$39:$O$46,3,FALSE)</f>
        <v>1</v>
      </c>
      <c r="S40" s="83">
        <f ca="1">VLOOKUP($S$3,$M$39:$O$46,3,FALSE)</f>
        <v>1</v>
      </c>
      <c r="T40" s="83">
        <f ca="1">VLOOKUP($X$3,$M$39:$O$46,3,FALSE)</f>
        <v>1</v>
      </c>
      <c r="U40" s="83">
        <f ca="1">VLOOKUP($AC$3,$M$39:$O$46,3,FALSE)</f>
        <v>1</v>
      </c>
      <c r="W40" s="264">
        <f ca="1">(R40+S40+U40)+(R40*S40*U40)+(R40*S40*U40)</f>
        <v>5</v>
      </c>
      <c r="Z40" s="83">
        <f t="shared" ref="Z40:Z42" ca="1" si="34">VLOOKUP($N$4,$M$39:$O$46,3,FALSE)</f>
        <v>1</v>
      </c>
      <c r="AA40" s="83">
        <f t="shared" ref="AA40:AA42" ca="1" si="35">VLOOKUP($S$4,$M$39:$O$46,3,FALSE)</f>
        <v>1</v>
      </c>
      <c r="AB40" s="83">
        <f t="shared" ref="AB40:AB42" ca="1" si="36">VLOOKUP($X$4,$M$39:$O$46,3,FALSE)</f>
        <v>1</v>
      </c>
      <c r="AC40" s="83">
        <f t="shared" ref="AC40:AC42" ca="1" si="37">VLOOKUP($AC$4,$M$39:$O$46,3,FALSE)</f>
        <v>1</v>
      </c>
      <c r="AD40" s="83"/>
      <c r="AE40" s="264">
        <f ca="1">(Z40+AA40+AC40)+(Z40*AA40*AC40)+(Z40*AA40*AC40)</f>
        <v>5</v>
      </c>
      <c r="BA40" s="123">
        <f t="shared" si="17"/>
        <v>0</v>
      </c>
      <c r="BB40" s="114">
        <f t="shared" si="18"/>
        <v>0</v>
      </c>
      <c r="BC40" s="114">
        <f t="shared" si="19"/>
        <v>0</v>
      </c>
      <c r="BD40" s="114">
        <f t="shared" si="20"/>
        <v>0</v>
      </c>
      <c r="BE40" s="114">
        <f t="shared" si="21"/>
        <v>0</v>
      </c>
      <c r="BF40" s="114">
        <f t="shared" si="22"/>
        <v>0</v>
      </c>
      <c r="BG40" s="114">
        <f t="shared" si="23"/>
        <v>0</v>
      </c>
      <c r="BH40" s="114">
        <f t="shared" si="24"/>
        <v>0</v>
      </c>
      <c r="BI40" s="114">
        <f t="shared" si="25"/>
        <v>0</v>
      </c>
      <c r="BJ40" s="114">
        <f t="shared" si="26"/>
        <v>0</v>
      </c>
      <c r="BK40" s="99">
        <f t="shared" si="27"/>
        <v>0</v>
      </c>
      <c r="BL40" s="99">
        <f t="shared" si="28"/>
        <v>0</v>
      </c>
      <c r="BM40" s="99">
        <f t="shared" si="29"/>
        <v>0</v>
      </c>
      <c r="BN40" s="99">
        <f t="shared" si="30"/>
        <v>0</v>
      </c>
      <c r="BO40" s="111">
        <f t="shared" si="31"/>
        <v>0</v>
      </c>
    </row>
    <row r="41" spans="2:67" ht="22.5" customHeight="1">
      <c r="B41" s="112">
        <v>39</v>
      </c>
      <c r="C41" s="133"/>
      <c r="D41" s="114"/>
      <c r="E41" s="114"/>
      <c r="F41" s="115"/>
      <c r="G41" s="116"/>
      <c r="H41" s="131"/>
      <c r="L41" s="114">
        <v>3</v>
      </c>
      <c r="M41" s="114" t="str">
        <f t="shared" si="32"/>
        <v>야로</v>
      </c>
      <c r="N41" s="283">
        <f>HLOOKUP(M41,조편성_MMR!$C$20:$AU$30,10,FALSE)</f>
        <v>0</v>
      </c>
      <c r="O41" s="114">
        <f t="shared" si="33"/>
        <v>1</v>
      </c>
      <c r="R41" s="83">
        <f ca="1">VLOOKUP($N$3,$M$39:$O$46,3,FALSE)</f>
        <v>1</v>
      </c>
      <c r="S41" s="83">
        <f ca="1">VLOOKUP($S$3,$M$39:$O$46,3,FALSE)</f>
        <v>1</v>
      </c>
      <c r="T41" s="83">
        <f ca="1">VLOOKUP($X$3,$M$39:$O$46,3,FALSE)</f>
        <v>1</v>
      </c>
      <c r="U41" s="83">
        <f ca="1">VLOOKUP($AC$3,$M$39:$O$46,3,FALSE)</f>
        <v>1</v>
      </c>
      <c r="W41" s="264">
        <f ca="1">(S41+T41+U41)+(S41*T41*U41)+(S41*T41*U41)</f>
        <v>5</v>
      </c>
      <c r="Z41" s="83">
        <f t="shared" ca="1" si="34"/>
        <v>1</v>
      </c>
      <c r="AA41" s="83">
        <f t="shared" ca="1" si="35"/>
        <v>1</v>
      </c>
      <c r="AB41" s="83">
        <f t="shared" ca="1" si="36"/>
        <v>1</v>
      </c>
      <c r="AC41" s="83">
        <f t="shared" ca="1" si="37"/>
        <v>1</v>
      </c>
      <c r="AD41" s="83"/>
      <c r="AE41" s="264">
        <f ca="1">(AA41+AB41+AC41)+(AA41*AB41*AC41)+(AA41*AB41*AC41)</f>
        <v>5</v>
      </c>
      <c r="BA41" s="123">
        <f t="shared" si="17"/>
        <v>0</v>
      </c>
      <c r="BB41" s="114">
        <f t="shared" si="18"/>
        <v>0</v>
      </c>
      <c r="BC41" s="114">
        <f t="shared" si="19"/>
        <v>0</v>
      </c>
      <c r="BD41" s="114">
        <f t="shared" si="20"/>
        <v>0</v>
      </c>
      <c r="BE41" s="114">
        <f t="shared" si="21"/>
        <v>0</v>
      </c>
      <c r="BF41" s="114">
        <f t="shared" si="22"/>
        <v>0</v>
      </c>
      <c r="BG41" s="114">
        <f t="shared" si="23"/>
        <v>0</v>
      </c>
      <c r="BH41" s="114">
        <f t="shared" si="24"/>
        <v>0</v>
      </c>
      <c r="BI41" s="114">
        <f t="shared" si="25"/>
        <v>0</v>
      </c>
      <c r="BJ41" s="114">
        <f t="shared" si="26"/>
        <v>0</v>
      </c>
      <c r="BK41" s="99">
        <f t="shared" si="27"/>
        <v>0</v>
      </c>
      <c r="BL41" s="99">
        <f t="shared" si="28"/>
        <v>0</v>
      </c>
      <c r="BM41" s="99">
        <f t="shared" si="29"/>
        <v>0</v>
      </c>
      <c r="BN41" s="99">
        <f t="shared" si="30"/>
        <v>0</v>
      </c>
      <c r="BO41" s="111">
        <f t="shared" si="31"/>
        <v>0</v>
      </c>
    </row>
    <row r="42" spans="2:67" ht="22.5" customHeight="1">
      <c r="B42" s="112">
        <v>40</v>
      </c>
      <c r="C42" s="133"/>
      <c r="D42" s="114"/>
      <c r="E42" s="114"/>
      <c r="F42" s="115"/>
      <c r="G42" s="116"/>
      <c r="H42" s="131"/>
      <c r="L42" s="114">
        <v>4</v>
      </c>
      <c r="M42" s="114" t="str">
        <f t="shared" si="32"/>
        <v>울프</v>
      </c>
      <c r="N42" s="283">
        <f>HLOOKUP(M42,조편성_MMR!$C$20:$AU$30,10,FALSE)</f>
        <v>0</v>
      </c>
      <c r="O42" s="114">
        <f t="shared" si="33"/>
        <v>1</v>
      </c>
      <c r="R42" s="83">
        <f ca="1">VLOOKUP($N$3,$M$39:$O$46,3,FALSE)</f>
        <v>1</v>
      </c>
      <c r="S42" s="83">
        <f ca="1">VLOOKUP($S$3,$M$39:$O$46,3,FALSE)</f>
        <v>1</v>
      </c>
      <c r="T42" s="83">
        <f ca="1">VLOOKUP($X$3,$M$39:$O$46,3,FALSE)</f>
        <v>1</v>
      </c>
      <c r="U42" s="83">
        <f ca="1">VLOOKUP($AC$3,$M$39:$O$46,3,FALSE)</f>
        <v>1</v>
      </c>
      <c r="W42" s="264">
        <f ca="1">(R42+T42+U42)+(R42*T42*U42)+(R42*T42*U42)</f>
        <v>5</v>
      </c>
      <c r="Z42" s="83">
        <f t="shared" ca="1" si="34"/>
        <v>1</v>
      </c>
      <c r="AA42" s="83">
        <f t="shared" ca="1" si="35"/>
        <v>1</v>
      </c>
      <c r="AB42" s="83">
        <f t="shared" ca="1" si="36"/>
        <v>1</v>
      </c>
      <c r="AC42" s="83">
        <f t="shared" ca="1" si="37"/>
        <v>1</v>
      </c>
      <c r="AD42" s="83"/>
      <c r="AE42" s="264">
        <f ca="1">(Z42+AB42+AC42)+(Z42*AB42*AC42)+(Z42*AB42*AC42)</f>
        <v>5</v>
      </c>
      <c r="BA42" s="123">
        <f t="shared" si="17"/>
        <v>0</v>
      </c>
      <c r="BB42" s="114">
        <f t="shared" si="18"/>
        <v>0</v>
      </c>
      <c r="BC42" s="114">
        <f t="shared" si="19"/>
        <v>0</v>
      </c>
      <c r="BD42" s="114">
        <f t="shared" si="20"/>
        <v>0</v>
      </c>
      <c r="BE42" s="114">
        <f t="shared" si="21"/>
        <v>0</v>
      </c>
      <c r="BF42" s="114">
        <f t="shared" si="22"/>
        <v>0</v>
      </c>
      <c r="BG42" s="114">
        <f t="shared" si="23"/>
        <v>0</v>
      </c>
      <c r="BH42" s="114">
        <f t="shared" si="24"/>
        <v>0</v>
      </c>
      <c r="BI42" s="114">
        <f t="shared" si="25"/>
        <v>0</v>
      </c>
      <c r="BJ42" s="114">
        <f t="shared" si="26"/>
        <v>0</v>
      </c>
      <c r="BK42" s="99">
        <f t="shared" si="27"/>
        <v>0</v>
      </c>
      <c r="BL42" s="99">
        <f t="shared" si="28"/>
        <v>0</v>
      </c>
      <c r="BM42" s="99">
        <f t="shared" si="29"/>
        <v>0</v>
      </c>
      <c r="BN42" s="99">
        <f t="shared" si="30"/>
        <v>0</v>
      </c>
      <c r="BO42" s="111">
        <f t="shared" si="31"/>
        <v>0</v>
      </c>
    </row>
    <row r="43" spans="2:67" ht="22.5" customHeight="1">
      <c r="B43" s="112">
        <v>41</v>
      </c>
      <c r="C43" s="133"/>
      <c r="D43" s="114"/>
      <c r="E43" s="114"/>
      <c r="F43" s="114"/>
      <c r="G43" s="116"/>
      <c r="H43" s="131"/>
      <c r="L43" s="114">
        <v>5</v>
      </c>
      <c r="M43" s="114" t="str">
        <f t="shared" si="32"/>
        <v>조네</v>
      </c>
      <c r="N43" s="283">
        <f>HLOOKUP(M43,조편성_MMR!$C$20:$AU$30,10,FALSE)</f>
        <v>0</v>
      </c>
      <c r="O43" s="114">
        <f t="shared" si="33"/>
        <v>1</v>
      </c>
      <c r="BA43" s="123">
        <f t="shared" si="17"/>
        <v>0</v>
      </c>
      <c r="BB43" s="114">
        <f t="shared" si="18"/>
        <v>0</v>
      </c>
      <c r="BC43" s="114">
        <f t="shared" si="19"/>
        <v>0</v>
      </c>
      <c r="BD43" s="114">
        <f t="shared" si="20"/>
        <v>0</v>
      </c>
      <c r="BE43" s="114">
        <f t="shared" si="21"/>
        <v>0</v>
      </c>
      <c r="BF43" s="114">
        <f t="shared" si="22"/>
        <v>0</v>
      </c>
      <c r="BG43" s="114">
        <f t="shared" si="23"/>
        <v>0</v>
      </c>
      <c r="BH43" s="114">
        <f t="shared" si="24"/>
        <v>0</v>
      </c>
      <c r="BI43" s="114">
        <f t="shared" si="25"/>
        <v>0</v>
      </c>
      <c r="BJ43" s="114">
        <f t="shared" si="26"/>
        <v>0</v>
      </c>
      <c r="BK43" s="99">
        <f t="shared" si="27"/>
        <v>0</v>
      </c>
      <c r="BL43" s="99">
        <f t="shared" si="28"/>
        <v>0</v>
      </c>
      <c r="BM43" s="99">
        <f t="shared" si="29"/>
        <v>0</v>
      </c>
      <c r="BN43" s="99">
        <f t="shared" si="30"/>
        <v>0</v>
      </c>
      <c r="BO43" s="111">
        <f t="shared" si="31"/>
        <v>0</v>
      </c>
    </row>
    <row r="44" spans="2:67" ht="22.5" customHeight="1">
      <c r="B44" s="112">
        <v>42</v>
      </c>
      <c r="C44" s="133"/>
      <c r="D44" s="114"/>
      <c r="E44" s="114"/>
      <c r="F44" s="114"/>
      <c r="G44" s="132"/>
      <c r="H44" s="131"/>
      <c r="L44" s="114">
        <v>6</v>
      </c>
      <c r="M44" s="114" t="str">
        <f t="shared" si="32"/>
        <v>민형</v>
      </c>
      <c r="N44" s="283">
        <f>HLOOKUP(M44,조편성_MMR!$C$20:$AU$30,10,FALSE)</f>
        <v>0</v>
      </c>
      <c r="O44" s="114">
        <f t="shared" si="33"/>
        <v>1</v>
      </c>
      <c r="BA44" s="123">
        <f t="shared" si="17"/>
        <v>0</v>
      </c>
      <c r="BB44" s="114">
        <f t="shared" si="18"/>
        <v>0</v>
      </c>
      <c r="BC44" s="114">
        <f t="shared" si="19"/>
        <v>0</v>
      </c>
      <c r="BD44" s="114">
        <f t="shared" si="20"/>
        <v>0</v>
      </c>
      <c r="BE44" s="114">
        <f t="shared" si="21"/>
        <v>0</v>
      </c>
      <c r="BF44" s="114">
        <f t="shared" si="22"/>
        <v>0</v>
      </c>
      <c r="BG44" s="114">
        <f t="shared" si="23"/>
        <v>0</v>
      </c>
      <c r="BH44" s="114">
        <f t="shared" si="24"/>
        <v>0</v>
      </c>
      <c r="BI44" s="114">
        <f t="shared" si="25"/>
        <v>0</v>
      </c>
      <c r="BJ44" s="114">
        <f t="shared" si="26"/>
        <v>0</v>
      </c>
      <c r="BK44" s="99">
        <f t="shared" si="27"/>
        <v>0</v>
      </c>
      <c r="BL44" s="99">
        <f t="shared" si="28"/>
        <v>0</v>
      </c>
      <c r="BM44" s="99">
        <f t="shared" si="29"/>
        <v>0</v>
      </c>
      <c r="BN44" s="99">
        <f t="shared" si="30"/>
        <v>0</v>
      </c>
      <c r="BO44" s="111">
        <f t="shared" si="31"/>
        <v>0</v>
      </c>
    </row>
    <row r="45" spans="2:67" ht="22.5" customHeight="1">
      <c r="B45" s="112">
        <v>43</v>
      </c>
      <c r="C45" s="133"/>
      <c r="D45" s="114"/>
      <c r="E45" s="114"/>
      <c r="F45" s="114"/>
      <c r="G45" s="132"/>
      <c r="H45" s="131"/>
      <c r="L45" s="114">
        <v>7</v>
      </c>
      <c r="M45" s="114" t="str">
        <f t="shared" si="32"/>
        <v>반짝</v>
      </c>
      <c r="N45" s="283">
        <f>HLOOKUP(M45,조편성_MMR!$C$20:$AU$30,10,FALSE)</f>
        <v>0</v>
      </c>
      <c r="O45" s="114">
        <f t="shared" si="33"/>
        <v>1</v>
      </c>
      <c r="BA45" s="123">
        <f t="shared" si="17"/>
        <v>0</v>
      </c>
      <c r="BB45" s="114">
        <f t="shared" si="18"/>
        <v>0</v>
      </c>
      <c r="BC45" s="114">
        <f t="shared" si="19"/>
        <v>0</v>
      </c>
      <c r="BD45" s="114">
        <f t="shared" si="20"/>
        <v>0</v>
      </c>
      <c r="BE45" s="114">
        <f t="shared" si="21"/>
        <v>0</v>
      </c>
      <c r="BF45" s="114">
        <f t="shared" si="22"/>
        <v>0</v>
      </c>
      <c r="BG45" s="114">
        <f t="shared" si="23"/>
        <v>0</v>
      </c>
      <c r="BH45" s="114">
        <f t="shared" si="24"/>
        <v>0</v>
      </c>
      <c r="BI45" s="114">
        <f t="shared" si="25"/>
        <v>0</v>
      </c>
      <c r="BJ45" s="114">
        <f t="shared" si="26"/>
        <v>0</v>
      </c>
      <c r="BK45" s="99">
        <f t="shared" si="27"/>
        <v>0</v>
      </c>
      <c r="BL45" s="99">
        <f t="shared" si="28"/>
        <v>0</v>
      </c>
      <c r="BM45" s="99">
        <f t="shared" si="29"/>
        <v>0</v>
      </c>
      <c r="BN45" s="99">
        <f t="shared" si="30"/>
        <v>0</v>
      </c>
      <c r="BO45" s="111">
        <f t="shared" si="31"/>
        <v>0</v>
      </c>
    </row>
    <row r="46" spans="2:67" ht="22.5" customHeight="1">
      <c r="B46" s="112">
        <v>44</v>
      </c>
      <c r="C46" s="133"/>
      <c r="D46" s="114"/>
      <c r="E46" s="114"/>
      <c r="F46" s="114"/>
      <c r="G46" s="132"/>
      <c r="H46" s="131"/>
      <c r="L46" s="114">
        <v>8</v>
      </c>
      <c r="M46" s="114" t="str">
        <f t="shared" si="32"/>
        <v>하리보</v>
      </c>
      <c r="N46" s="283">
        <f>HLOOKUP(M46,조편성_MMR!$C$20:$AU$30,10,FALSE)</f>
        <v>0</v>
      </c>
      <c r="O46" s="114">
        <f t="shared" si="33"/>
        <v>1</v>
      </c>
      <c r="BA46" s="123">
        <f t="shared" si="17"/>
        <v>0</v>
      </c>
      <c r="BB46" s="114">
        <f t="shared" si="18"/>
        <v>0</v>
      </c>
      <c r="BC46" s="114">
        <f t="shared" si="19"/>
        <v>0</v>
      </c>
      <c r="BD46" s="114">
        <f t="shared" si="20"/>
        <v>0</v>
      </c>
      <c r="BE46" s="114">
        <f t="shared" si="21"/>
        <v>0</v>
      </c>
      <c r="BF46" s="114">
        <f t="shared" si="22"/>
        <v>0</v>
      </c>
      <c r="BG46" s="114">
        <f t="shared" si="23"/>
        <v>0</v>
      </c>
      <c r="BH46" s="114">
        <f t="shared" si="24"/>
        <v>0</v>
      </c>
      <c r="BI46" s="114">
        <f t="shared" si="25"/>
        <v>0</v>
      </c>
      <c r="BJ46" s="114">
        <f t="shared" si="26"/>
        <v>0</v>
      </c>
      <c r="BK46" s="99">
        <f t="shared" si="27"/>
        <v>0</v>
      </c>
      <c r="BL46" s="99">
        <f t="shared" si="28"/>
        <v>0</v>
      </c>
      <c r="BM46" s="99">
        <f t="shared" si="29"/>
        <v>0</v>
      </c>
      <c r="BN46" s="99">
        <f t="shared" si="30"/>
        <v>0</v>
      </c>
      <c r="BO46" s="111">
        <f t="shared" si="31"/>
        <v>0</v>
      </c>
    </row>
    <row r="47" spans="2:67" ht="22.5" customHeight="1">
      <c r="B47" s="112">
        <v>45</v>
      </c>
      <c r="C47" s="133"/>
      <c r="D47" s="114"/>
      <c r="E47" s="114"/>
      <c r="F47" s="114"/>
      <c r="G47" s="132"/>
      <c r="H47" s="131"/>
      <c r="BA47" s="123">
        <f t="shared" si="17"/>
        <v>0</v>
      </c>
      <c r="BB47" s="114">
        <f t="shared" si="18"/>
        <v>0</v>
      </c>
      <c r="BC47" s="114">
        <f t="shared" si="19"/>
        <v>0</v>
      </c>
      <c r="BD47" s="114">
        <f t="shared" si="20"/>
        <v>0</v>
      </c>
      <c r="BE47" s="114">
        <f t="shared" si="21"/>
        <v>0</v>
      </c>
      <c r="BF47" s="114">
        <f t="shared" si="22"/>
        <v>0</v>
      </c>
      <c r="BG47" s="114">
        <f t="shared" si="23"/>
        <v>0</v>
      </c>
      <c r="BH47" s="114">
        <f t="shared" si="24"/>
        <v>0</v>
      </c>
      <c r="BI47" s="114">
        <f t="shared" si="25"/>
        <v>0</v>
      </c>
      <c r="BJ47" s="114">
        <f t="shared" si="26"/>
        <v>0</v>
      </c>
      <c r="BK47" s="99">
        <f t="shared" si="27"/>
        <v>0</v>
      </c>
      <c r="BL47" s="99">
        <f t="shared" si="28"/>
        <v>0</v>
      </c>
      <c r="BM47" s="99">
        <f t="shared" si="29"/>
        <v>0</v>
      </c>
      <c r="BN47" s="99">
        <f t="shared" si="30"/>
        <v>0</v>
      </c>
      <c r="BO47" s="111">
        <f t="shared" si="31"/>
        <v>0</v>
      </c>
    </row>
    <row r="48" spans="2:67" ht="22.5" customHeight="1">
      <c r="B48" s="112">
        <v>46</v>
      </c>
      <c r="C48" s="133"/>
      <c r="D48" s="114"/>
      <c r="E48" s="114"/>
      <c r="F48" s="114"/>
      <c r="G48" s="132"/>
      <c r="H48" s="131"/>
      <c r="BA48" s="123">
        <f t="shared" si="17"/>
        <v>0</v>
      </c>
      <c r="BB48" s="114">
        <f t="shared" si="18"/>
        <v>0</v>
      </c>
      <c r="BC48" s="114">
        <f t="shared" si="19"/>
        <v>0</v>
      </c>
      <c r="BD48" s="114">
        <f t="shared" si="20"/>
        <v>0</v>
      </c>
      <c r="BE48" s="114">
        <f t="shared" si="21"/>
        <v>0</v>
      </c>
      <c r="BF48" s="114">
        <f t="shared" si="22"/>
        <v>0</v>
      </c>
      <c r="BG48" s="114">
        <f t="shared" si="23"/>
        <v>0</v>
      </c>
      <c r="BH48" s="114">
        <f t="shared" si="24"/>
        <v>0</v>
      </c>
      <c r="BI48" s="114">
        <f t="shared" si="25"/>
        <v>0</v>
      </c>
      <c r="BJ48" s="114">
        <f t="shared" si="26"/>
        <v>0</v>
      </c>
      <c r="BK48" s="99">
        <f t="shared" si="27"/>
        <v>0</v>
      </c>
      <c r="BL48" s="99">
        <f t="shared" si="28"/>
        <v>0</v>
      </c>
      <c r="BM48" s="99">
        <f t="shared" si="29"/>
        <v>0</v>
      </c>
      <c r="BN48" s="99">
        <f t="shared" si="30"/>
        <v>0</v>
      </c>
      <c r="BO48" s="111">
        <f t="shared" si="31"/>
        <v>0</v>
      </c>
    </row>
    <row r="49" spans="2:67" ht="22.5" customHeight="1">
      <c r="B49" s="112">
        <v>47</v>
      </c>
      <c r="C49" s="133"/>
      <c r="D49" s="114"/>
      <c r="E49" s="114"/>
      <c r="F49" s="114"/>
      <c r="G49" s="132"/>
      <c r="H49" s="131"/>
      <c r="BA49" s="123">
        <f t="shared" si="17"/>
        <v>0</v>
      </c>
      <c r="BB49" s="114">
        <f t="shared" si="18"/>
        <v>0</v>
      </c>
      <c r="BC49" s="114">
        <f t="shared" si="19"/>
        <v>0</v>
      </c>
      <c r="BD49" s="114">
        <f t="shared" si="20"/>
        <v>0</v>
      </c>
      <c r="BE49" s="114">
        <f t="shared" si="21"/>
        <v>0</v>
      </c>
      <c r="BF49" s="114">
        <f t="shared" si="22"/>
        <v>0</v>
      </c>
      <c r="BG49" s="114">
        <f t="shared" si="23"/>
        <v>0</v>
      </c>
      <c r="BH49" s="114">
        <f t="shared" si="24"/>
        <v>0</v>
      </c>
      <c r="BI49" s="114">
        <f t="shared" si="25"/>
        <v>0</v>
      </c>
      <c r="BJ49" s="114">
        <f t="shared" si="26"/>
        <v>0</v>
      </c>
      <c r="BK49" s="99">
        <f t="shared" si="27"/>
        <v>0</v>
      </c>
      <c r="BL49" s="99">
        <f t="shared" si="28"/>
        <v>0</v>
      </c>
      <c r="BM49" s="99">
        <f t="shared" si="29"/>
        <v>0</v>
      </c>
      <c r="BN49" s="99">
        <f t="shared" si="30"/>
        <v>0</v>
      </c>
      <c r="BO49" s="111">
        <f t="shared" si="31"/>
        <v>0</v>
      </c>
    </row>
    <row r="50" spans="2:67" ht="22.5" customHeight="1">
      <c r="B50" s="112">
        <v>48</v>
      </c>
      <c r="C50" s="133"/>
      <c r="D50" s="114"/>
      <c r="E50" s="114"/>
      <c r="F50" s="114"/>
      <c r="G50" s="132"/>
      <c r="H50" s="131"/>
      <c r="BA50" s="123">
        <f t="shared" si="17"/>
        <v>0</v>
      </c>
      <c r="BB50" s="114">
        <f t="shared" si="18"/>
        <v>0</v>
      </c>
      <c r="BC50" s="114">
        <f t="shared" si="19"/>
        <v>0</v>
      </c>
      <c r="BD50" s="114">
        <f t="shared" si="20"/>
        <v>0</v>
      </c>
      <c r="BE50" s="114">
        <f t="shared" si="21"/>
        <v>0</v>
      </c>
      <c r="BF50" s="114">
        <f t="shared" si="22"/>
        <v>0</v>
      </c>
      <c r="BG50" s="114">
        <f t="shared" si="23"/>
        <v>0</v>
      </c>
      <c r="BH50" s="114">
        <f t="shared" si="24"/>
        <v>0</v>
      </c>
      <c r="BI50" s="114">
        <f t="shared" si="25"/>
        <v>0</v>
      </c>
      <c r="BJ50" s="114">
        <f t="shared" si="26"/>
        <v>0</v>
      </c>
      <c r="BK50" s="99">
        <f t="shared" si="27"/>
        <v>0</v>
      </c>
      <c r="BL50" s="99">
        <f t="shared" si="28"/>
        <v>0</v>
      </c>
      <c r="BM50" s="99">
        <f t="shared" si="29"/>
        <v>0</v>
      </c>
      <c r="BN50" s="99">
        <f t="shared" si="30"/>
        <v>0</v>
      </c>
      <c r="BO50" s="111">
        <f t="shared" si="31"/>
        <v>0</v>
      </c>
    </row>
    <row r="51" spans="2:67" ht="22.5" customHeight="1">
      <c r="B51" s="112">
        <v>49</v>
      </c>
      <c r="C51" s="133"/>
      <c r="D51" s="99"/>
      <c r="E51" s="100"/>
      <c r="F51" s="100"/>
      <c r="G51" s="101"/>
      <c r="H51" s="131"/>
      <c r="BA51" s="123">
        <f t="shared" si="17"/>
        <v>0</v>
      </c>
      <c r="BB51" s="114">
        <f t="shared" si="18"/>
        <v>0</v>
      </c>
      <c r="BC51" s="114">
        <f t="shared" si="19"/>
        <v>0</v>
      </c>
      <c r="BD51" s="114">
        <f t="shared" si="20"/>
        <v>0</v>
      </c>
      <c r="BE51" s="114">
        <f t="shared" si="21"/>
        <v>0</v>
      </c>
      <c r="BF51" s="114">
        <f t="shared" si="22"/>
        <v>0</v>
      </c>
      <c r="BG51" s="114">
        <f t="shared" si="23"/>
        <v>0</v>
      </c>
      <c r="BH51" s="114">
        <f t="shared" si="24"/>
        <v>0</v>
      </c>
      <c r="BI51" s="114">
        <f t="shared" si="25"/>
        <v>0</v>
      </c>
      <c r="BJ51" s="114">
        <f t="shared" si="26"/>
        <v>0</v>
      </c>
      <c r="BK51" s="99">
        <f t="shared" si="27"/>
        <v>0</v>
      </c>
      <c r="BL51" s="99">
        <f t="shared" si="28"/>
        <v>0</v>
      </c>
      <c r="BM51" s="99">
        <f t="shared" si="29"/>
        <v>0</v>
      </c>
      <c r="BN51" s="99">
        <f t="shared" si="30"/>
        <v>0</v>
      </c>
      <c r="BO51" s="111">
        <f t="shared" si="31"/>
        <v>0</v>
      </c>
    </row>
    <row r="52" spans="2:67" ht="22.5" customHeight="1">
      <c r="B52" s="112">
        <v>50</v>
      </c>
      <c r="C52" s="133"/>
      <c r="D52" s="114"/>
      <c r="E52" s="115"/>
      <c r="F52" s="115"/>
      <c r="G52" s="116"/>
      <c r="H52" s="131"/>
      <c r="BA52" s="123">
        <f t="shared" si="17"/>
        <v>0</v>
      </c>
      <c r="BB52" s="114">
        <f t="shared" si="18"/>
        <v>0</v>
      </c>
      <c r="BC52" s="114">
        <f t="shared" si="19"/>
        <v>0</v>
      </c>
      <c r="BD52" s="114">
        <f t="shared" si="20"/>
        <v>0</v>
      </c>
      <c r="BE52" s="114">
        <f t="shared" si="21"/>
        <v>0</v>
      </c>
      <c r="BF52" s="114">
        <f t="shared" si="22"/>
        <v>0</v>
      </c>
      <c r="BG52" s="114">
        <f t="shared" si="23"/>
        <v>0</v>
      </c>
      <c r="BH52" s="114">
        <f t="shared" si="24"/>
        <v>0</v>
      </c>
      <c r="BI52" s="114">
        <f t="shared" si="25"/>
        <v>0</v>
      </c>
      <c r="BJ52" s="114">
        <f t="shared" si="26"/>
        <v>0</v>
      </c>
      <c r="BK52" s="99">
        <f t="shared" si="27"/>
        <v>0</v>
      </c>
      <c r="BL52" s="99">
        <f t="shared" si="28"/>
        <v>0</v>
      </c>
      <c r="BM52" s="99">
        <f t="shared" si="29"/>
        <v>0</v>
      </c>
      <c r="BN52" s="99">
        <f t="shared" si="30"/>
        <v>0</v>
      </c>
      <c r="BO52" s="111">
        <f t="shared" si="31"/>
        <v>0</v>
      </c>
    </row>
    <row r="53" spans="2:67" ht="22.5" customHeight="1">
      <c r="B53" s="112">
        <v>51</v>
      </c>
      <c r="C53" s="133"/>
      <c r="D53" s="114"/>
      <c r="E53" s="115"/>
      <c r="F53" s="115"/>
      <c r="G53" s="116"/>
      <c r="H53" s="131"/>
      <c r="BA53" s="123">
        <f t="shared" si="17"/>
        <v>0</v>
      </c>
      <c r="BB53" s="114">
        <f t="shared" si="18"/>
        <v>0</v>
      </c>
      <c r="BC53" s="114">
        <f t="shared" si="19"/>
        <v>0</v>
      </c>
      <c r="BD53" s="114">
        <f t="shared" si="20"/>
        <v>0</v>
      </c>
      <c r="BE53" s="114">
        <f t="shared" si="21"/>
        <v>0</v>
      </c>
      <c r="BF53" s="114">
        <f t="shared" si="22"/>
        <v>0</v>
      </c>
      <c r="BG53" s="114">
        <f t="shared" si="23"/>
        <v>0</v>
      </c>
      <c r="BH53" s="114">
        <f t="shared" si="24"/>
        <v>0</v>
      </c>
      <c r="BI53" s="114">
        <f t="shared" si="25"/>
        <v>0</v>
      </c>
      <c r="BJ53" s="114">
        <f t="shared" si="26"/>
        <v>0</v>
      </c>
      <c r="BK53" s="99">
        <f t="shared" si="27"/>
        <v>0</v>
      </c>
      <c r="BL53" s="99">
        <f t="shared" si="28"/>
        <v>0</v>
      </c>
      <c r="BM53" s="99">
        <f t="shared" si="29"/>
        <v>0</v>
      </c>
      <c r="BN53" s="99">
        <f t="shared" si="30"/>
        <v>0</v>
      </c>
      <c r="BO53" s="111">
        <f t="shared" si="31"/>
        <v>0</v>
      </c>
    </row>
    <row r="54" spans="2:67" ht="22.5" customHeight="1">
      <c r="B54" s="112">
        <v>52</v>
      </c>
      <c r="C54" s="133"/>
      <c r="D54" s="114"/>
      <c r="E54" s="114"/>
      <c r="F54" s="115"/>
      <c r="G54" s="116"/>
      <c r="H54" s="131"/>
      <c r="BA54" s="123">
        <f t="shared" si="17"/>
        <v>0</v>
      </c>
      <c r="BB54" s="114">
        <f t="shared" si="18"/>
        <v>0</v>
      </c>
      <c r="BC54" s="114">
        <f t="shared" si="19"/>
        <v>0</v>
      </c>
      <c r="BD54" s="114">
        <f t="shared" si="20"/>
        <v>0</v>
      </c>
      <c r="BE54" s="114">
        <f t="shared" si="21"/>
        <v>0</v>
      </c>
      <c r="BF54" s="114">
        <f t="shared" si="22"/>
        <v>0</v>
      </c>
      <c r="BG54" s="114">
        <f t="shared" si="23"/>
        <v>0</v>
      </c>
      <c r="BH54" s="114">
        <f t="shared" si="24"/>
        <v>0</v>
      </c>
      <c r="BI54" s="114">
        <f t="shared" si="25"/>
        <v>0</v>
      </c>
      <c r="BJ54" s="114">
        <f t="shared" si="26"/>
        <v>0</v>
      </c>
      <c r="BK54" s="99">
        <f t="shared" si="27"/>
        <v>0</v>
      </c>
      <c r="BL54" s="99">
        <f t="shared" si="28"/>
        <v>0</v>
      </c>
      <c r="BM54" s="99">
        <f t="shared" si="29"/>
        <v>0</v>
      </c>
      <c r="BN54" s="99">
        <f t="shared" si="30"/>
        <v>0</v>
      </c>
      <c r="BO54" s="111">
        <f t="shared" si="31"/>
        <v>0</v>
      </c>
    </row>
    <row r="55" spans="2:67" ht="22.5" customHeight="1">
      <c r="B55" s="112">
        <v>53</v>
      </c>
      <c r="C55" s="133"/>
      <c r="D55" s="114"/>
      <c r="E55" s="114"/>
      <c r="F55" s="115"/>
      <c r="G55" s="116"/>
      <c r="H55" s="131"/>
      <c r="BA55" s="123">
        <f t="shared" si="17"/>
        <v>0</v>
      </c>
      <c r="BB55" s="114">
        <f t="shared" si="18"/>
        <v>0</v>
      </c>
      <c r="BC55" s="114">
        <f t="shared" si="19"/>
        <v>0</v>
      </c>
      <c r="BD55" s="114">
        <f t="shared" si="20"/>
        <v>0</v>
      </c>
      <c r="BE55" s="114">
        <f t="shared" si="21"/>
        <v>0</v>
      </c>
      <c r="BF55" s="114">
        <f t="shared" si="22"/>
        <v>0</v>
      </c>
      <c r="BG55" s="114">
        <f t="shared" si="23"/>
        <v>0</v>
      </c>
      <c r="BH55" s="114">
        <f t="shared" si="24"/>
        <v>0</v>
      </c>
      <c r="BI55" s="114">
        <f t="shared" si="25"/>
        <v>0</v>
      </c>
      <c r="BJ55" s="114">
        <f t="shared" si="26"/>
        <v>0</v>
      </c>
      <c r="BK55" s="99">
        <f t="shared" si="27"/>
        <v>0</v>
      </c>
      <c r="BL55" s="99">
        <f t="shared" si="28"/>
        <v>0</v>
      </c>
      <c r="BM55" s="99">
        <f t="shared" si="29"/>
        <v>0</v>
      </c>
      <c r="BN55" s="99">
        <f t="shared" si="30"/>
        <v>0</v>
      </c>
      <c r="BO55" s="111">
        <f t="shared" si="31"/>
        <v>0</v>
      </c>
    </row>
    <row r="56" spans="2:67" ht="22.5" customHeight="1">
      <c r="B56" s="112">
        <v>54</v>
      </c>
      <c r="C56" s="133"/>
      <c r="D56" s="114"/>
      <c r="E56" s="114"/>
      <c r="F56" s="114"/>
      <c r="G56" s="116"/>
      <c r="H56" s="131"/>
      <c r="BA56" s="123">
        <f t="shared" si="17"/>
        <v>0</v>
      </c>
      <c r="BB56" s="114">
        <f t="shared" si="18"/>
        <v>0</v>
      </c>
      <c r="BC56" s="114">
        <f t="shared" si="19"/>
        <v>0</v>
      </c>
      <c r="BD56" s="114">
        <f t="shared" si="20"/>
        <v>0</v>
      </c>
      <c r="BE56" s="114">
        <f t="shared" si="21"/>
        <v>0</v>
      </c>
      <c r="BF56" s="114">
        <f t="shared" si="22"/>
        <v>0</v>
      </c>
      <c r="BG56" s="114">
        <f t="shared" si="23"/>
        <v>0</v>
      </c>
      <c r="BH56" s="114">
        <f t="shared" si="24"/>
        <v>0</v>
      </c>
      <c r="BI56" s="114">
        <f t="shared" si="25"/>
        <v>0</v>
      </c>
      <c r="BJ56" s="114">
        <f t="shared" si="26"/>
        <v>0</v>
      </c>
      <c r="BK56" s="99">
        <f t="shared" si="27"/>
        <v>0</v>
      </c>
      <c r="BL56" s="99">
        <f t="shared" si="28"/>
        <v>0</v>
      </c>
      <c r="BM56" s="99">
        <f t="shared" si="29"/>
        <v>0</v>
      </c>
      <c r="BN56" s="99">
        <f t="shared" si="30"/>
        <v>0</v>
      </c>
      <c r="BO56" s="111">
        <f t="shared" si="31"/>
        <v>0</v>
      </c>
    </row>
    <row r="57" spans="2:67" ht="22.5" customHeight="1">
      <c r="B57" s="112">
        <v>55</v>
      </c>
      <c r="C57" s="133"/>
      <c r="D57" s="114"/>
      <c r="E57" s="114"/>
      <c r="F57" s="115"/>
      <c r="G57" s="116"/>
      <c r="H57" s="131"/>
      <c r="BA57" s="123">
        <f t="shared" si="17"/>
        <v>0</v>
      </c>
      <c r="BB57" s="114">
        <f t="shared" si="18"/>
        <v>0</v>
      </c>
      <c r="BC57" s="114">
        <f t="shared" si="19"/>
        <v>0</v>
      </c>
      <c r="BD57" s="114">
        <f t="shared" si="20"/>
        <v>0</v>
      </c>
      <c r="BE57" s="114">
        <f t="shared" si="21"/>
        <v>0</v>
      </c>
      <c r="BF57" s="114">
        <f t="shared" si="22"/>
        <v>0</v>
      </c>
      <c r="BG57" s="114">
        <f t="shared" si="23"/>
        <v>0</v>
      </c>
      <c r="BH57" s="114">
        <f t="shared" si="24"/>
        <v>0</v>
      </c>
      <c r="BI57" s="114">
        <f t="shared" si="25"/>
        <v>0</v>
      </c>
      <c r="BJ57" s="114">
        <f t="shared" si="26"/>
        <v>0</v>
      </c>
      <c r="BK57" s="99">
        <f t="shared" si="27"/>
        <v>0</v>
      </c>
      <c r="BL57" s="99">
        <f t="shared" si="28"/>
        <v>0</v>
      </c>
      <c r="BM57" s="99">
        <f t="shared" si="29"/>
        <v>0</v>
      </c>
      <c r="BN57" s="99">
        <f t="shared" si="30"/>
        <v>0</v>
      </c>
      <c r="BO57" s="111">
        <f t="shared" si="31"/>
        <v>0</v>
      </c>
    </row>
    <row r="58" spans="2:67" ht="22.5" customHeight="1">
      <c r="B58" s="112">
        <v>56</v>
      </c>
      <c r="C58" s="133"/>
      <c r="D58" s="114"/>
      <c r="E58" s="114"/>
      <c r="F58" s="115"/>
      <c r="G58" s="116"/>
      <c r="H58" s="131"/>
      <c r="BA58" s="123">
        <f t="shared" si="17"/>
        <v>0</v>
      </c>
      <c r="BB58" s="114">
        <f t="shared" si="18"/>
        <v>0</v>
      </c>
      <c r="BC58" s="114">
        <f t="shared" si="19"/>
        <v>0</v>
      </c>
      <c r="BD58" s="114">
        <f t="shared" si="20"/>
        <v>0</v>
      </c>
      <c r="BE58" s="114">
        <f t="shared" si="21"/>
        <v>0</v>
      </c>
      <c r="BF58" s="114">
        <f t="shared" si="22"/>
        <v>0</v>
      </c>
      <c r="BG58" s="114">
        <f t="shared" si="23"/>
        <v>0</v>
      </c>
      <c r="BH58" s="114">
        <f t="shared" si="24"/>
        <v>0</v>
      </c>
      <c r="BI58" s="114">
        <f t="shared" si="25"/>
        <v>0</v>
      </c>
      <c r="BJ58" s="114">
        <f t="shared" si="26"/>
        <v>0</v>
      </c>
      <c r="BK58" s="99">
        <f t="shared" si="27"/>
        <v>0</v>
      </c>
      <c r="BL58" s="99">
        <f t="shared" si="28"/>
        <v>0</v>
      </c>
      <c r="BM58" s="99">
        <f t="shared" si="29"/>
        <v>0</v>
      </c>
      <c r="BN58" s="99">
        <f t="shared" si="30"/>
        <v>0</v>
      </c>
      <c r="BO58" s="111">
        <f t="shared" si="31"/>
        <v>0</v>
      </c>
    </row>
    <row r="59" spans="2:67" ht="22.5" customHeight="1">
      <c r="B59" s="112">
        <v>57</v>
      </c>
      <c r="C59" s="133"/>
      <c r="D59" s="114"/>
      <c r="E59" s="114"/>
      <c r="F59" s="114"/>
      <c r="G59" s="116"/>
      <c r="H59" s="131"/>
      <c r="BA59" s="123">
        <f t="shared" si="17"/>
        <v>0</v>
      </c>
      <c r="BB59" s="114">
        <f t="shared" si="18"/>
        <v>0</v>
      </c>
      <c r="BC59" s="114">
        <f t="shared" si="19"/>
        <v>0</v>
      </c>
      <c r="BD59" s="114">
        <f t="shared" si="20"/>
        <v>0</v>
      </c>
      <c r="BE59" s="114">
        <f t="shared" si="21"/>
        <v>0</v>
      </c>
      <c r="BF59" s="114">
        <f t="shared" si="22"/>
        <v>0</v>
      </c>
      <c r="BG59" s="114">
        <f t="shared" si="23"/>
        <v>0</v>
      </c>
      <c r="BH59" s="114">
        <f t="shared" si="24"/>
        <v>0</v>
      </c>
      <c r="BI59" s="114">
        <f t="shared" si="25"/>
        <v>0</v>
      </c>
      <c r="BJ59" s="114">
        <f t="shared" si="26"/>
        <v>0</v>
      </c>
      <c r="BK59" s="99">
        <f t="shared" si="27"/>
        <v>0</v>
      </c>
      <c r="BL59" s="99">
        <f t="shared" si="28"/>
        <v>0</v>
      </c>
      <c r="BM59" s="99">
        <f t="shared" si="29"/>
        <v>0</v>
      </c>
      <c r="BN59" s="99">
        <f t="shared" si="30"/>
        <v>0</v>
      </c>
      <c r="BO59" s="111">
        <f t="shared" si="31"/>
        <v>0</v>
      </c>
    </row>
    <row r="60" spans="2:67" ht="22.5" customHeight="1">
      <c r="B60" s="112">
        <v>58</v>
      </c>
      <c r="C60" s="133"/>
      <c r="D60" s="114"/>
      <c r="E60" s="114"/>
      <c r="F60" s="114"/>
      <c r="G60" s="132"/>
      <c r="H60" s="131"/>
      <c r="BA60" s="123">
        <f t="shared" si="17"/>
        <v>0</v>
      </c>
      <c r="BB60" s="114">
        <f t="shared" si="18"/>
        <v>0</v>
      </c>
      <c r="BC60" s="114">
        <f t="shared" si="19"/>
        <v>0</v>
      </c>
      <c r="BD60" s="114">
        <f t="shared" si="20"/>
        <v>0</v>
      </c>
      <c r="BE60" s="114">
        <f t="shared" si="21"/>
        <v>0</v>
      </c>
      <c r="BF60" s="114">
        <f t="shared" si="22"/>
        <v>0</v>
      </c>
      <c r="BG60" s="114">
        <f t="shared" si="23"/>
        <v>0</v>
      </c>
      <c r="BH60" s="114">
        <f t="shared" si="24"/>
        <v>0</v>
      </c>
      <c r="BI60" s="114">
        <f t="shared" si="25"/>
        <v>0</v>
      </c>
      <c r="BJ60" s="114">
        <f t="shared" si="26"/>
        <v>0</v>
      </c>
      <c r="BK60" s="99">
        <f t="shared" si="27"/>
        <v>0</v>
      </c>
      <c r="BL60" s="99">
        <f t="shared" si="28"/>
        <v>0</v>
      </c>
      <c r="BM60" s="99">
        <f t="shared" si="29"/>
        <v>0</v>
      </c>
      <c r="BN60" s="99">
        <f t="shared" si="30"/>
        <v>0</v>
      </c>
      <c r="BO60" s="111">
        <f t="shared" si="31"/>
        <v>0</v>
      </c>
    </row>
    <row r="61" spans="2:67" ht="22.5" customHeight="1">
      <c r="B61" s="112">
        <v>59</v>
      </c>
      <c r="C61" s="133"/>
      <c r="D61" s="114"/>
      <c r="E61" s="114"/>
      <c r="F61" s="114"/>
      <c r="G61" s="132"/>
      <c r="H61" s="131"/>
      <c r="BA61" s="123">
        <f t="shared" si="17"/>
        <v>0</v>
      </c>
      <c r="BB61" s="114">
        <f t="shared" si="18"/>
        <v>0</v>
      </c>
      <c r="BC61" s="114">
        <f t="shared" si="19"/>
        <v>0</v>
      </c>
      <c r="BD61" s="114">
        <f t="shared" si="20"/>
        <v>0</v>
      </c>
      <c r="BE61" s="114">
        <f t="shared" si="21"/>
        <v>0</v>
      </c>
      <c r="BF61" s="114">
        <f t="shared" si="22"/>
        <v>0</v>
      </c>
      <c r="BG61" s="114">
        <f t="shared" si="23"/>
        <v>0</v>
      </c>
      <c r="BH61" s="114">
        <f t="shared" si="24"/>
        <v>0</v>
      </c>
      <c r="BI61" s="114">
        <f t="shared" si="25"/>
        <v>0</v>
      </c>
      <c r="BJ61" s="114">
        <f t="shared" si="26"/>
        <v>0</v>
      </c>
      <c r="BK61" s="99">
        <f t="shared" si="27"/>
        <v>0</v>
      </c>
      <c r="BL61" s="99">
        <f t="shared" si="28"/>
        <v>0</v>
      </c>
      <c r="BM61" s="99">
        <f t="shared" si="29"/>
        <v>0</v>
      </c>
      <c r="BN61" s="99">
        <f t="shared" si="30"/>
        <v>0</v>
      </c>
      <c r="BO61" s="111">
        <f t="shared" si="31"/>
        <v>0</v>
      </c>
    </row>
    <row r="62" spans="2:67" ht="22.5" customHeight="1">
      <c r="B62" s="112">
        <v>60</v>
      </c>
      <c r="C62" s="133"/>
      <c r="D62" s="114"/>
      <c r="E62" s="114"/>
      <c r="F62" s="114"/>
      <c r="G62" s="132"/>
      <c r="H62" s="131"/>
      <c r="BA62" s="123">
        <f t="shared" si="17"/>
        <v>0</v>
      </c>
      <c r="BB62" s="114">
        <f t="shared" si="18"/>
        <v>0</v>
      </c>
      <c r="BC62" s="114">
        <f t="shared" si="19"/>
        <v>0</v>
      </c>
      <c r="BD62" s="114">
        <f t="shared" si="20"/>
        <v>0</v>
      </c>
      <c r="BE62" s="114">
        <f t="shared" si="21"/>
        <v>0</v>
      </c>
      <c r="BF62" s="114">
        <f t="shared" si="22"/>
        <v>0</v>
      </c>
      <c r="BG62" s="114">
        <f t="shared" si="23"/>
        <v>0</v>
      </c>
      <c r="BH62" s="114">
        <f t="shared" si="24"/>
        <v>0</v>
      </c>
      <c r="BI62" s="114">
        <f t="shared" si="25"/>
        <v>0</v>
      </c>
      <c r="BJ62" s="114">
        <f t="shared" si="26"/>
        <v>0</v>
      </c>
      <c r="BK62" s="99">
        <f t="shared" si="27"/>
        <v>0</v>
      </c>
      <c r="BL62" s="99">
        <f t="shared" si="28"/>
        <v>0</v>
      </c>
      <c r="BM62" s="99">
        <f t="shared" si="29"/>
        <v>0</v>
      </c>
      <c r="BN62" s="99">
        <f t="shared" si="30"/>
        <v>0</v>
      </c>
      <c r="BO62" s="111">
        <f t="shared" si="31"/>
        <v>0</v>
      </c>
    </row>
    <row r="63" spans="2:67" ht="22.5" customHeight="1">
      <c r="B63" s="112">
        <v>61</v>
      </c>
      <c r="C63" s="133"/>
      <c r="D63" s="114"/>
      <c r="E63" s="114"/>
      <c r="F63" s="114"/>
      <c r="G63" s="132"/>
      <c r="H63" s="131"/>
      <c r="BA63" s="123">
        <f t="shared" si="17"/>
        <v>0</v>
      </c>
      <c r="BB63" s="114">
        <f t="shared" si="18"/>
        <v>0</v>
      </c>
      <c r="BC63" s="114">
        <f t="shared" si="19"/>
        <v>0</v>
      </c>
      <c r="BD63" s="114">
        <f t="shared" si="20"/>
        <v>0</v>
      </c>
      <c r="BE63" s="114">
        <f t="shared" si="21"/>
        <v>0</v>
      </c>
      <c r="BF63" s="114">
        <f t="shared" si="22"/>
        <v>0</v>
      </c>
      <c r="BG63" s="114">
        <f t="shared" si="23"/>
        <v>0</v>
      </c>
      <c r="BH63" s="114">
        <f t="shared" si="24"/>
        <v>0</v>
      </c>
      <c r="BI63" s="114">
        <f t="shared" si="25"/>
        <v>0</v>
      </c>
      <c r="BJ63" s="114">
        <f t="shared" si="26"/>
        <v>0</v>
      </c>
      <c r="BK63" s="99">
        <f t="shared" si="27"/>
        <v>0</v>
      </c>
      <c r="BL63" s="99">
        <f t="shared" si="28"/>
        <v>0</v>
      </c>
      <c r="BM63" s="99">
        <f t="shared" si="29"/>
        <v>0</v>
      </c>
      <c r="BN63" s="99">
        <f t="shared" si="30"/>
        <v>0</v>
      </c>
      <c r="BO63" s="111">
        <f t="shared" si="31"/>
        <v>0</v>
      </c>
    </row>
    <row r="64" spans="2:67" ht="22.5" customHeight="1">
      <c r="B64" s="112">
        <v>62</v>
      </c>
      <c r="C64" s="133"/>
      <c r="D64" s="114"/>
      <c r="E64" s="114"/>
      <c r="F64" s="114"/>
      <c r="G64" s="132"/>
      <c r="H64" s="131"/>
      <c r="BA64" s="123">
        <f t="shared" si="17"/>
        <v>0</v>
      </c>
      <c r="BB64" s="114">
        <f t="shared" si="18"/>
        <v>0</v>
      </c>
      <c r="BC64" s="114">
        <f t="shared" si="19"/>
        <v>0</v>
      </c>
      <c r="BD64" s="114">
        <f t="shared" si="20"/>
        <v>0</v>
      </c>
      <c r="BE64" s="114">
        <f t="shared" si="21"/>
        <v>0</v>
      </c>
      <c r="BF64" s="114">
        <f t="shared" si="22"/>
        <v>0</v>
      </c>
      <c r="BG64" s="114">
        <f t="shared" si="23"/>
        <v>0</v>
      </c>
      <c r="BH64" s="114">
        <f t="shared" si="24"/>
        <v>0</v>
      </c>
      <c r="BI64" s="114">
        <f t="shared" si="25"/>
        <v>0</v>
      </c>
      <c r="BJ64" s="114">
        <f t="shared" si="26"/>
        <v>0</v>
      </c>
      <c r="BK64" s="99">
        <f t="shared" si="27"/>
        <v>0</v>
      </c>
      <c r="BL64" s="99">
        <f t="shared" si="28"/>
        <v>0</v>
      </c>
      <c r="BM64" s="99">
        <f t="shared" si="29"/>
        <v>0</v>
      </c>
      <c r="BN64" s="99">
        <f t="shared" si="30"/>
        <v>0</v>
      </c>
      <c r="BO64" s="111">
        <f t="shared" si="31"/>
        <v>0</v>
      </c>
    </row>
    <row r="65" spans="2:68" ht="22.5" customHeight="1">
      <c r="B65" s="112">
        <v>63</v>
      </c>
      <c r="C65" s="133"/>
      <c r="D65" s="114"/>
      <c r="E65" s="114"/>
      <c r="F65" s="114"/>
      <c r="G65" s="132"/>
      <c r="H65" s="131"/>
      <c r="BA65" s="123">
        <f t="shared" si="17"/>
        <v>0</v>
      </c>
      <c r="BB65" s="114">
        <f t="shared" si="18"/>
        <v>0</v>
      </c>
      <c r="BC65" s="114">
        <f t="shared" si="19"/>
        <v>0</v>
      </c>
      <c r="BD65" s="114">
        <f t="shared" si="20"/>
        <v>0</v>
      </c>
      <c r="BE65" s="114">
        <f t="shared" si="21"/>
        <v>0</v>
      </c>
      <c r="BF65" s="114">
        <f t="shared" si="22"/>
        <v>0</v>
      </c>
      <c r="BG65" s="114">
        <f t="shared" si="23"/>
        <v>0</v>
      </c>
      <c r="BH65" s="114">
        <f t="shared" si="24"/>
        <v>0</v>
      </c>
      <c r="BI65" s="114">
        <f t="shared" si="25"/>
        <v>0</v>
      </c>
      <c r="BJ65" s="114">
        <f t="shared" si="26"/>
        <v>0</v>
      </c>
      <c r="BK65" s="99">
        <f t="shared" si="27"/>
        <v>0</v>
      </c>
      <c r="BL65" s="99">
        <f t="shared" si="28"/>
        <v>0</v>
      </c>
      <c r="BM65" s="99">
        <f t="shared" si="29"/>
        <v>0</v>
      </c>
      <c r="BN65" s="99">
        <f t="shared" si="30"/>
        <v>0</v>
      </c>
      <c r="BO65" s="111">
        <f t="shared" si="31"/>
        <v>0</v>
      </c>
    </row>
    <row r="66" spans="2:68" ht="22.5" customHeight="1" thickBot="1">
      <c r="B66" s="142">
        <v>64</v>
      </c>
      <c r="C66" s="143"/>
      <c r="D66" s="114"/>
      <c r="E66" s="114"/>
      <c r="F66" s="114"/>
      <c r="G66" s="132"/>
      <c r="H66" s="144"/>
      <c r="BA66" s="145">
        <f t="shared" si="17"/>
        <v>0</v>
      </c>
      <c r="BB66" s="146">
        <f t="shared" si="18"/>
        <v>0</v>
      </c>
      <c r="BC66" s="146">
        <f t="shared" si="19"/>
        <v>0</v>
      </c>
      <c r="BD66" s="146">
        <f t="shared" si="20"/>
        <v>0</v>
      </c>
      <c r="BE66" s="146">
        <f t="shared" si="21"/>
        <v>0</v>
      </c>
      <c r="BF66" s="146">
        <f t="shared" si="22"/>
        <v>0</v>
      </c>
      <c r="BG66" s="146">
        <f t="shared" si="23"/>
        <v>0</v>
      </c>
      <c r="BH66" s="146">
        <f t="shared" si="24"/>
        <v>0</v>
      </c>
      <c r="BI66" s="146">
        <f t="shared" si="25"/>
        <v>0</v>
      </c>
      <c r="BJ66" s="146">
        <f t="shared" si="26"/>
        <v>0</v>
      </c>
      <c r="BK66" s="147">
        <f t="shared" si="27"/>
        <v>0</v>
      </c>
      <c r="BL66" s="147">
        <f t="shared" si="28"/>
        <v>0</v>
      </c>
      <c r="BM66" s="147">
        <f t="shared" si="29"/>
        <v>0</v>
      </c>
      <c r="BN66" s="147">
        <f t="shared" si="30"/>
        <v>0</v>
      </c>
      <c r="BO66" s="148">
        <f t="shared" si="31"/>
        <v>0</v>
      </c>
    </row>
    <row r="67" spans="2:68" ht="17.25" thickBot="1">
      <c r="B67" s="149"/>
      <c r="C67" s="150"/>
      <c r="D67" s="150"/>
      <c r="E67" s="150"/>
      <c r="F67" s="150"/>
      <c r="G67" s="150"/>
      <c r="H67" s="150"/>
      <c r="I67" s="151"/>
      <c r="BA67" s="152">
        <f>SUM(BA3:BA66)</f>
        <v>5</v>
      </c>
      <c r="BB67" s="153">
        <f t="shared" ref="BB67:BO67" si="38">SUM(BB3:BB66)</f>
        <v>6</v>
      </c>
      <c r="BC67" s="153">
        <f t="shared" si="38"/>
        <v>8</v>
      </c>
      <c r="BD67" s="153">
        <f t="shared" si="38"/>
        <v>7</v>
      </c>
      <c r="BE67" s="153">
        <f t="shared" si="38"/>
        <v>7</v>
      </c>
      <c r="BF67" s="153">
        <f t="shared" si="38"/>
        <v>8</v>
      </c>
      <c r="BG67" s="153">
        <f t="shared" si="38"/>
        <v>7</v>
      </c>
      <c r="BH67" s="153">
        <f t="shared" si="38"/>
        <v>8</v>
      </c>
      <c r="BI67" s="153">
        <f t="shared" si="38"/>
        <v>8</v>
      </c>
      <c r="BJ67" s="153">
        <f t="shared" si="38"/>
        <v>8</v>
      </c>
      <c r="BK67" s="153">
        <f t="shared" si="38"/>
        <v>8</v>
      </c>
      <c r="BL67" s="153">
        <f t="shared" si="38"/>
        <v>8</v>
      </c>
      <c r="BM67" s="153">
        <f t="shared" si="38"/>
        <v>8</v>
      </c>
      <c r="BN67" s="153">
        <f t="shared" si="38"/>
        <v>8</v>
      </c>
      <c r="BO67" s="154">
        <f t="shared" si="38"/>
        <v>8</v>
      </c>
    </row>
    <row r="68" spans="2:68" ht="17.25" thickBot="1">
      <c r="D68" s="104"/>
      <c r="E68" s="104"/>
      <c r="F68" s="104"/>
      <c r="G68" s="104"/>
      <c r="H68" s="104"/>
      <c r="BA68" s="95">
        <f>IF(LEN(BA2)*$BA$1-BA67&gt;0,LEN(BA2)*$BA$1-BA67,0)</f>
        <v>0</v>
      </c>
      <c r="BB68" s="96">
        <f t="shared" ref="BB68:BO68" si="39">IF(LEN(BB2)*$BA$1-BB67&gt;0,LEN(BB2)*$BA$1-BB67,0)</f>
        <v>0</v>
      </c>
      <c r="BC68" s="96">
        <f t="shared" si="39"/>
        <v>0</v>
      </c>
      <c r="BD68" s="96">
        <f t="shared" si="39"/>
        <v>0</v>
      </c>
      <c r="BE68" s="96">
        <f t="shared" si="39"/>
        <v>0</v>
      </c>
      <c r="BF68" s="96">
        <f t="shared" si="39"/>
        <v>0</v>
      </c>
      <c r="BG68" s="96">
        <f t="shared" si="39"/>
        <v>0</v>
      </c>
      <c r="BH68" s="96">
        <f t="shared" si="39"/>
        <v>0</v>
      </c>
      <c r="BI68" s="96">
        <f t="shared" si="39"/>
        <v>0</v>
      </c>
      <c r="BJ68" s="96">
        <f t="shared" si="39"/>
        <v>0</v>
      </c>
      <c r="BK68" s="96">
        <f t="shared" si="39"/>
        <v>0</v>
      </c>
      <c r="BL68" s="96">
        <f t="shared" si="39"/>
        <v>0</v>
      </c>
      <c r="BM68" s="96">
        <f t="shared" si="39"/>
        <v>0</v>
      </c>
      <c r="BN68" s="96">
        <f t="shared" si="39"/>
        <v>0</v>
      </c>
      <c r="BO68" s="90">
        <f t="shared" si="39"/>
        <v>0</v>
      </c>
      <c r="BP68" s="83">
        <f>SUM(BA68:BO68)</f>
        <v>0</v>
      </c>
    </row>
  </sheetData>
  <mergeCells count="32">
    <mergeCell ref="AQ1:AS1"/>
    <mergeCell ref="M20:AG20"/>
    <mergeCell ref="M21:V21"/>
    <mergeCell ref="W21:AG21"/>
    <mergeCell ref="M22:V22"/>
    <mergeCell ref="W22:AG22"/>
    <mergeCell ref="M23:V23"/>
    <mergeCell ref="W23:AG23"/>
    <mergeCell ref="M24:V24"/>
    <mergeCell ref="W24:AG24"/>
    <mergeCell ref="M25:V25"/>
    <mergeCell ref="W25:AG25"/>
    <mergeCell ref="M26:V26"/>
    <mergeCell ref="W26:AG26"/>
    <mergeCell ref="M27:V27"/>
    <mergeCell ref="W27:AG27"/>
    <mergeCell ref="M28:V28"/>
    <mergeCell ref="W28:AG28"/>
    <mergeCell ref="M29:V29"/>
    <mergeCell ref="W29:AG29"/>
    <mergeCell ref="M30:V30"/>
    <mergeCell ref="W30:AG30"/>
    <mergeCell ref="M31:V31"/>
    <mergeCell ref="W31:AG31"/>
    <mergeCell ref="M35:V35"/>
    <mergeCell ref="W35:AG35"/>
    <mergeCell ref="M32:V32"/>
    <mergeCell ref="W32:AG32"/>
    <mergeCell ref="M33:V33"/>
    <mergeCell ref="W33:AG33"/>
    <mergeCell ref="M34:V34"/>
    <mergeCell ref="W34:AG34"/>
  </mergeCells>
  <phoneticPr fontId="1" type="noConversion"/>
  <conditionalFormatting sqref="W21:AG35">
    <cfRule type="containsText" dxfId="10" priority="7" operator="containsText" text="필요">
      <formula>NOT(ISERROR(SEARCH("필요",W21)))</formula>
    </cfRule>
    <cfRule type="cellIs" dxfId="9" priority="8" operator="equal">
      <formula>"만족"</formula>
    </cfRule>
  </conditionalFormatting>
  <conditionalFormatting sqref="AH3:AH4">
    <cfRule type="containsText" dxfId="8" priority="1" operator="containsText" text="Pass">
      <formula>NOT(ISERROR(SEARCH("Pass",AH3)))</formula>
    </cfRule>
    <cfRule type="containsText" dxfId="7" priority="2" operator="containsText" text="Fail">
      <formula>NOT(ISERROR(SEARCH("Fail",AH3)))</formula>
    </cfRule>
  </conditionalFormatting>
  <dataValidations count="1">
    <dataValidation type="list" allowBlank="1" showInputMessage="1" showErrorMessage="1" sqref="D3:G66 H3:H50">
      <formula1>"O"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단추 0">
              <controlPr defaultSize="0" print="0" autoFill="0" autoPict="0" macro="[0]!AllCheck">
                <anchor moveWithCells="1" sizeWithCells="1">
                  <from>
                    <xdr:col>8</xdr:col>
                    <xdr:colOff>276225</xdr:colOff>
                    <xdr:row>4</xdr:row>
                    <xdr:rowOff>0</xdr:rowOff>
                  </from>
                  <to>
                    <xdr:col>10</xdr:col>
                    <xdr:colOff>409575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_xludf.Rand">
                <anchor moveWithCells="1" sizeWithCells="1">
                  <from>
                    <xdr:col>8</xdr:col>
                    <xdr:colOff>276225</xdr:colOff>
                    <xdr:row>5</xdr:row>
                    <xdr:rowOff>276225</xdr:rowOff>
                  </from>
                  <to>
                    <xdr:col>10</xdr:col>
                    <xdr:colOff>409575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Rand8Players">
                <anchor moveWithCells="1" sizeWithCells="1">
                  <from>
                    <xdr:col>8</xdr:col>
                    <xdr:colOff>276225</xdr:colOff>
                    <xdr:row>7</xdr:row>
                    <xdr:rowOff>276225</xdr:rowOff>
                  </from>
                  <to>
                    <xdr:col>10</xdr:col>
                    <xdr:colOff>409575</xdr:colOff>
                    <xdr:row>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MMR_Rand">
                <anchor moveWithCells="1" sizeWithCells="1">
                  <from>
                    <xdr:col>9</xdr:col>
                    <xdr:colOff>0</xdr:colOff>
                    <xdr:row>9</xdr:row>
                    <xdr:rowOff>285750</xdr:rowOff>
                  </from>
                  <to>
                    <xdr:col>11</xdr:col>
                    <xdr:colOff>0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3:AU37"/>
  <sheetViews>
    <sheetView workbookViewId="0">
      <selection activeCell="D18" sqref="D18"/>
    </sheetView>
  </sheetViews>
  <sheetFormatPr defaultRowHeight="16.5"/>
  <cols>
    <col min="2" max="2" width="17.875" customWidth="1"/>
    <col min="3" max="3" width="18.25" customWidth="1"/>
    <col min="4" max="5" width="17.125" customWidth="1"/>
    <col min="6" max="6" width="10.5" bestFit="1" customWidth="1"/>
    <col min="7" max="7" width="12" customWidth="1"/>
    <col min="8" max="8" width="11.625" customWidth="1"/>
    <col min="9" max="9" width="10.875" customWidth="1"/>
    <col min="10" max="10" width="12" customWidth="1"/>
    <col min="11" max="11" width="11.625" bestFit="1" customWidth="1"/>
    <col min="12" max="13" width="10.5" bestFit="1" customWidth="1"/>
    <col min="14" max="15" width="11.625" bestFit="1" customWidth="1"/>
    <col min="16" max="17" width="10.5" bestFit="1" customWidth="1"/>
    <col min="18" max="21" width="11.625" bestFit="1" customWidth="1"/>
    <col min="22" max="23" width="10.5" bestFit="1" customWidth="1"/>
    <col min="24" max="26" width="11.625" bestFit="1" customWidth="1"/>
    <col min="27" max="27" width="11.25" bestFit="1" customWidth="1"/>
    <col min="28" max="28" width="11.625" bestFit="1" customWidth="1"/>
    <col min="29" max="29" width="11.25" bestFit="1" customWidth="1"/>
    <col min="30" max="30" width="11.625" bestFit="1" customWidth="1"/>
    <col min="31" max="31" width="10.5" bestFit="1" customWidth="1"/>
    <col min="32" max="34" width="11.625" bestFit="1" customWidth="1"/>
    <col min="35" max="35" width="10.5" bestFit="1" customWidth="1"/>
    <col min="36" max="36" width="13.75" customWidth="1"/>
    <col min="37" max="38" width="11.625" bestFit="1" customWidth="1"/>
    <col min="39" max="39" width="17.875" customWidth="1"/>
    <col min="40" max="40" width="16.25" customWidth="1"/>
    <col min="41" max="41" width="12.625" customWidth="1"/>
    <col min="42" max="42" width="11.75" customWidth="1"/>
    <col min="43" max="43" width="10.375" customWidth="1"/>
    <col min="44" max="44" width="10.875" customWidth="1"/>
    <col min="45" max="45" width="11" customWidth="1"/>
    <col min="46" max="46" width="11.25" customWidth="1"/>
    <col min="47" max="47" width="16" customWidth="1"/>
  </cols>
  <sheetData>
    <row r="3" spans="2:10" ht="16.5" customHeight="1">
      <c r="B3" s="187"/>
      <c r="C3" s="191" t="s">
        <v>396</v>
      </c>
      <c r="D3" s="191" t="s">
        <v>423</v>
      </c>
      <c r="E3" s="191" t="s">
        <v>392</v>
      </c>
    </row>
    <row r="4" spans="2:10">
      <c r="B4" s="187">
        <v>1</v>
      </c>
      <c r="C4" s="28" t="s">
        <v>44</v>
      </c>
      <c r="D4" s="245">
        <f t="shared" ref="D4:D11" ca="1" si="0">HLOOKUP(C4,$C$20:$AU$30,9,FALSE)</f>
        <v>44.695370137411963</v>
      </c>
      <c r="E4" s="277">
        <f ca="1">_xlfn.RANK.EQ(D4,$D$4:$D$11,1)</f>
        <v>3</v>
      </c>
      <c r="H4" s="255" t="s">
        <v>414</v>
      </c>
    </row>
    <row r="5" spans="2:10">
      <c r="B5" s="187">
        <v>2</v>
      </c>
      <c r="C5" s="28" t="s">
        <v>40</v>
      </c>
      <c r="D5" s="245">
        <f t="shared" ca="1" si="0"/>
        <v>42.459268166661175</v>
      </c>
      <c r="E5" s="277">
        <f t="shared" ref="E5:E11" ca="1" si="1">_xlfn.RANK.EQ(D5,$D$4:$D$11,1)</f>
        <v>2</v>
      </c>
      <c r="H5" s="268" t="s">
        <v>65</v>
      </c>
    </row>
    <row r="6" spans="2:10" ht="16.5" customHeight="1">
      <c r="B6" s="187">
        <v>3</v>
      </c>
      <c r="C6" s="28" t="s">
        <v>47</v>
      </c>
      <c r="D6" s="245">
        <f t="shared" ca="1" si="0"/>
        <v>50.877532701255859</v>
      </c>
      <c r="E6" s="277">
        <f t="shared" ca="1" si="1"/>
        <v>5</v>
      </c>
      <c r="H6" s="268" t="s">
        <v>82</v>
      </c>
    </row>
    <row r="7" spans="2:10">
      <c r="B7" s="187">
        <v>4</v>
      </c>
      <c r="C7" s="28" t="s">
        <v>31</v>
      </c>
      <c r="D7" s="245">
        <f t="shared" ca="1" si="0"/>
        <v>70.583588641377816</v>
      </c>
      <c r="E7" s="277">
        <f t="shared" ca="1" si="1"/>
        <v>8</v>
      </c>
    </row>
    <row r="8" spans="2:10">
      <c r="B8" s="187">
        <v>5</v>
      </c>
      <c r="C8" s="28" t="s">
        <v>28</v>
      </c>
      <c r="D8" s="245">
        <f t="shared" ca="1" si="0"/>
        <v>51.959493600513461</v>
      </c>
      <c r="E8" s="277">
        <f t="shared" ca="1" si="1"/>
        <v>6</v>
      </c>
    </row>
    <row r="9" spans="2:10">
      <c r="B9" s="187">
        <v>6</v>
      </c>
      <c r="C9" s="28" t="s">
        <v>34</v>
      </c>
      <c r="D9" s="245">
        <f t="shared" ca="1" si="0"/>
        <v>50.374574934449555</v>
      </c>
      <c r="E9" s="277">
        <f t="shared" ca="1" si="1"/>
        <v>4</v>
      </c>
    </row>
    <row r="10" spans="2:10">
      <c r="B10" s="187">
        <v>7</v>
      </c>
      <c r="C10" s="28" t="s">
        <v>23</v>
      </c>
      <c r="D10" s="245">
        <f t="shared" ca="1" si="0"/>
        <v>66.114632496278119</v>
      </c>
      <c r="E10" s="277">
        <f t="shared" ca="1" si="1"/>
        <v>7</v>
      </c>
    </row>
    <row r="11" spans="2:10">
      <c r="B11" s="187">
        <v>8</v>
      </c>
      <c r="C11" s="28" t="s">
        <v>20</v>
      </c>
      <c r="D11" s="245">
        <f t="shared" ca="1" si="0"/>
        <v>41.381549852158514</v>
      </c>
      <c r="E11" s="277">
        <f t="shared" ca="1" si="1"/>
        <v>1</v>
      </c>
    </row>
    <row r="13" spans="2:10">
      <c r="F13" s="306" t="s">
        <v>391</v>
      </c>
      <c r="G13" s="306"/>
      <c r="H13" s="306"/>
      <c r="I13" s="306"/>
      <c r="J13" s="306"/>
    </row>
    <row r="14" spans="2:10">
      <c r="F14" s="193" t="s">
        <v>394</v>
      </c>
      <c r="G14" s="268" t="s">
        <v>97</v>
      </c>
      <c r="H14" s="268" t="s">
        <v>99</v>
      </c>
      <c r="I14" s="268" t="s">
        <v>65</v>
      </c>
      <c r="J14" s="268" t="s">
        <v>87</v>
      </c>
    </row>
    <row r="15" spans="2:10">
      <c r="F15" s="192" t="s">
        <v>395</v>
      </c>
      <c r="G15" s="268" t="s">
        <v>102</v>
      </c>
      <c r="H15" s="268" t="s">
        <v>88</v>
      </c>
      <c r="I15" s="268" t="s">
        <v>82</v>
      </c>
      <c r="J15" s="268" t="s">
        <v>92</v>
      </c>
    </row>
    <row r="17" spans="2:47" ht="16.5" customHeight="1"/>
    <row r="19" spans="2:47">
      <c r="C19" s="267" t="s">
        <v>424</v>
      </c>
      <c r="F19" s="195"/>
    </row>
    <row r="20" spans="2:47">
      <c r="B20" s="4"/>
      <c r="C20" s="285" t="s">
        <v>387</v>
      </c>
      <c r="D20" s="285" t="s">
        <v>45</v>
      </c>
      <c r="E20" s="285" t="s">
        <v>33</v>
      </c>
      <c r="F20" s="285" t="s">
        <v>388</v>
      </c>
      <c r="G20" s="285" t="s">
        <v>24</v>
      </c>
      <c r="H20" s="285" t="s">
        <v>25</v>
      </c>
      <c r="I20" s="285" t="s">
        <v>37</v>
      </c>
      <c r="J20" s="285" t="s">
        <v>38</v>
      </c>
      <c r="K20" s="285" t="s">
        <v>17</v>
      </c>
      <c r="L20" s="285" t="s">
        <v>22</v>
      </c>
      <c r="M20" s="285" t="s">
        <v>48</v>
      </c>
      <c r="N20" s="285" t="s">
        <v>47</v>
      </c>
      <c r="O20" s="285" t="s">
        <v>42</v>
      </c>
      <c r="P20" s="285" t="s">
        <v>30</v>
      </c>
      <c r="Q20" s="285" t="s">
        <v>41</v>
      </c>
      <c r="R20" s="285" t="s">
        <v>46</v>
      </c>
      <c r="S20" s="285" t="s">
        <v>18</v>
      </c>
      <c r="T20" s="285" t="s">
        <v>23</v>
      </c>
      <c r="U20" s="285" t="s">
        <v>34</v>
      </c>
      <c r="V20" s="285" t="s">
        <v>27</v>
      </c>
      <c r="W20" s="285" t="s">
        <v>21</v>
      </c>
      <c r="X20" s="285" t="s">
        <v>31</v>
      </c>
      <c r="Y20" s="285" t="s">
        <v>26</v>
      </c>
      <c r="Z20" s="285" t="s">
        <v>28</v>
      </c>
      <c r="AA20" s="285" t="s">
        <v>339</v>
      </c>
      <c r="AB20" s="285" t="s">
        <v>36</v>
      </c>
      <c r="AC20" s="285" t="s">
        <v>39</v>
      </c>
      <c r="AD20" s="285" t="s">
        <v>19</v>
      </c>
      <c r="AE20" s="285" t="s">
        <v>35</v>
      </c>
      <c r="AF20" s="285" t="s">
        <v>40</v>
      </c>
      <c r="AG20" s="285" t="s">
        <v>32</v>
      </c>
      <c r="AH20" s="285" t="s">
        <v>44</v>
      </c>
      <c r="AI20" s="285" t="s">
        <v>43</v>
      </c>
      <c r="AJ20" s="285" t="s">
        <v>29</v>
      </c>
      <c r="AK20" s="285" t="s">
        <v>20</v>
      </c>
      <c r="AL20" s="285" t="s">
        <v>319</v>
      </c>
      <c r="AM20" s="285">
        <v>0</v>
      </c>
      <c r="AN20" s="285">
        <v>0</v>
      </c>
      <c r="AO20" s="285">
        <v>0</v>
      </c>
      <c r="AP20" s="285">
        <v>0</v>
      </c>
      <c r="AQ20" s="285">
        <v>0</v>
      </c>
      <c r="AR20" s="285">
        <v>0</v>
      </c>
      <c r="AS20" s="285">
        <v>0</v>
      </c>
      <c r="AT20" s="285">
        <v>0</v>
      </c>
      <c r="AU20" s="285">
        <v>0</v>
      </c>
    </row>
    <row r="21" spans="2:47">
      <c r="B21" s="28" t="s">
        <v>425</v>
      </c>
      <c r="C21" s="279">
        <f>IFERROR(IF(C37&lt;5,0,HLOOKUP(C20,현재시즌!$C$3:$AU$10,4,FALSE)*100),0)</f>
        <v>0</v>
      </c>
      <c r="D21" s="279">
        <f>IFERROR(IF(D37&lt;5,0,HLOOKUP(D20,현재시즌!$C$3:$AU$10,4,FALSE)*100),0)</f>
        <v>0</v>
      </c>
      <c r="E21" s="279">
        <f>IFERROR(IF(E37&lt;5,0,HLOOKUP(E20,현재시즌!$C$3:$AU$10,4,FALSE)*100),0)</f>
        <v>53.333333333333336</v>
      </c>
      <c r="F21" s="279">
        <f>IFERROR(IF(F37&lt;5,0,HLOOKUP(F20,현재시즌!$C$3:$AU$10,4,FALSE)*100),0)</f>
        <v>0</v>
      </c>
      <c r="G21" s="279">
        <f>IFERROR(IF(G37&lt;5,0,HLOOKUP(G20,현재시즌!$C$3:$AU$10,4,FALSE)*100),0)</f>
        <v>0</v>
      </c>
      <c r="H21" s="279">
        <f>IFERROR(IF(H37&lt;5,0,HLOOKUP(H20,현재시즌!$C$3:$AU$10,4,FALSE)*100),0)</f>
        <v>0</v>
      </c>
      <c r="I21" s="279">
        <f>IFERROR(IF(I37&lt;5,0,HLOOKUP(I20,현재시즌!$C$3:$AU$10,4,FALSE)*100),0)</f>
        <v>33.333333333333329</v>
      </c>
      <c r="J21" s="279">
        <f>IFERROR(IF(J37&lt;5,0,HLOOKUP(J20,현재시즌!$C$3:$AU$10,4,FALSE)*100),0)</f>
        <v>39.285714285714285</v>
      </c>
      <c r="K21" s="279">
        <f>IFERROR(IF(K37&lt;5,0,HLOOKUP(K20,현재시즌!$C$3:$AU$10,4,FALSE)*100),0)</f>
        <v>64.285714285714292</v>
      </c>
      <c r="L21" s="279">
        <f>IFERROR(IF(L37&lt;5,0,HLOOKUP(L20,현재시즌!$C$3:$AU$10,4,FALSE)*100),0)</f>
        <v>0</v>
      </c>
      <c r="M21" s="279">
        <f>IFERROR(IF(M37&lt;5,0,HLOOKUP(M20,현재시즌!$C$3:$AU$10,4,FALSE)*100),0)</f>
        <v>0</v>
      </c>
      <c r="N21" s="279">
        <f>IFERROR(IF(N37&lt;5,0,HLOOKUP(N20,현재시즌!$C$3:$AU$10,4,FALSE)*100),0)</f>
        <v>50</v>
      </c>
      <c r="O21" s="279">
        <f>IFERROR(IF(O37&lt;5,0,HLOOKUP(O20,현재시즌!$C$3:$AU$10,4,FALSE)*100),0)</f>
        <v>62.5</v>
      </c>
      <c r="P21" s="279">
        <f>IFERROR(IF(P37&lt;5,0,HLOOKUP(P20,현재시즌!$C$3:$AU$10,4,FALSE)*100),0)</f>
        <v>0</v>
      </c>
      <c r="Q21" s="279">
        <f>IFERROR(IF(Q37&lt;5,0,HLOOKUP(Q20,현재시즌!$C$3:$AU$10,4,FALSE)*100),0)</f>
        <v>0</v>
      </c>
      <c r="R21" s="279">
        <f>IFERROR(IF(R37&lt;5,0,HLOOKUP(R20,현재시즌!$C$3:$AU$10,4,FALSE)*100),0)</f>
        <v>46.153846153846153</v>
      </c>
      <c r="S21" s="279">
        <f>IFERROR(IF(S37&lt;5,0,HLOOKUP(S20,현재시즌!$C$3:$AU$10,4,FALSE)*100),0)</f>
        <v>40</v>
      </c>
      <c r="T21" s="279">
        <f>IFERROR(IF(T37&lt;5,0,HLOOKUP(T20,현재시즌!$C$3:$AU$10,4,FALSE)*100),0)</f>
        <v>64.705882352941174</v>
      </c>
      <c r="U21" s="279">
        <f>IFERROR(IF(U37&lt;5,0,HLOOKUP(U20,현재시즌!$C$3:$AU$10,4,FALSE)*100),0)</f>
        <v>50</v>
      </c>
      <c r="V21" s="279">
        <f>IFERROR(IF(V37&lt;5,0,HLOOKUP(V20,현재시즌!$C$3:$AU$10,4,FALSE)*100),0)</f>
        <v>0</v>
      </c>
      <c r="W21" s="279">
        <f>IFERROR(IF(W37&lt;5,0,HLOOKUP(W20,현재시즌!$C$3:$AU$10,4,FALSE)*100),0)</f>
        <v>0</v>
      </c>
      <c r="X21" s="279">
        <f>IFERROR(IF(X37&lt;5,0,HLOOKUP(X20,현재시즌!$C$3:$AU$10,4,FALSE)*100),0)</f>
        <v>68.965517241379317</v>
      </c>
      <c r="Y21" s="279">
        <f>IFERROR(IF(Y37&lt;5,0,HLOOKUP(Y20,현재시즌!$C$3:$AU$10,4,FALSE)*100),0)</f>
        <v>27.27272727272727</v>
      </c>
      <c r="Z21" s="279">
        <f>IFERROR(IF(Z37&lt;5,0,HLOOKUP(Z20,현재시즌!$C$3:$AU$10,4,FALSE)*100),0)</f>
        <v>51.162790697674424</v>
      </c>
      <c r="AA21" s="279">
        <f>IFERROR(IF(AA37&lt;5,0,HLOOKUP(AA20,현재시즌!$C$3:$AU$10,4,FALSE)*100),0)</f>
        <v>0</v>
      </c>
      <c r="AB21" s="279">
        <f>IFERROR(IF(AB37&lt;5,0,HLOOKUP(AB20,현재시즌!$C$3:$AU$10,4,FALSE)*100),0)</f>
        <v>39.130434782608695</v>
      </c>
      <c r="AC21" s="279">
        <f>IFERROR(IF(AC37&lt;5,0,HLOOKUP(AC20,현재시즌!$C$3:$AU$10,4,FALSE)*100),0)</f>
        <v>0</v>
      </c>
      <c r="AD21" s="279">
        <f>IFERROR(IF(AD37&lt;5,0,HLOOKUP(AD20,현재시즌!$C$3:$AU$10,4,FALSE)*100),0)</f>
        <v>56.25</v>
      </c>
      <c r="AE21" s="279">
        <f>IFERROR(IF(AE37&lt;5,0,HLOOKUP(AE20,현재시즌!$C$3:$AU$10,4,FALSE)*100),0)</f>
        <v>0</v>
      </c>
      <c r="AF21" s="279">
        <f>IFERROR(IF(AF37&lt;5,0,HLOOKUP(AF20,현재시즌!$C$3:$AU$10,4,FALSE)*100),0)</f>
        <v>42.424242424242422</v>
      </c>
      <c r="AG21" s="279">
        <f>IFERROR(IF(AG37&lt;5,0,HLOOKUP(AG20,현재시즌!$C$3:$AU$10,4,FALSE)*100),0)</f>
        <v>52.380952380952387</v>
      </c>
      <c r="AH21" s="279">
        <f>IFERROR(IF(AH37&lt;5,0,HLOOKUP(AH20,현재시즌!$C$3:$AU$10,4,FALSE)*100),0)</f>
        <v>44.117647058823529</v>
      </c>
      <c r="AI21" s="279">
        <f>IFERROR(IF(AI37&lt;5,0,HLOOKUP(AI20,현재시즌!$C$3:$AU$10,4,FALSE)*100),0)</f>
        <v>0</v>
      </c>
      <c r="AJ21" s="279">
        <f>IFERROR(IF(AJ37&lt;5,0,HLOOKUP(AJ20,현재시즌!$C$3:$AU$10,4,FALSE)*100),0)</f>
        <v>0</v>
      </c>
      <c r="AK21" s="279">
        <f>IFERROR(IF(AK37&lt;5,0,HLOOKUP(AK20,현재시즌!$C$3:$AU$10,4,FALSE)*100),0)</f>
        <v>41.025641025641022</v>
      </c>
      <c r="AL21" s="279">
        <f>IFERROR(IF(AL37&lt;5,0,HLOOKUP(AL20,현재시즌!$C$3:$AU$10,4,FALSE)*100),0)</f>
        <v>47.826086956521742</v>
      </c>
      <c r="AM21" s="279">
        <f>IFERROR(IF(AM37&lt;5,0,HLOOKUP(AM20,현재시즌!$C$3:$AU$10,4,FALSE)*100),0)</f>
        <v>0</v>
      </c>
      <c r="AN21" s="279">
        <f>IFERROR(IF(AN37&lt;5,0,HLOOKUP(AN20,현재시즌!$C$3:$AU$10,4,FALSE)*100),0)</f>
        <v>0</v>
      </c>
      <c r="AO21" s="279">
        <f>IFERROR(IF(AO37&lt;5,0,HLOOKUP(AO20,현재시즌!$C$3:$AU$10,4,FALSE)*100),0)</f>
        <v>0</v>
      </c>
      <c r="AP21" s="279">
        <f>IFERROR(IF(AP37&lt;5,0,HLOOKUP(AP20,현재시즌!$C$3:$AU$10,4,FALSE)*100),0)</f>
        <v>0</v>
      </c>
      <c r="AQ21" s="279">
        <f>IFERROR(IF(AQ37&lt;5,0,HLOOKUP(AQ20,현재시즌!$C$3:$AU$10,4,FALSE)*100),0)</f>
        <v>0</v>
      </c>
      <c r="AR21" s="279">
        <f>IFERROR(IF(AR37&lt;5,0,HLOOKUP(AR20,현재시즌!$C$3:$AU$10,4,FALSE)*100),0)</f>
        <v>0</v>
      </c>
      <c r="AS21" s="279">
        <f>IFERROR(IF(AS37&lt;5,0,HLOOKUP(AS20,현재시즌!$C$3:$AU$10,4,FALSE)*100),0)</f>
        <v>0</v>
      </c>
      <c r="AT21" s="279">
        <f>IFERROR(IF(AT37&lt;5,0,HLOOKUP(AT20,현재시즌!$C$3:$AU$10,4,FALSE)*100),0)</f>
        <v>0</v>
      </c>
      <c r="AU21" s="279">
        <f>IFERROR(IF(AU37&lt;5,0,HLOOKUP(AU20,현재시즌!$C$3:$AU$10,4,FALSE)*100),0)</f>
        <v>0</v>
      </c>
    </row>
    <row r="22" spans="2:47">
      <c r="B22" s="28" t="s">
        <v>426</v>
      </c>
      <c r="C22" s="279">
        <f>IFERROR(HLOOKUP(C20,지난시즌_MMR참고용!$C$3:$AU$10,4,FALSE),0)</f>
        <v>0</v>
      </c>
      <c r="D22" s="279">
        <f>IFERROR(HLOOKUP(D20,지난시즌_MMR참고용!$C$3:$AU$10,4,FALSE),0)</f>
        <v>0</v>
      </c>
      <c r="E22" s="279">
        <f>IFERROR(HLOOKUP(E20,지난시즌_MMR참고용!$C$3:$AU$10,4,FALSE),0)</f>
        <v>0.42553191489361702</v>
      </c>
      <c r="F22" s="279">
        <f>IFERROR(HLOOKUP(F20,지난시즌_MMR참고용!$C$3:$AU$10,4,FALSE),0)</f>
        <v>0.6</v>
      </c>
      <c r="G22" s="279">
        <f>IFERROR(HLOOKUP(G20,지난시즌_MMR참고용!$C$3:$AU$10,4,FALSE),0)</f>
        <v>0.14285714285714285</v>
      </c>
      <c r="H22" s="279">
        <f>IFERROR(HLOOKUP(H20,지난시즌_MMR참고용!$C$3:$AU$10,4,FALSE),0)</f>
        <v>0</v>
      </c>
      <c r="I22" s="279">
        <f>IFERROR(HLOOKUP(I20,지난시즌_MMR참고용!$C$3:$AU$10,4,FALSE),0)</f>
        <v>0.8</v>
      </c>
      <c r="J22" s="279">
        <f>IFERROR(HLOOKUP(J20,지난시즌_MMR참고용!$C$3:$AU$10,4,FALSE),0)</f>
        <v>0</v>
      </c>
      <c r="K22" s="279">
        <f>IFERROR(HLOOKUP(K20,지난시즌_MMR참고용!$C$3:$AU$10,4,FALSE),0)</f>
        <v>0.66666666666666663</v>
      </c>
      <c r="L22" s="279">
        <f>IFERROR(HLOOKUP(L20,지난시즌_MMR참고용!$C$3:$AU$10,4,FALSE),0)</f>
        <v>0</v>
      </c>
      <c r="M22" s="279">
        <f>IFERROR(HLOOKUP(M20,지난시즌_MMR참고용!$C$3:$AU$10,4,FALSE),0)</f>
        <v>0</v>
      </c>
      <c r="N22" s="279">
        <f>IFERROR(HLOOKUP(N20,지난시즌_MMR참고용!$C$3:$AU$10,4,FALSE),0)</f>
        <v>0.58974358974358976</v>
      </c>
      <c r="O22" s="279">
        <f>IFERROR(HLOOKUP(O20,지난시즌_MMR참고용!$C$3:$AU$10,4,FALSE),0)</f>
        <v>0.58139534883720934</v>
      </c>
      <c r="P22" s="279">
        <f>IFERROR(HLOOKUP(P20,지난시즌_MMR참고용!$C$3:$AU$10,4,FALSE),0)</f>
        <v>0</v>
      </c>
      <c r="Q22" s="279">
        <f>IFERROR(HLOOKUP(Q20,지난시즌_MMR참고용!$C$3:$AU$10,4,FALSE),0)</f>
        <v>0</v>
      </c>
      <c r="R22" s="279">
        <f>IFERROR(HLOOKUP(R20,지난시즌_MMR참고용!$C$3:$AU$10,4,FALSE),0)</f>
        <v>0.42105263157894735</v>
      </c>
      <c r="S22" s="279">
        <f>IFERROR(HLOOKUP(S20,지난시즌_MMR참고용!$C$3:$AU$10,4,FALSE),0)</f>
        <v>0.375</v>
      </c>
      <c r="T22" s="279">
        <f>IFERROR(HLOOKUP(T20,지난시즌_MMR참고용!$C$3:$AU$10,4,FALSE),0)</f>
        <v>0.23529411764705882</v>
      </c>
      <c r="U22" s="279">
        <f>IFERROR(HLOOKUP(U20,지난시즌_MMR참고용!$C$3:$AU$10,4,FALSE),0)</f>
        <v>0</v>
      </c>
      <c r="V22" s="279">
        <f>IFERROR(HLOOKUP(V20,지난시즌_MMR참고용!$C$3:$AU$10,4,FALSE),0)</f>
        <v>0</v>
      </c>
      <c r="W22" s="279">
        <f>IFERROR(HLOOKUP(W20,지난시즌_MMR참고용!$C$3:$AU$10,4,FALSE),0)</f>
        <v>0</v>
      </c>
      <c r="X22" s="279">
        <f>IFERROR(HLOOKUP(X20,지난시즌_MMR참고용!$C$3:$AU$10,4,FALSE),0)</f>
        <v>0.66666666666666663</v>
      </c>
      <c r="Y22" s="279">
        <f>IFERROR(HLOOKUP(Y20,지난시즌_MMR참고용!$C$3:$AU$10,4,FALSE),0)</f>
        <v>0.46296296296296297</v>
      </c>
      <c r="Z22" s="279">
        <f>IFERROR(HLOOKUP(Z20,지난시즌_MMR참고용!$C$3:$AU$10,4,FALSE),0)</f>
        <v>0.43181818181818182</v>
      </c>
      <c r="AA22" s="279">
        <f>IFERROR(HLOOKUP(AA20,지난시즌_MMR참고용!$C$3:$AU$10,4,FALSE),0)</f>
        <v>0.47058823529411764</v>
      </c>
      <c r="AB22" s="279">
        <f>IFERROR(HLOOKUP(AB20,지난시즌_MMR참고용!$C$3:$AU$10,4,FALSE),0)</f>
        <v>0.39534883720930231</v>
      </c>
      <c r="AC22" s="279">
        <f>IFERROR(HLOOKUP(AC20,지난시즌_MMR참고용!$C$3:$AU$10,4,FALSE),0)</f>
        <v>0</v>
      </c>
      <c r="AD22" s="279">
        <f>IFERROR(HLOOKUP(AD20,지난시즌_MMR참고용!$C$3:$AU$10,4,FALSE),0)</f>
        <v>0.83333333333333337</v>
      </c>
      <c r="AE22" s="279">
        <f>IFERROR(HLOOKUP(AE20,지난시즌_MMR참고용!$C$3:$AU$10,4,FALSE),0)</f>
        <v>0</v>
      </c>
      <c r="AF22" s="279">
        <f>IFERROR(HLOOKUP(AF20,지난시즌_MMR참고용!$C$3:$AU$10,4,FALSE),0)</f>
        <v>0</v>
      </c>
      <c r="AG22" s="279">
        <f>IFERROR(HLOOKUP(AG20,지난시즌_MMR참고용!$C$3:$AU$10,4,FALSE),0)</f>
        <v>0.66666666666666663</v>
      </c>
      <c r="AH22" s="279">
        <f>IFERROR(HLOOKUP(AH20,지난시즌_MMR참고용!$C$3:$AU$10,4,FALSE),0)</f>
        <v>0.51111111111111107</v>
      </c>
      <c r="AI22" s="279">
        <f>IFERROR(HLOOKUP(AI20,지난시즌_MMR참고용!$C$3:$AU$10,4,FALSE),0)</f>
        <v>0</v>
      </c>
      <c r="AJ22" s="279">
        <f>IFERROR(HLOOKUP(AJ20,지난시즌_MMR참고용!$C$3:$AU$10,4,FALSE),0)</f>
        <v>0</v>
      </c>
      <c r="AK22" s="279">
        <f>IFERROR(HLOOKUP(AK20,지난시즌_MMR참고용!$C$3:$AU$10,4,FALSE),0)</f>
        <v>0.39655172413793105</v>
      </c>
      <c r="AL22" s="279">
        <f>IFERROR(HLOOKUP(AL20,지난시즌_MMR참고용!$C$3:$AU$10,4,FALSE),0)</f>
        <v>0</v>
      </c>
      <c r="AM22" s="279">
        <f>IFERROR(HLOOKUP(AM20,지난시즌_MMR참고용!$C$3:$AU$10,4,FALSE),0)</f>
        <v>0</v>
      </c>
      <c r="AN22" s="279">
        <f>IFERROR(HLOOKUP(AN20,지난시즌_MMR참고용!$C$3:$AU$10,4,FALSE),0)</f>
        <v>0</v>
      </c>
      <c r="AO22" s="279">
        <f>IFERROR(HLOOKUP(AO20,지난시즌_MMR참고용!$C$3:$AU$10,4,FALSE),0)</f>
        <v>0</v>
      </c>
      <c r="AP22" s="279">
        <f>IFERROR(HLOOKUP(AP20,지난시즌_MMR참고용!$C$3:$AU$10,4,FALSE),0)</f>
        <v>0</v>
      </c>
      <c r="AQ22" s="279">
        <f>IFERROR(HLOOKUP(AQ20,지난시즌_MMR참고용!$C$3:$AU$10,4,FALSE),0)</f>
        <v>0</v>
      </c>
      <c r="AR22" s="279">
        <f>IFERROR(HLOOKUP(AR20,지난시즌_MMR참고용!$C$3:$AU$10,4,FALSE),0)</f>
        <v>0</v>
      </c>
      <c r="AS22" s="279">
        <f>IFERROR(HLOOKUP(AS20,지난시즌_MMR참고용!$C$3:$AU$10,4,FALSE),0)</f>
        <v>0</v>
      </c>
      <c r="AT22" s="279">
        <f>IFERROR(HLOOKUP(AT20,지난시즌_MMR참고용!$C$3:$AU$10,4,FALSE),0)</f>
        <v>0</v>
      </c>
      <c r="AU22" s="279">
        <f>IFERROR(HLOOKUP(AU20,지난시즌_MMR참고용!$C$3:$AU$10,4,FALSE),0)</f>
        <v>0</v>
      </c>
    </row>
    <row r="23" spans="2:47">
      <c r="B23" s="28" t="s">
        <v>446</v>
      </c>
      <c r="C23" s="279">
        <f>IFERROR(IF(C22=0,IF(C37&lt;5,HLOOKUP(C20,현재시즌!$C$3:$AU$10,4,FALSE)*1,0),0),0)</f>
        <v>0</v>
      </c>
      <c r="D23" s="279">
        <f>IFERROR(IF(D22=0,IF(D37&lt;5,HLOOKUP(D20,현재시즌!$C$3:$AU$10,4,FALSE)*1,0),0),0)</f>
        <v>0</v>
      </c>
      <c r="E23" s="279">
        <f>IFERROR(IF(E22=0,IF(E37&lt;5,HLOOKUP(E20,현재시즌!$C$3:$AU$10,4,FALSE)*1,0),0),0)</f>
        <v>0</v>
      </c>
      <c r="F23" s="279">
        <f>IFERROR(IF(F22=0,IF(F37&lt;5,HLOOKUP(F20,현재시즌!$C$3:$AU$10,4,FALSE)*1,0),0),0)</f>
        <v>0</v>
      </c>
      <c r="G23" s="279">
        <f>IFERROR(IF(G22=0,IF(G37&lt;5,HLOOKUP(G20,현재시즌!$C$3:$AU$10,4,FALSE)*1,0),0),0)</f>
        <v>0</v>
      </c>
      <c r="H23" s="279">
        <f>IFERROR(IF(H22=0,IF(H37&lt;5,HLOOKUP(H20,현재시즌!$C$3:$AU$10,4,FALSE)*1,0),0),0)</f>
        <v>0</v>
      </c>
      <c r="I23" s="279">
        <f>IFERROR(IF(I22=0,IF(I37&lt;5,HLOOKUP(I20,현재시즌!$C$3:$AU$10,4,FALSE)*1,0),0),0)</f>
        <v>0</v>
      </c>
      <c r="J23" s="279">
        <f>IFERROR(IF(J22=0,IF(J37&lt;5,HLOOKUP(J20,현재시즌!$C$3:$AU$10,4,FALSE)*1,0),0),0)</f>
        <v>0</v>
      </c>
      <c r="K23" s="279">
        <f>IFERROR(IF(K22=0,IF(K37&lt;5,HLOOKUP(K20,현재시즌!$C$3:$AU$10,4,FALSE)*1,0),0),0)</f>
        <v>0</v>
      </c>
      <c r="L23" s="279">
        <f>IFERROR(IF(L22=0,IF(L37&lt;5,HLOOKUP(L20,현재시즌!$C$3:$AU$10,4,FALSE)*1,0),0),0)</f>
        <v>0</v>
      </c>
      <c r="M23" s="279">
        <f>IFERROR(IF(M22=0,IF(M37&lt;5,HLOOKUP(M20,현재시즌!$C$3:$AU$10,4,FALSE)*1,0),0),0)</f>
        <v>0</v>
      </c>
      <c r="N23" s="279">
        <f>IFERROR(IF(N22=0,IF(N37&lt;5,HLOOKUP(N20,현재시즌!$C$3:$AU$10,4,FALSE)*1,0),0),0)</f>
        <v>0</v>
      </c>
      <c r="O23" s="279">
        <f>IFERROR(IF(O22=0,IF(O37&lt;5,HLOOKUP(O20,현재시즌!$C$3:$AU$10,4,FALSE)*1,0),0),0)</f>
        <v>0</v>
      </c>
      <c r="P23" s="279">
        <f>IFERROR(IF(P22=0,IF(P37&lt;5,HLOOKUP(P20,현재시즌!$C$3:$AU$10,4,FALSE)*1,0),0),0)</f>
        <v>0</v>
      </c>
      <c r="Q23" s="279">
        <f>IFERROR(IF(Q22=0,IF(Q37&lt;5,HLOOKUP(Q20,현재시즌!$C$3:$AU$10,4,FALSE)*1,0),0),0)</f>
        <v>0</v>
      </c>
      <c r="R23" s="279">
        <f>IFERROR(IF(R22=0,IF(R37&lt;5,HLOOKUP(R20,현재시즌!$C$3:$AU$10,4,FALSE)*1,0),0),0)</f>
        <v>0</v>
      </c>
      <c r="S23" s="279">
        <f>IFERROR(IF(S22=0,IF(S37&lt;5,HLOOKUP(S20,현재시즌!$C$3:$AU$10,4,FALSE)*1,0),0),0)</f>
        <v>0</v>
      </c>
      <c r="T23" s="279">
        <f>IFERROR(IF(T22=0,IF(T37&lt;5,HLOOKUP(T20,현재시즌!$C$3:$AU$10,4,FALSE)*1,0),0),0)</f>
        <v>0</v>
      </c>
      <c r="U23" s="279">
        <f>IFERROR(IF(U22=0,IF(U37&lt;5,HLOOKUP(U20,현재시즌!$C$3:$AU$10,4,FALSE)*1,0),0),0)</f>
        <v>0</v>
      </c>
      <c r="V23" s="279">
        <f>IFERROR(IF(V22=0,IF(V37&lt;5,HLOOKUP(V20,현재시즌!$C$3:$AU$10,4,FALSE)*1,0),0),0)</f>
        <v>0</v>
      </c>
      <c r="W23" s="279">
        <f>IFERROR(IF(W22=0,IF(W37&lt;5,HLOOKUP(W20,현재시즌!$C$3:$AU$10,4,FALSE)*1,0),0),0)</f>
        <v>0</v>
      </c>
      <c r="X23" s="279">
        <f>IFERROR(IF(X22=0,IF(X37&lt;5,HLOOKUP(X20,현재시즌!$C$3:$AU$10,4,FALSE)*1,0),0),0)</f>
        <v>0</v>
      </c>
      <c r="Y23" s="279">
        <f>IFERROR(IF(Y22=0,IF(Y37&lt;5,HLOOKUP(Y20,현재시즌!$C$3:$AU$10,4,FALSE)*1,0),0),0)</f>
        <v>0</v>
      </c>
      <c r="Z23" s="279">
        <f>IFERROR(IF(Z22=0,IF(Z37&lt;5,HLOOKUP(Z20,현재시즌!$C$3:$AU$10,4,FALSE)*1,0),0),0)</f>
        <v>0</v>
      </c>
      <c r="AA23" s="279">
        <f>IFERROR(IF(AA22=0,IF(AA37&lt;5,HLOOKUP(AA20,현재시즌!$C$3:$AU$10,4,FALSE)*1,0),0),0)</f>
        <v>0</v>
      </c>
      <c r="AB23" s="279">
        <f>IFERROR(IF(AB22=0,IF(AB37&lt;5,HLOOKUP(AB20,현재시즌!$C$3:$AU$10,4,FALSE)*1,0),0),0)</f>
        <v>0</v>
      </c>
      <c r="AC23" s="279">
        <f>IFERROR(IF(AC22=0,IF(AC37&lt;5,HLOOKUP(AC20,현재시즌!$C$3:$AU$10,4,FALSE)*1,0),0),0)</f>
        <v>0</v>
      </c>
      <c r="AD23" s="279">
        <f>IFERROR(IF(AD22=0,IF(AD37&lt;5,HLOOKUP(AD20,현재시즌!$C$3:$AU$10,4,FALSE)*1,0),0),0)</f>
        <v>0</v>
      </c>
      <c r="AE23" s="279">
        <f>IFERROR(IF(AE22=0,IF(AE37&lt;5,HLOOKUP(AE20,현재시즌!$C$3:$AU$10,4,FALSE)*1,0),0),0)</f>
        <v>0</v>
      </c>
      <c r="AF23" s="279">
        <f>IFERROR(IF(AF22=0,IF(AF37&lt;5,HLOOKUP(AF20,현재시즌!$C$3:$AU$10,4,FALSE)*1,0),0),0)</f>
        <v>0</v>
      </c>
      <c r="AG23" s="279">
        <f>IFERROR(IF(AG22=0,IF(AG37&lt;5,HLOOKUP(AG20,현재시즌!$C$3:$AU$10,4,FALSE)*1,0),0),0)</f>
        <v>0</v>
      </c>
      <c r="AH23" s="279">
        <f>IFERROR(IF(AH22=0,IF(AH37&lt;5,HLOOKUP(AH20,현재시즌!$C$3:$AU$10,4,FALSE)*1,0),0),0)</f>
        <v>0</v>
      </c>
      <c r="AI23" s="279">
        <f>IFERROR(IF(AI22=0,IF(AI37&lt;5,HLOOKUP(AI20,현재시즌!$C$3:$AU$10,4,FALSE)*1,0),0),0)</f>
        <v>0</v>
      </c>
      <c r="AJ23" s="279">
        <f>IFERROR(IF(AJ22=0,IF(AJ37&lt;5,HLOOKUP(AJ20,현재시즌!$C$3:$AU$10,4,FALSE)*1,0),0),0)</f>
        <v>0</v>
      </c>
      <c r="AK23" s="279">
        <f>IFERROR(IF(AK22=0,IF(AK37&lt;5,HLOOKUP(AK20,현재시즌!$C$3:$AU$10,4,FALSE)*1,0),0),0)</f>
        <v>0</v>
      </c>
      <c r="AL23" s="279">
        <f>IFERROR(IF(AL22=0,IF(AL37&lt;5,HLOOKUP(AL20,현재시즌!$C$3:$AU$10,4,FALSE)*1,0),0),0)</f>
        <v>0</v>
      </c>
      <c r="AM23" s="279">
        <f>IFERROR(IF(AM22=0,IF(AM37&lt;5,HLOOKUP(AM20,현재시즌!$C$3:$AU$10,4,FALSE)*1,0),0),0)</f>
        <v>0</v>
      </c>
      <c r="AN23" s="279">
        <f>IFERROR(IF(AN22=0,IF(AN37&lt;5,HLOOKUP(AN20,현재시즌!$C$3:$AU$10,4,FALSE)*1,0),0),0)</f>
        <v>0</v>
      </c>
      <c r="AO23" s="279">
        <f>IFERROR(IF(AO22=0,IF(AO37&lt;5,HLOOKUP(AO20,현재시즌!$C$3:$AU$10,4,FALSE)*1,0),0),0)</f>
        <v>0</v>
      </c>
      <c r="AP23" s="279">
        <f>IFERROR(IF(AP22=0,IF(AP37&lt;5,HLOOKUP(AP20,현재시즌!$C$3:$AU$10,4,FALSE)*1,0),0),0)</f>
        <v>0</v>
      </c>
      <c r="AQ23" s="279">
        <f>IFERROR(IF(AQ22=0,IF(AQ37&lt;5,HLOOKUP(AQ20,현재시즌!$C$3:$AU$10,4,FALSE)*1,0),0),0)</f>
        <v>0</v>
      </c>
      <c r="AR23" s="279">
        <f>IFERROR(IF(AR22=0,IF(AR37&lt;5,HLOOKUP(AR20,현재시즌!$C$3:$AU$10,4,FALSE)*1,0),0),0)</f>
        <v>0</v>
      </c>
      <c r="AS23" s="279">
        <f>IFERROR(IF(AS22=0,IF(AS37&lt;5,HLOOKUP(AS20,현재시즌!$C$3:$AU$10,4,FALSE)*1,0),0),0)</f>
        <v>0</v>
      </c>
      <c r="AT23" s="279">
        <f>IFERROR(IF(AT22=0,IF(AT37&lt;5,HLOOKUP(AT20,현재시즌!$C$3:$AU$10,4,FALSE)*1,0),0),0)</f>
        <v>0</v>
      </c>
      <c r="AU23" s="279">
        <f>IFERROR(IF(AU22=0,IF(AU37&lt;5,HLOOKUP(AU20,현재시즌!$C$3:$AU$10,4,FALSE)*1,0),0),0)</f>
        <v>0</v>
      </c>
    </row>
    <row r="24" spans="2:47">
      <c r="B24" s="28" t="s">
        <v>447</v>
      </c>
      <c r="C24" s="279">
        <f>IF(C37&lt;5,0,HLOOKUP(C20,현재시즌!$C$3:$AU$10,8,FALSE)*0.01)</f>
        <v>0</v>
      </c>
      <c r="D24" s="279">
        <f>IF(D37&lt;5,0,HLOOKUP(D20,현재시즌!$C$3:$AU$10,8,FALSE)*0.01)</f>
        <v>0</v>
      </c>
      <c r="E24" s="279">
        <f>IF(E37&lt;5,0,HLOOKUP(E20,현재시즌!$C$3:$AU$10,8,FALSE)*0.01)</f>
        <v>2.0669834327757353</v>
      </c>
      <c r="F24" s="279">
        <f>IF(F37&lt;5,0,HLOOKUP(F20,현재시즌!$C$3:$AU$10,8,FALSE)*0.01)</f>
        <v>0</v>
      </c>
      <c r="G24" s="279">
        <f>IF(G37&lt;5,0,HLOOKUP(G20,현재시즌!$C$3:$AU$10,8,FALSE)*0.01)</f>
        <v>0</v>
      </c>
      <c r="H24" s="279">
        <f>IF(H37&lt;5,0,HLOOKUP(H20,현재시즌!$C$3:$AU$10,8,FALSE)*0.01)</f>
        <v>0</v>
      </c>
      <c r="I24" s="279">
        <f>IF(I37&lt;5,0,HLOOKUP(I20,현재시즌!$C$3:$AU$10,8,FALSE)*0.01)</f>
        <v>0.35646666666666671</v>
      </c>
      <c r="J24" s="279">
        <f>IF(J37&lt;5,0,HLOOKUP(J20,현재시즌!$C$3:$AU$10,8,FALSE)*0.01)</f>
        <v>1.0969007293198154</v>
      </c>
      <c r="K24" s="279">
        <f>IF(K37&lt;5,0,HLOOKUP(K20,현재시즌!$C$3:$AU$10,8,FALSE)*0.01)</f>
        <v>2.5296698966987088</v>
      </c>
      <c r="L24" s="279">
        <f>IF(L37&lt;5,0,HLOOKUP(L20,현재시즌!$C$3:$AU$10,8,FALSE)*0.01)</f>
        <v>0</v>
      </c>
      <c r="M24" s="279">
        <f>IF(M37&lt;5,0,HLOOKUP(M20,현재시즌!$C$3:$AU$10,8,FALSE)*0.01)</f>
        <v>0</v>
      </c>
      <c r="N24" s="279">
        <f>IF(N37&lt;5,0,HLOOKUP(N20,현재시즌!$C$3:$AU$10,8,FALSE)*0.01)</f>
        <v>1.3876831115122679</v>
      </c>
      <c r="O24" s="279">
        <f>IF(O37&lt;5,0,HLOOKUP(O20,현재시즌!$C$3:$AU$10,8,FALSE)*0.01)</f>
        <v>2.3192474811222845</v>
      </c>
      <c r="P24" s="279">
        <f>IF(P37&lt;5,0,HLOOKUP(P20,현재시즌!$C$3:$AU$10,8,FALSE)*0.01)</f>
        <v>0</v>
      </c>
      <c r="Q24" s="279">
        <f>IF(Q37&lt;5,0,HLOOKUP(Q20,현재시즌!$C$3:$AU$10,8,FALSE)*0.01)</f>
        <v>0</v>
      </c>
      <c r="R24" s="279">
        <f>IF(R37&lt;5,0,HLOOKUP(R20,현재시즌!$C$3:$AU$10,8,FALSE)*0.01)</f>
        <v>1.9151117755781764</v>
      </c>
      <c r="S24" s="279">
        <f>IF(S37&lt;5,0,HLOOKUP(S20,현재시즌!$C$3:$AU$10,8,FALSE)*0.01)</f>
        <v>0.76144620811287478</v>
      </c>
      <c r="T24" s="279">
        <f>IF(T37&lt;5,0,HLOOKUP(T20,현재시즌!$C$3:$AU$10,8,FALSE)*0.01)</f>
        <v>2.8732850256898894</v>
      </c>
      <c r="U24" s="279">
        <f>IF(U37&lt;5,0,HLOOKUP(U20,현재시즌!$C$3:$AU$10,8,FALSE)*0.01)</f>
        <v>1.7744769344495488</v>
      </c>
      <c r="V24" s="279">
        <f>IF(V37&lt;5,0,HLOOKUP(V20,현재시즌!$C$3:$AU$10,8,FALSE)*0.01)</f>
        <v>0</v>
      </c>
      <c r="W24" s="279">
        <f>IF(W37&lt;5,0,HLOOKUP(W20,현재시즌!$C$3:$AU$10,8,FALSE)*0.01)</f>
        <v>0</v>
      </c>
      <c r="X24" s="279">
        <f>IF(X37&lt;5,0,HLOOKUP(X20,현재시즌!$C$3:$AU$10,8,FALSE)*0.01)</f>
        <v>2.4012987333318314</v>
      </c>
      <c r="Y24" s="279">
        <f>IF(Y37&lt;5,0,HLOOKUP(Y20,현재시즌!$C$3:$AU$10,8,FALSE)*0.01)</f>
        <v>0.44551461940243997</v>
      </c>
      <c r="Z24" s="279">
        <f>IF(Z37&lt;5,0,HLOOKUP(Z20,현재시즌!$C$3:$AU$10,8,FALSE)*0.01)</f>
        <v>2.5146877210208562</v>
      </c>
      <c r="AA24" s="279">
        <f>IF(AA37&lt;5,0,HLOOKUP(AA20,현재시즌!$C$3:$AU$10,8,FALSE)*0.01)</f>
        <v>0</v>
      </c>
      <c r="AB24" s="279">
        <f>IF(AB37&lt;5,0,HLOOKUP(AB20,현재시즌!$C$3:$AU$10,8,FALSE)*0.01)</f>
        <v>1.0205098773393655</v>
      </c>
      <c r="AC24" s="279">
        <f>IF(AC37&lt;5,0,HLOOKUP(AC20,현재시즌!$C$3:$AU$10,8,FALSE)*0.01)</f>
        <v>0</v>
      </c>
      <c r="AD24" s="279">
        <f>IF(AD37&lt;5,0,HLOOKUP(AD20,현재시즌!$C$3:$AU$10,8,FALSE)*0.01)</f>
        <v>1.9590653142611476</v>
      </c>
      <c r="AE24" s="279">
        <f>IF(AE37&lt;5,0,HLOOKUP(AE20,현재시즌!$C$3:$AU$10,8,FALSE)*0.01)</f>
        <v>0</v>
      </c>
      <c r="AF24" s="279">
        <f>IF(AF37&lt;5,0,HLOOKUP(AF20,현재시즌!$C$3:$AU$10,8,FALSE)*0.01)</f>
        <v>1.6848257424187492</v>
      </c>
      <c r="AG24" s="279">
        <f>IF(AG37&lt;5,0,HLOOKUP(AG20,현재시즌!$C$3:$AU$10,8,FALSE)*0.01)</f>
        <v>2.3064975332345852</v>
      </c>
      <c r="AH24" s="279">
        <f>IF(AH37&lt;5,0,HLOOKUP(AH20,현재시즌!$C$3:$AU$10,8,FALSE)*0.01)</f>
        <v>1.7664919674773203</v>
      </c>
      <c r="AI24" s="279">
        <f>IF(AI37&lt;5,0,HLOOKUP(AI20,현재시즌!$C$3:$AU$10,8,FALSE)*0.01)</f>
        <v>0</v>
      </c>
      <c r="AJ24" s="279">
        <f>IF(AJ37&lt;5,0,HLOOKUP(AJ20,현재시즌!$C$3:$AU$10,8,FALSE)*0.01)</f>
        <v>0</v>
      </c>
      <c r="AK24" s="279">
        <f>IF(AK37&lt;5,0,HLOOKUP(AK20,현재시즌!$C$3:$AU$10,8,FALSE)*0.01)</f>
        <v>1.9093431023795657</v>
      </c>
      <c r="AL24" s="279">
        <f>IF(AL37&lt;5,0,HLOOKUP(AL20,현재시즌!$C$3:$AU$10,8,FALSE)*0.01)</f>
        <v>1.887530737648595</v>
      </c>
      <c r="AM24" s="279">
        <f>IF(AM37&lt;5,0,HLOOKUP(AM20,현재시즌!$C$3:$AU$10,8,FALSE)*0.01)</f>
        <v>0</v>
      </c>
      <c r="AN24" s="279">
        <f>IF(AN37&lt;5,0,HLOOKUP(AN20,현재시즌!$C$3:$AU$10,8,FALSE)*0.01)</f>
        <v>0</v>
      </c>
      <c r="AO24" s="279">
        <f>IF(AO37&lt;5,0,HLOOKUP(AO20,현재시즌!$C$3:$AU$10,8,FALSE)*0.01)</f>
        <v>0</v>
      </c>
      <c r="AP24" s="279">
        <f>IF(AP37&lt;5,0,HLOOKUP(AP20,현재시즌!$C$3:$AU$10,8,FALSE)*0.01)</f>
        <v>0</v>
      </c>
      <c r="AQ24" s="279">
        <f>IF(AQ37&lt;5,0,HLOOKUP(AQ20,현재시즌!$C$3:$AU$10,8,FALSE)*0.01)</f>
        <v>0</v>
      </c>
      <c r="AR24" s="279">
        <f>IF(AR37&lt;5,0,HLOOKUP(AR20,현재시즌!$C$3:$AU$10,8,FALSE)*0.01)</f>
        <v>0</v>
      </c>
      <c r="AS24" s="279">
        <f>IF(AS37&lt;5,0,HLOOKUP(AS20,현재시즌!$C$3:$AU$10,8,FALSE)*0.01)</f>
        <v>0</v>
      </c>
      <c r="AT24" s="279">
        <f>IF(AT37&lt;5,0,HLOOKUP(AT20,현재시즌!$C$3:$AU$10,8,FALSE)*0.01)</f>
        <v>0</v>
      </c>
      <c r="AU24" s="279">
        <f>IF(AU37&lt;5,0,HLOOKUP(AU20,현재시즌!$C$3:$AU$10,8,FALSE)*0.01)</f>
        <v>0</v>
      </c>
    </row>
    <row r="25" spans="2:47">
      <c r="B25" s="28" t="s">
        <v>448</v>
      </c>
      <c r="C25" s="280">
        <f>IF(C37&lt;5,0,HLOOKUP(C20,현재시즌!$C$3:$AU$10,5,FALSE)*(-0.05))</f>
        <v>0</v>
      </c>
      <c r="D25" s="280">
        <f>IF(D37&lt;5,0,HLOOKUP(D20,현재시즌!$C$3:$AU$10,5,FALSE)*(-0.05))</f>
        <v>0</v>
      </c>
      <c r="E25" s="280">
        <f>IF(E37&lt;5,0,HLOOKUP(E20,현재시즌!$C$3:$AU$10,5,FALSE)*(-0.05))</f>
        <v>-2.25</v>
      </c>
      <c r="F25" s="280">
        <f>IF(F37&lt;5,0,HLOOKUP(F20,현재시즌!$C$3:$AU$10,5,FALSE)*(-0.05))</f>
        <v>0</v>
      </c>
      <c r="G25" s="280">
        <f>IF(G37&lt;5,0,HLOOKUP(G20,현재시즌!$C$3:$AU$10,5,FALSE)*(-0.05))</f>
        <v>0</v>
      </c>
      <c r="H25" s="280">
        <f>IF(H37&lt;5,0,HLOOKUP(H20,현재시즌!$C$3:$AU$10,5,FALSE)*(-0.05))</f>
        <v>0</v>
      </c>
      <c r="I25" s="280">
        <f>IF(I37&lt;5,0,HLOOKUP(I20,현재시즌!$C$3:$AU$10,5,FALSE)*(-0.05))</f>
        <v>-0.45</v>
      </c>
      <c r="J25" s="280">
        <f>IF(J37&lt;5,0,HLOOKUP(J20,현재시즌!$C$3:$AU$10,5,FALSE)*(-0.05))</f>
        <v>-1.4000000000000001</v>
      </c>
      <c r="K25" s="280">
        <f>IF(K37&lt;5,0,HLOOKUP(K20,현재시즌!$C$3:$AU$10,5,FALSE)*(-0.05))</f>
        <v>-2.1</v>
      </c>
      <c r="L25" s="280">
        <f>IF(L37&lt;5,0,HLOOKUP(L20,현재시즌!$C$3:$AU$10,5,FALSE)*(-0.05))</f>
        <v>0</v>
      </c>
      <c r="M25" s="280">
        <f>IF(M37&lt;5,0,HLOOKUP(M20,현재시즌!$C$3:$AU$10,5,FALSE)*(-0.05))</f>
        <v>0</v>
      </c>
      <c r="N25" s="280">
        <f>IF(N37&lt;5,0,HLOOKUP(N20,현재시즌!$C$3:$AU$10,5,FALSE)*(-0.05))</f>
        <v>-1.1000000000000001</v>
      </c>
      <c r="O25" s="280">
        <f>IF(O37&lt;5,0,HLOOKUP(O20,현재시즌!$C$3:$AU$10,5,FALSE)*(-0.05))</f>
        <v>-2</v>
      </c>
      <c r="P25" s="280">
        <f>IF(P37&lt;5,0,HLOOKUP(P20,현재시즌!$C$3:$AU$10,5,FALSE)*(-0.05))</f>
        <v>0</v>
      </c>
      <c r="Q25" s="280">
        <f>IF(Q37&lt;5,0,HLOOKUP(Q20,현재시즌!$C$3:$AU$10,5,FALSE)*(-0.05))</f>
        <v>0</v>
      </c>
      <c r="R25" s="280">
        <f>IF(R37&lt;5,0,HLOOKUP(R20,현재시즌!$C$3:$AU$10,5,FALSE)*(-0.05))</f>
        <v>-1.9500000000000002</v>
      </c>
      <c r="S25" s="280">
        <f>IF(S37&lt;5,0,HLOOKUP(S20,현재시즌!$C$3:$AU$10,5,FALSE)*(-0.05))</f>
        <v>-1</v>
      </c>
      <c r="T25" s="280">
        <f>IF(T37&lt;5,0,HLOOKUP(T20,현재시즌!$C$3:$AU$10,5,FALSE)*(-0.05))</f>
        <v>-1.7000000000000002</v>
      </c>
      <c r="U25" s="280">
        <f>IF(U37&lt;5,0,HLOOKUP(U20,현재시즌!$C$3:$AU$10,5,FALSE)*(-0.05))</f>
        <v>-1.4000000000000001</v>
      </c>
      <c r="V25" s="280">
        <f>IF(V37&lt;5,0,HLOOKUP(V20,현재시즌!$C$3:$AU$10,5,FALSE)*(-0.05))</f>
        <v>0</v>
      </c>
      <c r="W25" s="280">
        <f>IF(W37&lt;5,0,HLOOKUP(W20,현재시즌!$C$3:$AU$10,5,FALSE)*(-0.05))</f>
        <v>0</v>
      </c>
      <c r="X25" s="280">
        <f>IF(X37&lt;5,0,HLOOKUP(X20,현재시즌!$C$3:$AU$10,5,FALSE)*(-0.05))</f>
        <v>-1.4500000000000002</v>
      </c>
      <c r="Y25" s="280">
        <f>IF(Y37&lt;5,0,HLOOKUP(Y20,현재시즌!$C$3:$AU$10,5,FALSE)*(-0.05))</f>
        <v>-1.1000000000000001</v>
      </c>
      <c r="Z25" s="280">
        <f>IF(Z37&lt;5,0,HLOOKUP(Z20,현재시즌!$C$3:$AU$10,5,FALSE)*(-0.05))</f>
        <v>-2.15</v>
      </c>
      <c r="AA25" s="280">
        <f>IF(AA37&lt;5,0,HLOOKUP(AA20,현재시즌!$C$3:$AU$10,5,FALSE)*(-0.05))</f>
        <v>0</v>
      </c>
      <c r="AB25" s="280">
        <f>IF(AB37&lt;5,0,HLOOKUP(AB20,현재시즌!$C$3:$AU$10,5,FALSE)*(-0.05))</f>
        <v>-1.1500000000000001</v>
      </c>
      <c r="AC25" s="280">
        <f>IF(AC37&lt;5,0,HLOOKUP(AC20,현재시즌!$C$3:$AU$10,5,FALSE)*(-0.05))</f>
        <v>0</v>
      </c>
      <c r="AD25" s="280">
        <f>IF(AD37&lt;5,0,HLOOKUP(AD20,현재시즌!$C$3:$AU$10,5,FALSE)*(-0.05))</f>
        <v>-1.6</v>
      </c>
      <c r="AE25" s="280">
        <f>IF(AE37&lt;5,0,HLOOKUP(AE20,현재시즌!$C$3:$AU$10,5,FALSE)*(-0.05))</f>
        <v>0</v>
      </c>
      <c r="AF25" s="280">
        <f>IF(AF37&lt;5,0,HLOOKUP(AF20,현재시즌!$C$3:$AU$10,5,FALSE)*(-0.05))</f>
        <v>-1.6500000000000001</v>
      </c>
      <c r="AG25" s="280">
        <f>IF(AG37&lt;5,0,HLOOKUP(AG20,현재시즌!$C$3:$AU$10,5,FALSE)*(-0.05))</f>
        <v>-2.1</v>
      </c>
      <c r="AH25" s="280">
        <f>IF(AH37&lt;5,0,HLOOKUP(AH20,현재시즌!$C$3:$AU$10,5,FALSE)*(-0.05))</f>
        <v>-1.7000000000000002</v>
      </c>
      <c r="AI25" s="280">
        <f>IF(AI37&lt;5,0,HLOOKUP(AI20,현재시즌!$C$3:$AU$10,5,FALSE)*(-0.05))</f>
        <v>0</v>
      </c>
      <c r="AJ25" s="280">
        <f>IF(AJ37&lt;5,0,HLOOKUP(AJ20,현재시즌!$C$3:$AU$10,5,FALSE)*(-0.05))</f>
        <v>0</v>
      </c>
      <c r="AK25" s="280">
        <f>IF(AK37&lt;5,0,HLOOKUP(AK20,현재시즌!$C$3:$AU$10,5,FALSE)*(-0.05))</f>
        <v>-1.9500000000000002</v>
      </c>
      <c r="AL25" s="280">
        <f>IF(AL37&lt;5,0,HLOOKUP(AL20,현재시즌!$C$3:$AU$10,5,FALSE)*(-0.05))</f>
        <v>-1.1500000000000001</v>
      </c>
      <c r="AM25" s="280">
        <f>IF(AM37&lt;5,0,HLOOKUP(AM20,현재시즌!$C$3:$AU$10,5,FALSE)*(-0.05))</f>
        <v>0</v>
      </c>
      <c r="AN25" s="280">
        <f>IF(AN37&lt;5,0,HLOOKUP(AN20,현재시즌!$C$3:$AU$10,5,FALSE)*(-0.05))</f>
        <v>0</v>
      </c>
      <c r="AO25" s="280">
        <f>IF(AO37&lt;5,0,HLOOKUP(AO20,현재시즌!$C$3:$AU$10,5,FALSE)*(-0.05))</f>
        <v>0</v>
      </c>
      <c r="AP25" s="280">
        <f>IF(AP37&lt;5,0,HLOOKUP(AP20,현재시즌!$C$3:$AU$10,5,FALSE)*(-0.05))</f>
        <v>0</v>
      </c>
      <c r="AQ25" s="280">
        <f>IF(AQ37&lt;5,0,HLOOKUP(AQ20,현재시즌!$C$3:$AU$10,5,FALSE)*(-0.05))</f>
        <v>0</v>
      </c>
      <c r="AR25" s="280">
        <f>IF(AR37&lt;5,0,HLOOKUP(AR20,현재시즌!$C$3:$AU$10,5,FALSE)*(-0.05))</f>
        <v>0</v>
      </c>
      <c r="AS25" s="280">
        <f>IF(AS37&lt;5,0,HLOOKUP(AS20,현재시즌!$C$3:$AU$10,5,FALSE)*(-0.05))</f>
        <v>0</v>
      </c>
      <c r="AT25" s="280">
        <f>IF(AT37&lt;5,0,HLOOKUP(AT20,현재시즌!$C$3:$AU$10,5,FALSE)*(-0.05))</f>
        <v>0</v>
      </c>
      <c r="AU25" s="280">
        <f>IF(AU37&lt;5,0,HLOOKUP(AU20,현재시즌!$C$3:$AU$10,5,FALSE)*(-0.05))</f>
        <v>0</v>
      </c>
    </row>
    <row r="26" spans="2:47">
      <c r="B26" s="28" t="s">
        <v>449</v>
      </c>
      <c r="C26" s="279">
        <f ca="1">RANDBETWEEN(0,200)*0.000001</f>
        <v>1.46E-4</v>
      </c>
      <c r="D26" s="279">
        <f t="shared" ref="D26:AU26" ca="1" si="2">RANDBETWEEN(0,200)*0.000001</f>
        <v>7.4999999999999993E-5</v>
      </c>
      <c r="E26" s="279">
        <f t="shared" ca="1" si="2"/>
        <v>1.7099999999999998E-4</v>
      </c>
      <c r="F26" s="279">
        <f t="shared" ca="1" si="2"/>
        <v>8.599999999999999E-5</v>
      </c>
      <c r="G26" s="279">
        <f t="shared" ca="1" si="2"/>
        <v>6.7000000000000002E-5</v>
      </c>
      <c r="H26" s="279">
        <f t="shared" ca="1" si="2"/>
        <v>1.1899999999999999E-4</v>
      </c>
      <c r="I26" s="279">
        <f t="shared" ca="1" si="2"/>
        <v>1.84E-4</v>
      </c>
      <c r="J26" s="279">
        <f t="shared" ca="1" si="2"/>
        <v>1.4799999999999999E-4</v>
      </c>
      <c r="K26" s="279">
        <f t="shared" ca="1" si="2"/>
        <v>1.37E-4</v>
      </c>
      <c r="L26" s="279">
        <f t="shared" ca="1" si="2"/>
        <v>8.7999999999999998E-5</v>
      </c>
      <c r="M26" s="279">
        <f t="shared" ca="1" si="2"/>
        <v>1.9999999999999998E-5</v>
      </c>
      <c r="N26" s="279">
        <f t="shared" ca="1" si="2"/>
        <v>1.06E-4</v>
      </c>
      <c r="O26" s="279">
        <f t="shared" ca="1" si="2"/>
        <v>3.7999999999999995E-5</v>
      </c>
      <c r="P26" s="279">
        <f t="shared" ca="1" si="2"/>
        <v>8.7000000000000001E-5</v>
      </c>
      <c r="Q26" s="279">
        <f t="shared" ca="1" si="2"/>
        <v>1.1E-5</v>
      </c>
      <c r="R26" s="279">
        <f t="shared" ca="1" si="2"/>
        <v>1.9899999999999999E-4</v>
      </c>
      <c r="S26" s="279">
        <f t="shared" ca="1" si="2"/>
        <v>6.0999999999999999E-5</v>
      </c>
      <c r="T26" s="279">
        <f t="shared" ca="1" si="2"/>
        <v>1.7099999999999998E-4</v>
      </c>
      <c r="U26" s="279">
        <f t="shared" ca="1" si="2"/>
        <v>9.7999999999999997E-5</v>
      </c>
      <c r="V26" s="279">
        <f t="shared" ca="1" si="2"/>
        <v>1.12E-4</v>
      </c>
      <c r="W26" s="279">
        <f t="shared" ca="1" si="2"/>
        <v>7.3999999999999996E-5</v>
      </c>
      <c r="X26" s="279">
        <f t="shared" ca="1" si="2"/>
        <v>1.06E-4</v>
      </c>
      <c r="Y26" s="279">
        <f t="shared" ca="1" si="2"/>
        <v>4.8000000000000001E-5</v>
      </c>
      <c r="Z26" s="279">
        <f t="shared" ca="1" si="2"/>
        <v>1.9699999999999999E-4</v>
      </c>
      <c r="AA26" s="279">
        <f t="shared" ca="1" si="2"/>
        <v>1.3899999999999999E-4</v>
      </c>
      <c r="AB26" s="279">
        <f t="shared" ca="1" si="2"/>
        <v>7.7999999999999999E-5</v>
      </c>
      <c r="AC26" s="279">
        <f t="shared" ca="1" si="2"/>
        <v>8.4999999999999993E-5</v>
      </c>
      <c r="AD26" s="279">
        <f t="shared" ca="1" si="2"/>
        <v>1.17E-4</v>
      </c>
      <c r="AE26" s="279">
        <f t="shared" ca="1" si="2"/>
        <v>1.6999999999999999E-4</v>
      </c>
      <c r="AF26" s="279">
        <f t="shared" ca="1" si="2"/>
        <v>1.9999999999999998E-4</v>
      </c>
      <c r="AG26" s="279">
        <f t="shared" ca="1" si="2"/>
        <v>8.9999999999999992E-5</v>
      </c>
      <c r="AH26" s="279">
        <f t="shared" ca="1" si="2"/>
        <v>1.1999999999999999E-4</v>
      </c>
      <c r="AI26" s="279">
        <f t="shared" ca="1" si="2"/>
        <v>1.25E-4</v>
      </c>
      <c r="AJ26" s="279">
        <f t="shared" ca="1" si="2"/>
        <v>3.7999999999999995E-5</v>
      </c>
      <c r="AK26" s="279">
        <f t="shared" ca="1" si="2"/>
        <v>1.4E-5</v>
      </c>
      <c r="AL26" s="279">
        <f t="shared" ca="1" si="2"/>
        <v>1.76E-4</v>
      </c>
      <c r="AM26" s="279">
        <f t="shared" ca="1" si="2"/>
        <v>5.8999999999999998E-5</v>
      </c>
      <c r="AN26" s="279">
        <f t="shared" ca="1" si="2"/>
        <v>4.2999999999999995E-5</v>
      </c>
      <c r="AO26" s="279">
        <f t="shared" ca="1" si="2"/>
        <v>3.7999999999999995E-5</v>
      </c>
      <c r="AP26" s="279">
        <f t="shared" ca="1" si="2"/>
        <v>1.4300000000000001E-4</v>
      </c>
      <c r="AQ26" s="279">
        <f t="shared" ca="1" si="2"/>
        <v>4.9999999999999996E-6</v>
      </c>
      <c r="AR26" s="279">
        <f t="shared" ca="1" si="2"/>
        <v>1.9899999999999999E-4</v>
      </c>
      <c r="AS26" s="279">
        <f t="shared" ca="1" si="2"/>
        <v>7.2999999999999999E-5</v>
      </c>
      <c r="AT26" s="279">
        <f t="shared" ca="1" si="2"/>
        <v>4.2999999999999995E-5</v>
      </c>
      <c r="AU26" s="279">
        <f t="shared" ca="1" si="2"/>
        <v>1.9699999999999999E-4</v>
      </c>
    </row>
    <row r="27" spans="2:47">
      <c r="B27" s="28" t="s">
        <v>450</v>
      </c>
      <c r="C27" s="279">
        <f>C36*1</f>
        <v>0</v>
      </c>
      <c r="D27" s="279">
        <f t="shared" ref="D27:AU27" si="3">D36*1</f>
        <v>0</v>
      </c>
      <c r="E27" s="279">
        <f t="shared" si="3"/>
        <v>0</v>
      </c>
      <c r="F27" s="279">
        <f t="shared" si="3"/>
        <v>0</v>
      </c>
      <c r="G27" s="279">
        <f t="shared" si="3"/>
        <v>0</v>
      </c>
      <c r="H27" s="279">
        <f t="shared" si="3"/>
        <v>0</v>
      </c>
      <c r="I27" s="279">
        <f t="shared" si="3"/>
        <v>0</v>
      </c>
      <c r="J27" s="279">
        <f t="shared" si="3"/>
        <v>0</v>
      </c>
      <c r="K27" s="279">
        <f t="shared" si="3"/>
        <v>0</v>
      </c>
      <c r="L27" s="279">
        <f t="shared" si="3"/>
        <v>0</v>
      </c>
      <c r="M27" s="279">
        <f t="shared" si="3"/>
        <v>0</v>
      </c>
      <c r="N27" s="279">
        <f t="shared" si="3"/>
        <v>0</v>
      </c>
      <c r="O27" s="279">
        <f t="shared" si="3"/>
        <v>0</v>
      </c>
      <c r="P27" s="279">
        <f t="shared" si="3"/>
        <v>0</v>
      </c>
      <c r="Q27" s="279">
        <f t="shared" si="3"/>
        <v>0</v>
      </c>
      <c r="R27" s="279">
        <f t="shared" si="3"/>
        <v>0</v>
      </c>
      <c r="S27" s="279">
        <f t="shared" si="3"/>
        <v>0</v>
      </c>
      <c r="T27" s="279">
        <f t="shared" si="3"/>
        <v>0</v>
      </c>
      <c r="U27" s="279">
        <f t="shared" si="3"/>
        <v>0</v>
      </c>
      <c r="V27" s="279">
        <f t="shared" si="3"/>
        <v>0</v>
      </c>
      <c r="W27" s="279">
        <f t="shared" si="3"/>
        <v>0</v>
      </c>
      <c r="X27" s="279">
        <f t="shared" si="3"/>
        <v>0</v>
      </c>
      <c r="Y27" s="279">
        <f t="shared" si="3"/>
        <v>0</v>
      </c>
      <c r="Z27" s="279">
        <f t="shared" si="3"/>
        <v>0</v>
      </c>
      <c r="AA27" s="279">
        <f t="shared" si="3"/>
        <v>0</v>
      </c>
      <c r="AB27" s="279">
        <f t="shared" si="3"/>
        <v>0</v>
      </c>
      <c r="AC27" s="279">
        <f t="shared" si="3"/>
        <v>0</v>
      </c>
      <c r="AD27" s="279">
        <f t="shared" si="3"/>
        <v>0</v>
      </c>
      <c r="AE27" s="279">
        <f t="shared" si="3"/>
        <v>0</v>
      </c>
      <c r="AF27" s="279">
        <f t="shared" si="3"/>
        <v>0</v>
      </c>
      <c r="AG27" s="279">
        <f t="shared" si="3"/>
        <v>0</v>
      </c>
      <c r="AH27" s="279">
        <f t="shared" si="3"/>
        <v>0</v>
      </c>
      <c r="AI27" s="279">
        <f t="shared" si="3"/>
        <v>0</v>
      </c>
      <c r="AJ27" s="279">
        <f t="shared" si="3"/>
        <v>0</v>
      </c>
      <c r="AK27" s="279">
        <f t="shared" si="3"/>
        <v>0</v>
      </c>
      <c r="AL27" s="279">
        <f t="shared" si="3"/>
        <v>0</v>
      </c>
      <c r="AM27" s="279">
        <f t="shared" si="3"/>
        <v>0</v>
      </c>
      <c r="AN27" s="279">
        <f t="shared" si="3"/>
        <v>0</v>
      </c>
      <c r="AO27" s="279">
        <f t="shared" si="3"/>
        <v>0</v>
      </c>
      <c r="AP27" s="279">
        <f t="shared" si="3"/>
        <v>0</v>
      </c>
      <c r="AQ27" s="279">
        <f t="shared" si="3"/>
        <v>0</v>
      </c>
      <c r="AR27" s="279">
        <f t="shared" si="3"/>
        <v>0</v>
      </c>
      <c r="AS27" s="279">
        <f t="shared" si="3"/>
        <v>0</v>
      </c>
      <c r="AT27" s="279">
        <f t="shared" si="3"/>
        <v>0</v>
      </c>
      <c r="AU27" s="279">
        <f t="shared" si="3"/>
        <v>0</v>
      </c>
    </row>
    <row r="28" spans="2:47">
      <c r="B28" s="266" t="s">
        <v>400</v>
      </c>
      <c r="C28" s="256">
        <f ca="1">IFERROR(SUM(C21:C27),0)</f>
        <v>1.46E-4</v>
      </c>
      <c r="D28" s="256">
        <f t="shared" ref="D28:AU28" ca="1" si="4">IFERROR(SUM(D21:D27),0)</f>
        <v>7.4999999999999993E-5</v>
      </c>
      <c r="E28" s="256">
        <f t="shared" ca="1" si="4"/>
        <v>53.576019681002691</v>
      </c>
      <c r="F28" s="256">
        <f t="shared" ca="1" si="4"/>
        <v>0.60008600000000001</v>
      </c>
      <c r="G28" s="256">
        <f t="shared" ca="1" si="4"/>
        <v>0.14292414285714286</v>
      </c>
      <c r="H28" s="256">
        <f t="shared" ca="1" si="4"/>
        <v>1.1899999999999999E-4</v>
      </c>
      <c r="I28" s="256">
        <f t="shared" ca="1" si="4"/>
        <v>34.03998399999999</v>
      </c>
      <c r="J28" s="256">
        <f t="shared" ca="1" si="4"/>
        <v>38.982763015034102</v>
      </c>
      <c r="K28" s="256">
        <f t="shared" ca="1" si="4"/>
        <v>65.382187849079671</v>
      </c>
      <c r="L28" s="256">
        <f t="shared" ca="1" si="4"/>
        <v>8.7999999999999998E-5</v>
      </c>
      <c r="M28" s="256">
        <f t="shared" ca="1" si="4"/>
        <v>1.9999999999999998E-5</v>
      </c>
      <c r="N28" s="256">
        <f t="shared" ca="1" si="4"/>
        <v>50.877532701255859</v>
      </c>
      <c r="O28" s="256">
        <f t="shared" ca="1" si="4"/>
        <v>63.400680829959498</v>
      </c>
      <c r="P28" s="256">
        <f t="shared" ca="1" si="4"/>
        <v>8.7000000000000001E-5</v>
      </c>
      <c r="Q28" s="256">
        <f t="shared" ca="1" si="4"/>
        <v>1.1E-5</v>
      </c>
      <c r="R28" s="256">
        <f t="shared" ca="1" si="4"/>
        <v>46.540209561003273</v>
      </c>
      <c r="S28" s="256">
        <f t="shared" ca="1" si="4"/>
        <v>40.136507208112874</v>
      </c>
      <c r="T28" s="256">
        <f t="shared" ca="1" si="4"/>
        <v>66.114632496278119</v>
      </c>
      <c r="U28" s="256">
        <f t="shared" ca="1" si="4"/>
        <v>50.374574934449555</v>
      </c>
      <c r="V28" s="256">
        <f t="shared" ca="1" si="4"/>
        <v>1.12E-4</v>
      </c>
      <c r="W28" s="256">
        <f t="shared" ca="1" si="4"/>
        <v>7.3999999999999996E-5</v>
      </c>
      <c r="X28" s="256">
        <f t="shared" ca="1" si="4"/>
        <v>70.583588641377816</v>
      </c>
      <c r="Y28" s="256">
        <f t="shared" ca="1" si="4"/>
        <v>27.081252855092671</v>
      </c>
      <c r="Z28" s="256">
        <f t="shared" ca="1" si="4"/>
        <v>51.959493600513461</v>
      </c>
      <c r="AA28" s="256">
        <f t="shared" ca="1" si="4"/>
        <v>0.47072723529411764</v>
      </c>
      <c r="AB28" s="256">
        <f t="shared" ca="1" si="4"/>
        <v>39.396371497157368</v>
      </c>
      <c r="AC28" s="256">
        <f t="shared" ca="1" si="4"/>
        <v>8.4999999999999993E-5</v>
      </c>
      <c r="AD28" s="256">
        <f t="shared" ca="1" si="4"/>
        <v>57.442515647594483</v>
      </c>
      <c r="AE28" s="256">
        <f t="shared" ca="1" si="4"/>
        <v>1.6999999999999999E-4</v>
      </c>
      <c r="AF28" s="256">
        <f t="shared" ca="1" si="4"/>
        <v>42.459268166661175</v>
      </c>
      <c r="AG28" s="256">
        <f t="shared" ca="1" si="4"/>
        <v>53.254206580853634</v>
      </c>
      <c r="AH28" s="256">
        <f t="shared" ca="1" si="4"/>
        <v>44.695370137411963</v>
      </c>
      <c r="AI28" s="256">
        <f t="shared" ca="1" si="4"/>
        <v>1.25E-4</v>
      </c>
      <c r="AJ28" s="256">
        <f t="shared" ca="1" si="4"/>
        <v>3.7999999999999995E-5</v>
      </c>
      <c r="AK28" s="256">
        <f t="shared" ca="1" si="4"/>
        <v>41.381549852158514</v>
      </c>
      <c r="AL28" s="256">
        <f t="shared" ca="1" si="4"/>
        <v>48.563793694170343</v>
      </c>
      <c r="AM28" s="256">
        <f t="shared" ca="1" si="4"/>
        <v>5.8999999999999998E-5</v>
      </c>
      <c r="AN28" s="256">
        <f t="shared" ca="1" si="4"/>
        <v>4.2999999999999995E-5</v>
      </c>
      <c r="AO28" s="256">
        <f t="shared" ca="1" si="4"/>
        <v>3.7999999999999995E-5</v>
      </c>
      <c r="AP28" s="256">
        <f t="shared" ca="1" si="4"/>
        <v>1.4300000000000001E-4</v>
      </c>
      <c r="AQ28" s="256">
        <f t="shared" ca="1" si="4"/>
        <v>4.9999999999999996E-6</v>
      </c>
      <c r="AR28" s="256">
        <f t="shared" ca="1" si="4"/>
        <v>1.9899999999999999E-4</v>
      </c>
      <c r="AS28" s="256">
        <f t="shared" ca="1" si="4"/>
        <v>7.2999999999999999E-5</v>
      </c>
      <c r="AT28" s="256">
        <f t="shared" ca="1" si="4"/>
        <v>4.2999999999999995E-5</v>
      </c>
      <c r="AU28" s="256">
        <f t="shared" ca="1" si="4"/>
        <v>1.9699999999999999E-4</v>
      </c>
    </row>
    <row r="29" spans="2:47">
      <c r="B29" s="284"/>
      <c r="C29" s="256"/>
      <c r="D29" s="256"/>
      <c r="E29" s="256"/>
      <c r="F29" s="256"/>
      <c r="G29" s="256"/>
      <c r="H29" s="256"/>
      <c r="I29" s="256"/>
      <c r="J29" s="256"/>
      <c r="K29" s="256"/>
      <c r="L29" s="256"/>
      <c r="M29" s="256"/>
      <c r="N29" s="256"/>
      <c r="O29" s="256"/>
      <c r="P29" s="256"/>
      <c r="Q29" s="256"/>
      <c r="R29" s="256"/>
      <c r="S29" s="256"/>
      <c r="T29" s="256"/>
      <c r="U29" s="256"/>
      <c r="V29" s="256"/>
      <c r="W29" s="256"/>
      <c r="X29" s="256"/>
      <c r="Y29" s="256"/>
      <c r="Z29" s="256"/>
      <c r="AA29" s="256"/>
      <c r="AB29" s="256"/>
      <c r="AC29" s="256"/>
      <c r="AD29" s="256"/>
      <c r="AE29" s="256"/>
      <c r="AF29" s="256"/>
      <c r="AG29" s="256"/>
      <c r="AH29" s="256"/>
      <c r="AI29" s="256"/>
      <c r="AJ29" s="256"/>
      <c r="AK29" s="256"/>
      <c r="AL29" s="256"/>
      <c r="AM29" s="256"/>
      <c r="AN29" s="256"/>
      <c r="AO29" s="256"/>
      <c r="AP29" s="256"/>
      <c r="AQ29" s="256"/>
      <c r="AR29" s="256"/>
      <c r="AS29" s="256"/>
      <c r="AT29" s="256"/>
      <c r="AU29" s="256"/>
    </row>
    <row r="30" spans="2:47">
      <c r="B30" s="281" t="s">
        <v>401</v>
      </c>
      <c r="C30" s="282">
        <f ca="1">_xlfn.RANK.EQ(C28,$C$28:$AU$28,0)</f>
        <v>27</v>
      </c>
      <c r="D30" s="282">
        <f t="shared" ref="D30:AU30" ca="1" si="5">_xlfn.RANK.EQ(D28,$C$28:$AU$28,0)</f>
        <v>35</v>
      </c>
      <c r="E30" s="282">
        <f t="shared" ca="1" si="5"/>
        <v>6</v>
      </c>
      <c r="F30" s="282">
        <f t="shared" ca="1" si="5"/>
        <v>21</v>
      </c>
      <c r="G30" s="282">
        <f t="shared" ca="1" si="5"/>
        <v>23</v>
      </c>
      <c r="H30" s="282">
        <f t="shared" ca="1" si="5"/>
        <v>30</v>
      </c>
      <c r="I30" s="282">
        <f t="shared" ca="1" si="5"/>
        <v>19</v>
      </c>
      <c r="J30" s="282">
        <f t="shared" ca="1" si="5"/>
        <v>18</v>
      </c>
      <c r="K30" s="282">
        <f t="shared" ca="1" si="5"/>
        <v>3</v>
      </c>
      <c r="L30" s="282">
        <f t="shared" ca="1" si="5"/>
        <v>32</v>
      </c>
      <c r="M30" s="282">
        <f t="shared" ca="1" si="5"/>
        <v>43</v>
      </c>
      <c r="N30" s="282">
        <f t="shared" ca="1" si="5"/>
        <v>9</v>
      </c>
      <c r="O30" s="282">
        <f t="shared" ca="1" si="5"/>
        <v>4</v>
      </c>
      <c r="P30" s="282">
        <f t="shared" ca="1" si="5"/>
        <v>33</v>
      </c>
      <c r="Q30" s="282">
        <f t="shared" ca="1" si="5"/>
        <v>44</v>
      </c>
      <c r="R30" s="282">
        <f t="shared" ca="1" si="5"/>
        <v>12</v>
      </c>
      <c r="S30" s="282">
        <f t="shared" ca="1" si="5"/>
        <v>16</v>
      </c>
      <c r="T30" s="282">
        <f t="shared" ca="1" si="5"/>
        <v>2</v>
      </c>
      <c r="U30" s="282">
        <f t="shared" ca="1" si="5"/>
        <v>10</v>
      </c>
      <c r="V30" s="282">
        <f t="shared" ca="1" si="5"/>
        <v>31</v>
      </c>
      <c r="W30" s="282">
        <f t="shared" ca="1" si="5"/>
        <v>36</v>
      </c>
      <c r="X30" s="282">
        <f t="shared" ca="1" si="5"/>
        <v>1</v>
      </c>
      <c r="Y30" s="282">
        <f t="shared" ca="1" si="5"/>
        <v>20</v>
      </c>
      <c r="Z30" s="282">
        <f t="shared" ca="1" si="5"/>
        <v>8</v>
      </c>
      <c r="AA30" s="282">
        <f t="shared" ca="1" si="5"/>
        <v>22</v>
      </c>
      <c r="AB30" s="282">
        <f t="shared" ca="1" si="5"/>
        <v>17</v>
      </c>
      <c r="AC30" s="282">
        <f t="shared" ca="1" si="5"/>
        <v>34</v>
      </c>
      <c r="AD30" s="282">
        <f t="shared" ca="1" si="5"/>
        <v>5</v>
      </c>
      <c r="AE30" s="282">
        <f t="shared" ca="1" si="5"/>
        <v>26</v>
      </c>
      <c r="AF30" s="282">
        <f t="shared" ca="1" si="5"/>
        <v>14</v>
      </c>
      <c r="AG30" s="282">
        <f t="shared" ca="1" si="5"/>
        <v>7</v>
      </c>
      <c r="AH30" s="282">
        <f t="shared" ca="1" si="5"/>
        <v>13</v>
      </c>
      <c r="AI30" s="282">
        <f t="shared" ca="1" si="5"/>
        <v>29</v>
      </c>
      <c r="AJ30" s="282">
        <f t="shared" ca="1" si="5"/>
        <v>41</v>
      </c>
      <c r="AK30" s="282">
        <f t="shared" ca="1" si="5"/>
        <v>15</v>
      </c>
      <c r="AL30" s="282">
        <f t="shared" ca="1" si="5"/>
        <v>11</v>
      </c>
      <c r="AM30" s="282">
        <f t="shared" ca="1" si="5"/>
        <v>38</v>
      </c>
      <c r="AN30" s="282">
        <f t="shared" ca="1" si="5"/>
        <v>39</v>
      </c>
      <c r="AO30" s="282">
        <f t="shared" ca="1" si="5"/>
        <v>41</v>
      </c>
      <c r="AP30" s="282">
        <f t="shared" ca="1" si="5"/>
        <v>28</v>
      </c>
      <c r="AQ30" s="282">
        <f t="shared" ca="1" si="5"/>
        <v>45</v>
      </c>
      <c r="AR30" s="282">
        <f t="shared" ca="1" si="5"/>
        <v>24</v>
      </c>
      <c r="AS30" s="282">
        <f t="shared" ca="1" si="5"/>
        <v>37</v>
      </c>
      <c r="AT30" s="282">
        <f t="shared" ca="1" si="5"/>
        <v>39</v>
      </c>
      <c r="AU30" s="282">
        <f t="shared" ca="1" si="5"/>
        <v>25</v>
      </c>
    </row>
    <row r="31" spans="2:47">
      <c r="B31" s="269" t="s">
        <v>427</v>
      </c>
      <c r="C31" s="278">
        <v>0</v>
      </c>
      <c r="D31" s="278">
        <v>0</v>
      </c>
      <c r="E31" s="278">
        <v>0</v>
      </c>
      <c r="F31" s="278">
        <v>0</v>
      </c>
      <c r="G31" s="278">
        <v>0</v>
      </c>
      <c r="H31" s="278">
        <v>0</v>
      </c>
      <c r="I31" s="278">
        <v>0</v>
      </c>
      <c r="J31" s="278">
        <v>0</v>
      </c>
      <c r="K31" s="278">
        <v>0</v>
      </c>
      <c r="L31" s="278">
        <v>0</v>
      </c>
      <c r="M31" s="278">
        <v>0</v>
      </c>
      <c r="N31" s="278">
        <v>0</v>
      </c>
      <c r="O31" s="278">
        <v>0</v>
      </c>
      <c r="P31" s="278">
        <v>0</v>
      </c>
      <c r="Q31" s="278">
        <v>0</v>
      </c>
      <c r="R31" s="278">
        <v>0</v>
      </c>
      <c r="S31" s="278">
        <v>0</v>
      </c>
      <c r="T31" s="278">
        <v>0</v>
      </c>
      <c r="U31" s="278">
        <v>0</v>
      </c>
      <c r="V31" s="278">
        <v>0</v>
      </c>
      <c r="W31" s="278">
        <v>0</v>
      </c>
      <c r="X31" s="278">
        <v>0</v>
      </c>
      <c r="Y31" s="278">
        <v>0</v>
      </c>
      <c r="Z31" s="278">
        <v>0</v>
      </c>
      <c r="AA31" s="278">
        <v>0</v>
      </c>
      <c r="AB31" s="278">
        <v>0</v>
      </c>
      <c r="AC31" s="278">
        <v>0</v>
      </c>
      <c r="AD31" s="278">
        <v>0</v>
      </c>
      <c r="AE31" s="278">
        <v>0</v>
      </c>
      <c r="AF31" s="278">
        <v>0</v>
      </c>
      <c r="AG31" s="278">
        <v>0</v>
      </c>
      <c r="AH31" s="278">
        <v>0</v>
      </c>
      <c r="AI31" s="278">
        <v>0</v>
      </c>
      <c r="AJ31" s="278">
        <v>0</v>
      </c>
      <c r="AK31" s="278">
        <v>0</v>
      </c>
      <c r="AL31" s="278">
        <v>0</v>
      </c>
      <c r="AM31" s="278">
        <v>0</v>
      </c>
      <c r="AN31" s="278">
        <v>0</v>
      </c>
      <c r="AO31" s="278">
        <v>0</v>
      </c>
      <c r="AP31" s="278">
        <v>0</v>
      </c>
      <c r="AQ31" s="278">
        <v>0</v>
      </c>
      <c r="AR31" s="278">
        <v>0</v>
      </c>
      <c r="AS31" s="278">
        <v>0</v>
      </c>
      <c r="AT31" s="278">
        <v>0</v>
      </c>
      <c r="AU31" s="278">
        <v>0</v>
      </c>
    </row>
    <row r="32" spans="2:47">
      <c r="B32" s="269" t="s">
        <v>428</v>
      </c>
      <c r="C32" s="278">
        <v>0</v>
      </c>
      <c r="D32" s="278">
        <v>0</v>
      </c>
      <c r="E32" s="278">
        <v>0</v>
      </c>
      <c r="F32" s="278">
        <v>0</v>
      </c>
      <c r="G32" s="278">
        <v>0</v>
      </c>
      <c r="H32" s="278">
        <v>0</v>
      </c>
      <c r="I32" s="278">
        <v>0</v>
      </c>
      <c r="J32" s="278">
        <v>0</v>
      </c>
      <c r="K32" s="278">
        <v>0</v>
      </c>
      <c r="L32" s="278">
        <v>0</v>
      </c>
      <c r="M32" s="278">
        <v>0</v>
      </c>
      <c r="N32" s="278">
        <v>0</v>
      </c>
      <c r="O32" s="278">
        <v>0</v>
      </c>
      <c r="P32" s="278">
        <v>0</v>
      </c>
      <c r="Q32" s="278">
        <v>0</v>
      </c>
      <c r="R32" s="278">
        <v>0</v>
      </c>
      <c r="S32" s="278">
        <v>0</v>
      </c>
      <c r="T32" s="278">
        <v>0</v>
      </c>
      <c r="U32" s="278">
        <v>0</v>
      </c>
      <c r="V32" s="278">
        <v>0</v>
      </c>
      <c r="W32" s="278">
        <v>0</v>
      </c>
      <c r="X32" s="278">
        <v>0</v>
      </c>
      <c r="Y32" s="278">
        <v>0</v>
      </c>
      <c r="Z32" s="278">
        <v>0</v>
      </c>
      <c r="AA32" s="278">
        <v>0</v>
      </c>
      <c r="AB32" s="278">
        <v>0</v>
      </c>
      <c r="AC32" s="278">
        <v>0</v>
      </c>
      <c r="AD32" s="278">
        <v>0</v>
      </c>
      <c r="AE32" s="278">
        <v>0</v>
      </c>
      <c r="AF32" s="278">
        <v>0</v>
      </c>
      <c r="AG32" s="278">
        <v>0</v>
      </c>
      <c r="AH32" s="278">
        <v>0</v>
      </c>
      <c r="AI32" s="278">
        <v>0</v>
      </c>
      <c r="AJ32" s="278">
        <v>0</v>
      </c>
      <c r="AK32" s="278">
        <v>0</v>
      </c>
      <c r="AL32" s="278">
        <v>0</v>
      </c>
      <c r="AM32" s="278">
        <v>0</v>
      </c>
      <c r="AN32" s="278">
        <v>0</v>
      </c>
      <c r="AO32" s="278">
        <v>0</v>
      </c>
      <c r="AP32" s="278">
        <v>0</v>
      </c>
      <c r="AQ32" s="278">
        <v>0</v>
      </c>
      <c r="AR32" s="278">
        <v>0</v>
      </c>
      <c r="AS32" s="278">
        <v>0</v>
      </c>
      <c r="AT32" s="278">
        <v>0</v>
      </c>
      <c r="AU32" s="278">
        <v>0</v>
      </c>
    </row>
    <row r="33" spans="2:47">
      <c r="B33" s="269" t="s">
        <v>429</v>
      </c>
      <c r="C33" s="278">
        <v>0</v>
      </c>
      <c r="D33" s="278">
        <v>0</v>
      </c>
      <c r="E33" s="278">
        <v>0</v>
      </c>
      <c r="F33" s="278">
        <v>0</v>
      </c>
      <c r="G33" s="278">
        <v>0</v>
      </c>
      <c r="H33" s="278">
        <v>0</v>
      </c>
      <c r="I33" s="278">
        <v>0</v>
      </c>
      <c r="J33" s="278">
        <v>0</v>
      </c>
      <c r="K33" s="278">
        <v>0</v>
      </c>
      <c r="L33" s="278">
        <v>0</v>
      </c>
      <c r="M33" s="278">
        <v>0</v>
      </c>
      <c r="N33" s="278">
        <v>0</v>
      </c>
      <c r="O33" s="278">
        <v>0</v>
      </c>
      <c r="P33" s="278">
        <v>0</v>
      </c>
      <c r="Q33" s="278">
        <v>0</v>
      </c>
      <c r="R33" s="278">
        <v>0</v>
      </c>
      <c r="S33" s="278">
        <v>0</v>
      </c>
      <c r="T33" s="278">
        <v>0</v>
      </c>
      <c r="U33" s="278">
        <v>0</v>
      </c>
      <c r="V33" s="278">
        <v>0</v>
      </c>
      <c r="W33" s="278">
        <v>0</v>
      </c>
      <c r="X33" s="278">
        <v>0</v>
      </c>
      <c r="Y33" s="278">
        <v>0</v>
      </c>
      <c r="Z33" s="278">
        <v>0</v>
      </c>
      <c r="AA33" s="278">
        <v>0</v>
      </c>
      <c r="AB33" s="278">
        <v>0</v>
      </c>
      <c r="AC33" s="278">
        <v>0</v>
      </c>
      <c r="AD33" s="278">
        <v>0</v>
      </c>
      <c r="AE33" s="278">
        <v>0</v>
      </c>
      <c r="AF33" s="278">
        <v>0</v>
      </c>
      <c r="AG33" s="278">
        <v>0</v>
      </c>
      <c r="AH33" s="278">
        <v>0</v>
      </c>
      <c r="AI33" s="278">
        <v>0</v>
      </c>
      <c r="AJ33" s="278">
        <v>0</v>
      </c>
      <c r="AK33" s="278">
        <v>0</v>
      </c>
      <c r="AL33" s="278">
        <v>0</v>
      </c>
      <c r="AM33" s="278">
        <v>0</v>
      </c>
      <c r="AN33" s="278">
        <v>0</v>
      </c>
      <c r="AO33" s="278">
        <v>0</v>
      </c>
      <c r="AP33" s="278">
        <v>0</v>
      </c>
      <c r="AQ33" s="278">
        <v>0</v>
      </c>
      <c r="AR33" s="278">
        <v>0</v>
      </c>
      <c r="AS33" s="278">
        <v>0</v>
      </c>
      <c r="AT33" s="278">
        <v>0</v>
      </c>
      <c r="AU33" s="278">
        <v>0</v>
      </c>
    </row>
    <row r="34" spans="2:47">
      <c r="B34" s="269" t="s">
        <v>430</v>
      </c>
      <c r="C34" s="278">
        <v>0</v>
      </c>
      <c r="D34" s="278">
        <v>0</v>
      </c>
      <c r="E34" s="278">
        <v>0</v>
      </c>
      <c r="F34" s="278">
        <v>0</v>
      </c>
      <c r="G34" s="278">
        <v>0</v>
      </c>
      <c r="H34" s="278">
        <v>0</v>
      </c>
      <c r="I34" s="278">
        <v>0</v>
      </c>
      <c r="J34" s="278">
        <v>0</v>
      </c>
      <c r="K34" s="278">
        <v>0</v>
      </c>
      <c r="L34" s="278">
        <v>0</v>
      </c>
      <c r="M34" s="278">
        <v>0</v>
      </c>
      <c r="N34" s="278">
        <v>0</v>
      </c>
      <c r="O34" s="278">
        <v>0</v>
      </c>
      <c r="P34" s="278">
        <v>0</v>
      </c>
      <c r="Q34" s="278">
        <v>0</v>
      </c>
      <c r="R34" s="278">
        <v>0</v>
      </c>
      <c r="S34" s="278">
        <v>0</v>
      </c>
      <c r="T34" s="278">
        <v>0</v>
      </c>
      <c r="U34" s="278">
        <v>0</v>
      </c>
      <c r="V34" s="278">
        <v>0</v>
      </c>
      <c r="W34" s="278">
        <v>0</v>
      </c>
      <c r="X34" s="278">
        <v>0</v>
      </c>
      <c r="Y34" s="278">
        <v>0</v>
      </c>
      <c r="Z34" s="278">
        <v>0</v>
      </c>
      <c r="AA34" s="278">
        <v>0</v>
      </c>
      <c r="AB34" s="278">
        <v>0</v>
      </c>
      <c r="AC34" s="278">
        <v>0</v>
      </c>
      <c r="AD34" s="278">
        <v>0</v>
      </c>
      <c r="AE34" s="278">
        <v>0</v>
      </c>
      <c r="AF34" s="278">
        <v>0</v>
      </c>
      <c r="AG34" s="278">
        <v>0</v>
      </c>
      <c r="AH34" s="278">
        <v>0</v>
      </c>
      <c r="AI34" s="278">
        <v>0</v>
      </c>
      <c r="AJ34" s="278">
        <v>0</v>
      </c>
      <c r="AK34" s="278">
        <v>0</v>
      </c>
      <c r="AL34" s="278">
        <v>0</v>
      </c>
      <c r="AM34" s="278">
        <v>0</v>
      </c>
      <c r="AN34" s="278">
        <v>0</v>
      </c>
      <c r="AO34" s="278">
        <v>0</v>
      </c>
      <c r="AP34" s="278">
        <v>0</v>
      </c>
      <c r="AQ34" s="278">
        <v>0</v>
      </c>
      <c r="AR34" s="278">
        <v>0</v>
      </c>
      <c r="AS34" s="278">
        <v>0</v>
      </c>
      <c r="AT34" s="278">
        <v>0</v>
      </c>
      <c r="AU34" s="278">
        <v>0</v>
      </c>
    </row>
    <row r="35" spans="2:47">
      <c r="B35" s="269" t="s">
        <v>431</v>
      </c>
      <c r="C35" s="278">
        <v>0</v>
      </c>
      <c r="D35" s="278">
        <v>0</v>
      </c>
      <c r="E35" s="278">
        <v>0</v>
      </c>
      <c r="F35" s="278">
        <v>0</v>
      </c>
      <c r="G35" s="278">
        <v>0</v>
      </c>
      <c r="H35" s="278">
        <v>0</v>
      </c>
      <c r="I35" s="278">
        <v>0</v>
      </c>
      <c r="J35" s="278">
        <v>0</v>
      </c>
      <c r="K35" s="278">
        <v>0</v>
      </c>
      <c r="L35" s="278">
        <v>0</v>
      </c>
      <c r="M35" s="278">
        <v>0</v>
      </c>
      <c r="N35" s="278">
        <v>0</v>
      </c>
      <c r="O35" s="278">
        <v>0</v>
      </c>
      <c r="P35" s="278">
        <v>0</v>
      </c>
      <c r="Q35" s="278">
        <v>0</v>
      </c>
      <c r="R35" s="278">
        <v>0</v>
      </c>
      <c r="S35" s="278">
        <v>0</v>
      </c>
      <c r="T35" s="278">
        <v>0</v>
      </c>
      <c r="U35" s="278">
        <v>0</v>
      </c>
      <c r="V35" s="278">
        <v>0</v>
      </c>
      <c r="W35" s="278">
        <v>0</v>
      </c>
      <c r="X35" s="278">
        <v>0</v>
      </c>
      <c r="Y35" s="278">
        <v>0</v>
      </c>
      <c r="Z35" s="278">
        <v>0</v>
      </c>
      <c r="AA35" s="278">
        <v>0</v>
      </c>
      <c r="AB35" s="278">
        <v>0</v>
      </c>
      <c r="AC35" s="278">
        <v>0</v>
      </c>
      <c r="AD35" s="278">
        <v>0</v>
      </c>
      <c r="AE35" s="278">
        <v>0</v>
      </c>
      <c r="AF35" s="278">
        <v>0</v>
      </c>
      <c r="AG35" s="278">
        <v>0</v>
      </c>
      <c r="AH35" s="278">
        <v>0</v>
      </c>
      <c r="AI35" s="278">
        <v>0</v>
      </c>
      <c r="AJ35" s="278">
        <v>0</v>
      </c>
      <c r="AK35" s="278">
        <v>0</v>
      </c>
      <c r="AL35" s="278">
        <v>0</v>
      </c>
      <c r="AM35" s="278">
        <v>0</v>
      </c>
      <c r="AN35" s="278">
        <v>0</v>
      </c>
      <c r="AO35" s="278">
        <v>0</v>
      </c>
      <c r="AP35" s="278">
        <v>0</v>
      </c>
      <c r="AQ35" s="278">
        <v>0</v>
      </c>
      <c r="AR35" s="278">
        <v>0</v>
      </c>
      <c r="AS35" s="278">
        <v>0</v>
      </c>
      <c r="AT35" s="278">
        <v>0</v>
      </c>
      <c r="AU35" s="278">
        <v>0</v>
      </c>
    </row>
    <row r="36" spans="2:47">
      <c r="B36" s="75" t="s">
        <v>432</v>
      </c>
      <c r="C36" s="171">
        <f>SUM(C31:C35)/5</f>
        <v>0</v>
      </c>
      <c r="D36" s="171">
        <f t="shared" ref="D36:AU36" si="6">SUM(D31:D35)/5</f>
        <v>0</v>
      </c>
      <c r="E36" s="171">
        <f t="shared" si="6"/>
        <v>0</v>
      </c>
      <c r="F36" s="171">
        <f t="shared" si="6"/>
        <v>0</v>
      </c>
      <c r="G36" s="171">
        <f t="shared" si="6"/>
        <v>0</v>
      </c>
      <c r="H36" s="171">
        <f t="shared" si="6"/>
        <v>0</v>
      </c>
      <c r="I36" s="171">
        <f t="shared" si="6"/>
        <v>0</v>
      </c>
      <c r="J36" s="171">
        <f t="shared" si="6"/>
        <v>0</v>
      </c>
      <c r="K36" s="171">
        <f t="shared" si="6"/>
        <v>0</v>
      </c>
      <c r="L36" s="171">
        <f t="shared" si="6"/>
        <v>0</v>
      </c>
      <c r="M36" s="171">
        <f t="shared" si="6"/>
        <v>0</v>
      </c>
      <c r="N36" s="171">
        <f t="shared" si="6"/>
        <v>0</v>
      </c>
      <c r="O36" s="171">
        <f t="shared" si="6"/>
        <v>0</v>
      </c>
      <c r="P36" s="171">
        <f t="shared" si="6"/>
        <v>0</v>
      </c>
      <c r="Q36" s="171">
        <f t="shared" si="6"/>
        <v>0</v>
      </c>
      <c r="R36" s="171">
        <f t="shared" si="6"/>
        <v>0</v>
      </c>
      <c r="S36" s="171">
        <f t="shared" si="6"/>
        <v>0</v>
      </c>
      <c r="T36" s="171">
        <f t="shared" si="6"/>
        <v>0</v>
      </c>
      <c r="U36" s="171">
        <f t="shared" si="6"/>
        <v>0</v>
      </c>
      <c r="V36" s="171">
        <f t="shared" si="6"/>
        <v>0</v>
      </c>
      <c r="W36" s="171">
        <f t="shared" si="6"/>
        <v>0</v>
      </c>
      <c r="X36" s="171">
        <f t="shared" si="6"/>
        <v>0</v>
      </c>
      <c r="Y36" s="171">
        <f t="shared" si="6"/>
        <v>0</v>
      </c>
      <c r="Z36" s="171">
        <f t="shared" si="6"/>
        <v>0</v>
      </c>
      <c r="AA36" s="171">
        <f t="shared" si="6"/>
        <v>0</v>
      </c>
      <c r="AB36" s="171">
        <f t="shared" si="6"/>
        <v>0</v>
      </c>
      <c r="AC36" s="171">
        <f t="shared" si="6"/>
        <v>0</v>
      </c>
      <c r="AD36" s="171">
        <f t="shared" si="6"/>
        <v>0</v>
      </c>
      <c r="AE36" s="171">
        <f t="shared" si="6"/>
        <v>0</v>
      </c>
      <c r="AF36" s="171">
        <f t="shared" si="6"/>
        <v>0</v>
      </c>
      <c r="AG36" s="171">
        <f t="shared" si="6"/>
        <v>0</v>
      </c>
      <c r="AH36" s="171">
        <f t="shared" si="6"/>
        <v>0</v>
      </c>
      <c r="AI36" s="171">
        <f t="shared" si="6"/>
        <v>0</v>
      </c>
      <c r="AJ36" s="171">
        <f t="shared" si="6"/>
        <v>0</v>
      </c>
      <c r="AK36" s="171">
        <f t="shared" si="6"/>
        <v>0</v>
      </c>
      <c r="AL36" s="171">
        <f t="shared" si="6"/>
        <v>0</v>
      </c>
      <c r="AM36" s="171">
        <f t="shared" si="6"/>
        <v>0</v>
      </c>
      <c r="AN36" s="171">
        <f t="shared" si="6"/>
        <v>0</v>
      </c>
      <c r="AO36" s="171">
        <f t="shared" si="6"/>
        <v>0</v>
      </c>
      <c r="AP36" s="171">
        <f t="shared" si="6"/>
        <v>0</v>
      </c>
      <c r="AQ36" s="171">
        <f t="shared" si="6"/>
        <v>0</v>
      </c>
      <c r="AR36" s="171">
        <f t="shared" si="6"/>
        <v>0</v>
      </c>
      <c r="AS36" s="171">
        <f t="shared" si="6"/>
        <v>0</v>
      </c>
      <c r="AT36" s="171">
        <f t="shared" si="6"/>
        <v>0</v>
      </c>
      <c r="AU36" s="171">
        <f t="shared" si="6"/>
        <v>0</v>
      </c>
    </row>
    <row r="37" spans="2:47">
      <c r="B37" s="75" t="s">
        <v>433</v>
      </c>
      <c r="C37" s="171">
        <f>현재시즌!C7</f>
        <v>0</v>
      </c>
      <c r="D37" s="171">
        <f>현재시즌!D7</f>
        <v>0</v>
      </c>
      <c r="E37" s="171">
        <f>현재시즌!E7</f>
        <v>45</v>
      </c>
      <c r="F37" s="171">
        <f>현재시즌!F7</f>
        <v>0</v>
      </c>
      <c r="G37" s="171">
        <f>현재시즌!G7</f>
        <v>0</v>
      </c>
      <c r="H37" s="171">
        <f>현재시즌!H7</f>
        <v>0</v>
      </c>
      <c r="I37" s="171">
        <f>현재시즌!I7</f>
        <v>9</v>
      </c>
      <c r="J37" s="171">
        <f>현재시즌!J7</f>
        <v>28</v>
      </c>
      <c r="K37" s="171">
        <f>현재시즌!K7</f>
        <v>42</v>
      </c>
      <c r="L37" s="171">
        <f>현재시즌!L7</f>
        <v>0</v>
      </c>
      <c r="M37" s="171">
        <f>현재시즌!M7</f>
        <v>0</v>
      </c>
      <c r="N37" s="171">
        <f>현재시즌!N7</f>
        <v>22</v>
      </c>
      <c r="O37" s="171">
        <f>현재시즌!O7</f>
        <v>40</v>
      </c>
      <c r="P37" s="171">
        <f>현재시즌!P7</f>
        <v>0</v>
      </c>
      <c r="Q37" s="171">
        <f>현재시즌!Q7</f>
        <v>0</v>
      </c>
      <c r="R37" s="171">
        <f>현재시즌!R7</f>
        <v>39</v>
      </c>
      <c r="S37" s="171">
        <f>현재시즌!S7</f>
        <v>20</v>
      </c>
      <c r="T37" s="171">
        <f>현재시즌!T7</f>
        <v>34</v>
      </c>
      <c r="U37" s="171">
        <f>현재시즌!U7</f>
        <v>28</v>
      </c>
      <c r="V37" s="171">
        <f>현재시즌!V7</f>
        <v>0</v>
      </c>
      <c r="W37" s="171">
        <f>현재시즌!W7</f>
        <v>0</v>
      </c>
      <c r="X37" s="171">
        <f>현재시즌!X7</f>
        <v>29</v>
      </c>
      <c r="Y37" s="171">
        <f>현재시즌!Y7</f>
        <v>22</v>
      </c>
      <c r="Z37" s="171">
        <f>현재시즌!Z7</f>
        <v>43</v>
      </c>
      <c r="AA37" s="171">
        <f>현재시즌!AA7</f>
        <v>2</v>
      </c>
      <c r="AB37" s="171">
        <f>현재시즌!AB7</f>
        <v>23</v>
      </c>
      <c r="AC37" s="171">
        <f>현재시즌!AC7</f>
        <v>3</v>
      </c>
      <c r="AD37" s="171">
        <f>현재시즌!AD7</f>
        <v>32</v>
      </c>
      <c r="AE37" s="171">
        <f>현재시즌!AE7</f>
        <v>0</v>
      </c>
      <c r="AF37" s="171">
        <f>현재시즌!AF7</f>
        <v>33</v>
      </c>
      <c r="AG37" s="171">
        <f>현재시즌!AG7</f>
        <v>42</v>
      </c>
      <c r="AH37" s="171">
        <f>현재시즌!AH7</f>
        <v>34</v>
      </c>
      <c r="AI37" s="171">
        <f>현재시즌!AI7</f>
        <v>0</v>
      </c>
      <c r="AJ37" s="171">
        <f>현재시즌!AJ7</f>
        <v>0</v>
      </c>
      <c r="AK37" s="171">
        <f>현재시즌!AK7</f>
        <v>39</v>
      </c>
      <c r="AL37" s="171">
        <f>현재시즌!AL7</f>
        <v>23</v>
      </c>
      <c r="AM37" s="171">
        <f>현재시즌!AM7</f>
        <v>0</v>
      </c>
      <c r="AN37" s="171">
        <f>현재시즌!AN7</f>
        <v>0</v>
      </c>
      <c r="AO37" s="171">
        <f>현재시즌!AO7</f>
        <v>0</v>
      </c>
      <c r="AP37" s="171">
        <f>현재시즌!AP7</f>
        <v>0</v>
      </c>
      <c r="AQ37" s="171">
        <f>현재시즌!AQ7</f>
        <v>0</v>
      </c>
      <c r="AR37" s="171">
        <f>현재시즌!AR7</f>
        <v>0</v>
      </c>
      <c r="AS37" s="171">
        <f>현재시즌!AS7</f>
        <v>0</v>
      </c>
      <c r="AT37" s="171">
        <f>현재시즌!AT7</f>
        <v>0</v>
      </c>
      <c r="AU37" s="171">
        <f>현재시즌!AU7</f>
        <v>0</v>
      </c>
    </row>
  </sheetData>
  <mergeCells count="1">
    <mergeCell ref="F13:J13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팀섞기_A">
                <anchor moveWithCells="1" sizeWithCells="1">
                  <from>
                    <xdr:col>5</xdr:col>
                    <xdr:colOff>314325</xdr:colOff>
                    <xdr:row>2</xdr:row>
                    <xdr:rowOff>57150</xdr:rowOff>
                  </from>
                  <to>
                    <xdr:col>6</xdr:col>
                    <xdr:colOff>742950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4" name="Button 5">
              <controlPr defaultSize="0" print="0" autoFill="0" autoPict="0" macro="[0]!팀섞기_B">
                <anchor moveWithCells="1" sizeWithCells="1">
                  <from>
                    <xdr:col>5</xdr:col>
                    <xdr:colOff>314325</xdr:colOff>
                    <xdr:row>6</xdr:row>
                    <xdr:rowOff>0</xdr:rowOff>
                  </from>
                  <to>
                    <xdr:col>6</xdr:col>
                    <xdr:colOff>742950</xdr:colOff>
                    <xdr:row>8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U134"/>
  <sheetViews>
    <sheetView tabSelected="1" zoomScale="85" zoomScaleNormal="85" workbookViewId="0"/>
  </sheetViews>
  <sheetFormatPr defaultRowHeight="16.5"/>
  <cols>
    <col min="2" max="2" width="13.75" style="13" bestFit="1" customWidth="1"/>
    <col min="3" max="37" width="9.375" customWidth="1"/>
  </cols>
  <sheetData>
    <row r="1" spans="2:47">
      <c r="B1" s="14"/>
    </row>
    <row r="2" spans="2:47" hidden="1">
      <c r="B2" s="327" t="s">
        <v>315</v>
      </c>
      <c r="C2" s="328"/>
      <c r="D2" s="328"/>
      <c r="E2" s="329"/>
      <c r="F2" s="13"/>
    </row>
    <row r="3" spans="2:47" s="13" customFormat="1" hidden="1">
      <c r="B3" s="4">
        <f>+COUNT(C4:AU4)</f>
        <v>20</v>
      </c>
      <c r="C3" s="1" t="s">
        <v>55</v>
      </c>
      <c r="D3" s="1" t="s">
        <v>45</v>
      </c>
      <c r="E3" s="1" t="s">
        <v>33</v>
      </c>
      <c r="F3" s="1" t="s">
        <v>49</v>
      </c>
      <c r="G3" s="1" t="s">
        <v>24</v>
      </c>
      <c r="H3" s="1" t="s">
        <v>25</v>
      </c>
      <c r="I3" s="1" t="s">
        <v>37</v>
      </c>
      <c r="J3" s="1" t="s">
        <v>38</v>
      </c>
      <c r="K3" s="1" t="s">
        <v>17</v>
      </c>
      <c r="L3" s="1" t="s">
        <v>22</v>
      </c>
      <c r="M3" s="1" t="s">
        <v>48</v>
      </c>
      <c r="N3" s="1" t="s">
        <v>47</v>
      </c>
      <c r="O3" s="1" t="s">
        <v>42</v>
      </c>
      <c r="P3" s="1" t="s">
        <v>30</v>
      </c>
      <c r="Q3" s="1" t="s">
        <v>41</v>
      </c>
      <c r="R3" s="1" t="s">
        <v>46</v>
      </c>
      <c r="S3" s="1" t="s">
        <v>18</v>
      </c>
      <c r="T3" s="1" t="s">
        <v>23</v>
      </c>
      <c r="U3" s="1" t="s">
        <v>34</v>
      </c>
      <c r="V3" s="1" t="s">
        <v>27</v>
      </c>
      <c r="W3" s="1" t="s">
        <v>21</v>
      </c>
      <c r="X3" s="1" t="s">
        <v>31</v>
      </c>
      <c r="Y3" s="1" t="s">
        <v>111</v>
      </c>
      <c r="Z3" s="1" t="s">
        <v>28</v>
      </c>
      <c r="AA3" s="1" t="s">
        <v>50</v>
      </c>
      <c r="AB3" s="1" t="s">
        <v>36</v>
      </c>
      <c r="AC3" s="1" t="s">
        <v>39</v>
      </c>
      <c r="AD3" s="1" t="s">
        <v>19</v>
      </c>
      <c r="AE3" s="1" t="s">
        <v>35</v>
      </c>
      <c r="AF3" s="1" t="s">
        <v>40</v>
      </c>
      <c r="AG3" s="1" t="s">
        <v>32</v>
      </c>
      <c r="AH3" s="1" t="s">
        <v>44</v>
      </c>
      <c r="AI3" s="1" t="s">
        <v>43</v>
      </c>
      <c r="AJ3" s="1" t="s">
        <v>29</v>
      </c>
      <c r="AK3" s="1" t="s">
        <v>20</v>
      </c>
      <c r="AL3" s="168" t="s">
        <v>319</v>
      </c>
      <c r="AM3" s="168"/>
      <c r="AN3" s="168"/>
      <c r="AO3" s="168"/>
      <c r="AP3" s="168"/>
      <c r="AQ3" s="168"/>
      <c r="AR3" s="168"/>
      <c r="AS3" s="168"/>
      <c r="AT3" s="168"/>
      <c r="AU3" s="168"/>
    </row>
    <row r="4" spans="2:47" hidden="1">
      <c r="B4" s="1" t="s">
        <v>0</v>
      </c>
      <c r="C4" s="270"/>
      <c r="D4" s="270"/>
      <c r="E4" s="270">
        <v>24</v>
      </c>
      <c r="F4" s="270"/>
      <c r="G4" s="270"/>
      <c r="H4" s="270"/>
      <c r="I4" s="270">
        <v>3</v>
      </c>
      <c r="J4" s="270">
        <v>11</v>
      </c>
      <c r="K4" s="270">
        <v>27</v>
      </c>
      <c r="L4" s="270"/>
      <c r="M4" s="270"/>
      <c r="N4" s="270">
        <v>11</v>
      </c>
      <c r="O4" s="270">
        <v>25</v>
      </c>
      <c r="P4" s="270"/>
      <c r="Q4" s="270"/>
      <c r="R4" s="270">
        <v>18</v>
      </c>
      <c r="S4" s="270">
        <v>8</v>
      </c>
      <c r="T4" s="270">
        <v>22</v>
      </c>
      <c r="U4" s="270">
        <v>14</v>
      </c>
      <c r="V4" s="270"/>
      <c r="W4" s="270"/>
      <c r="X4" s="270">
        <v>20</v>
      </c>
      <c r="Y4" s="270">
        <v>6</v>
      </c>
      <c r="Z4" s="270">
        <v>22</v>
      </c>
      <c r="AA4" s="270"/>
      <c r="AB4" s="270">
        <v>9</v>
      </c>
      <c r="AC4" s="270"/>
      <c r="AD4" s="270">
        <v>18</v>
      </c>
      <c r="AE4" s="270"/>
      <c r="AF4" s="270">
        <v>14</v>
      </c>
      <c r="AG4" s="270">
        <v>22</v>
      </c>
      <c r="AH4" s="270">
        <v>15</v>
      </c>
      <c r="AI4" s="270"/>
      <c r="AJ4" s="270"/>
      <c r="AK4" s="270">
        <v>16</v>
      </c>
      <c r="AL4" s="171">
        <v>11</v>
      </c>
      <c r="AM4" s="171"/>
      <c r="AN4" s="171"/>
      <c r="AO4" s="171"/>
      <c r="AP4" s="171"/>
      <c r="AQ4" s="171"/>
      <c r="AR4" s="171"/>
      <c r="AS4" s="171"/>
      <c r="AT4" s="171"/>
      <c r="AU4" s="171"/>
    </row>
    <row r="5" spans="2:47" hidden="1">
      <c r="B5" s="1" t="s">
        <v>1</v>
      </c>
      <c r="C5" s="270"/>
      <c r="D5" s="270"/>
      <c r="E5" s="270">
        <v>21</v>
      </c>
      <c r="F5" s="270"/>
      <c r="G5" s="270"/>
      <c r="H5" s="270"/>
      <c r="I5" s="270">
        <v>6</v>
      </c>
      <c r="J5" s="270">
        <v>17</v>
      </c>
      <c r="K5" s="270">
        <v>15</v>
      </c>
      <c r="L5" s="270"/>
      <c r="M5" s="270"/>
      <c r="N5" s="270">
        <v>11</v>
      </c>
      <c r="O5" s="270">
        <v>15</v>
      </c>
      <c r="P5" s="270"/>
      <c r="Q5" s="270"/>
      <c r="R5" s="270">
        <v>21</v>
      </c>
      <c r="S5" s="270">
        <v>12</v>
      </c>
      <c r="T5" s="270">
        <v>12</v>
      </c>
      <c r="U5" s="270">
        <v>14</v>
      </c>
      <c r="V5" s="270"/>
      <c r="W5" s="270"/>
      <c r="X5" s="270">
        <v>9</v>
      </c>
      <c r="Y5" s="270">
        <v>16</v>
      </c>
      <c r="Z5" s="270">
        <v>21</v>
      </c>
      <c r="AA5" s="270">
        <v>2</v>
      </c>
      <c r="AB5" s="270">
        <v>14</v>
      </c>
      <c r="AC5" s="270">
        <v>3</v>
      </c>
      <c r="AD5" s="270">
        <v>14</v>
      </c>
      <c r="AE5" s="270"/>
      <c r="AF5" s="270">
        <v>19</v>
      </c>
      <c r="AG5" s="270">
        <v>20</v>
      </c>
      <c r="AH5" s="270">
        <v>19</v>
      </c>
      <c r="AI5" s="270"/>
      <c r="AJ5" s="270"/>
      <c r="AK5" s="270">
        <v>23</v>
      </c>
      <c r="AL5" s="171">
        <v>12</v>
      </c>
      <c r="AM5" s="171"/>
      <c r="AN5" s="171"/>
      <c r="AO5" s="171"/>
      <c r="AP5" s="171"/>
      <c r="AQ5" s="171"/>
      <c r="AR5" s="171"/>
      <c r="AS5" s="171"/>
      <c r="AT5" s="171"/>
      <c r="AU5" s="171"/>
    </row>
    <row r="6" spans="2:47" hidden="1">
      <c r="B6" s="1" t="s">
        <v>2</v>
      </c>
      <c r="C6" s="11">
        <f t="shared" ref="C6:AK6" si="0">IFERROR(C4/(C4+C5),0)</f>
        <v>0</v>
      </c>
      <c r="D6" s="11">
        <f t="shared" si="0"/>
        <v>0</v>
      </c>
      <c r="E6" s="11">
        <f t="shared" si="0"/>
        <v>0.53333333333333333</v>
      </c>
      <c r="F6" s="11">
        <f t="shared" si="0"/>
        <v>0</v>
      </c>
      <c r="G6" s="11">
        <f t="shared" si="0"/>
        <v>0</v>
      </c>
      <c r="H6" s="11">
        <f t="shared" si="0"/>
        <v>0</v>
      </c>
      <c r="I6" s="11">
        <f t="shared" si="0"/>
        <v>0.33333333333333331</v>
      </c>
      <c r="J6" s="11">
        <f t="shared" si="0"/>
        <v>0.39285714285714285</v>
      </c>
      <c r="K6" s="11">
        <f t="shared" si="0"/>
        <v>0.6428571428571429</v>
      </c>
      <c r="L6" s="11">
        <f t="shared" si="0"/>
        <v>0</v>
      </c>
      <c r="M6" s="11">
        <f t="shared" si="0"/>
        <v>0</v>
      </c>
      <c r="N6" s="11">
        <f t="shared" si="0"/>
        <v>0.5</v>
      </c>
      <c r="O6" s="11">
        <f t="shared" si="0"/>
        <v>0.625</v>
      </c>
      <c r="P6" s="11">
        <f t="shared" si="0"/>
        <v>0</v>
      </c>
      <c r="Q6" s="11">
        <f t="shared" si="0"/>
        <v>0</v>
      </c>
      <c r="R6" s="11">
        <f t="shared" si="0"/>
        <v>0.46153846153846156</v>
      </c>
      <c r="S6" s="11">
        <f t="shared" si="0"/>
        <v>0.4</v>
      </c>
      <c r="T6" s="11">
        <f t="shared" si="0"/>
        <v>0.6470588235294118</v>
      </c>
      <c r="U6" s="11">
        <f t="shared" si="0"/>
        <v>0.5</v>
      </c>
      <c r="V6" s="11">
        <f t="shared" si="0"/>
        <v>0</v>
      </c>
      <c r="W6" s="11">
        <f t="shared" si="0"/>
        <v>0</v>
      </c>
      <c r="X6" s="11">
        <f t="shared" si="0"/>
        <v>0.68965517241379315</v>
      </c>
      <c r="Y6" s="11">
        <f t="shared" si="0"/>
        <v>0.27272727272727271</v>
      </c>
      <c r="Z6" s="11">
        <f t="shared" si="0"/>
        <v>0.51162790697674421</v>
      </c>
      <c r="AA6" s="11">
        <f t="shared" si="0"/>
        <v>0</v>
      </c>
      <c r="AB6" s="11">
        <f t="shared" si="0"/>
        <v>0.39130434782608697</v>
      </c>
      <c r="AC6" s="11">
        <f t="shared" si="0"/>
        <v>0</v>
      </c>
      <c r="AD6" s="11">
        <f t="shared" si="0"/>
        <v>0.5625</v>
      </c>
      <c r="AE6" s="11">
        <f t="shared" si="0"/>
        <v>0</v>
      </c>
      <c r="AF6" s="11">
        <f t="shared" si="0"/>
        <v>0.42424242424242425</v>
      </c>
      <c r="AG6" s="11">
        <f t="shared" si="0"/>
        <v>0.52380952380952384</v>
      </c>
      <c r="AH6" s="11">
        <f t="shared" si="0"/>
        <v>0.44117647058823528</v>
      </c>
      <c r="AI6" s="11">
        <f t="shared" si="0"/>
        <v>0</v>
      </c>
      <c r="AJ6" s="11">
        <f t="shared" si="0"/>
        <v>0</v>
      </c>
      <c r="AK6" s="11">
        <f t="shared" si="0"/>
        <v>0.41025641025641024</v>
      </c>
      <c r="AL6" s="11">
        <f t="shared" ref="AL6:AU6" si="1">IFERROR(AL4/(AL4+AL5),0)</f>
        <v>0.47826086956521741</v>
      </c>
      <c r="AM6" s="11">
        <f t="shared" si="1"/>
        <v>0</v>
      </c>
      <c r="AN6" s="11">
        <f t="shared" si="1"/>
        <v>0</v>
      </c>
      <c r="AO6" s="11">
        <f t="shared" si="1"/>
        <v>0</v>
      </c>
      <c r="AP6" s="11">
        <f t="shared" si="1"/>
        <v>0</v>
      </c>
      <c r="AQ6" s="11">
        <f t="shared" si="1"/>
        <v>0</v>
      </c>
      <c r="AR6" s="11">
        <f t="shared" si="1"/>
        <v>0</v>
      </c>
      <c r="AS6" s="11">
        <f t="shared" si="1"/>
        <v>0</v>
      </c>
      <c r="AT6" s="11">
        <f t="shared" si="1"/>
        <v>0</v>
      </c>
      <c r="AU6" s="11">
        <f t="shared" si="1"/>
        <v>0</v>
      </c>
    </row>
    <row r="7" spans="2:47" hidden="1">
      <c r="B7" s="1" t="s">
        <v>7</v>
      </c>
      <c r="C7" s="12">
        <f t="shared" ref="C7:AK7" si="2">+C4+C5</f>
        <v>0</v>
      </c>
      <c r="D7" s="12">
        <f t="shared" si="2"/>
        <v>0</v>
      </c>
      <c r="E7" s="12">
        <f t="shared" si="2"/>
        <v>45</v>
      </c>
      <c r="F7" s="12">
        <f t="shared" si="2"/>
        <v>0</v>
      </c>
      <c r="G7" s="12">
        <f t="shared" si="2"/>
        <v>0</v>
      </c>
      <c r="H7" s="12">
        <f t="shared" si="2"/>
        <v>0</v>
      </c>
      <c r="I7" s="12">
        <f t="shared" si="2"/>
        <v>9</v>
      </c>
      <c r="J7" s="12">
        <f t="shared" si="2"/>
        <v>28</v>
      </c>
      <c r="K7" s="12">
        <f t="shared" si="2"/>
        <v>42</v>
      </c>
      <c r="L7" s="12">
        <f t="shared" si="2"/>
        <v>0</v>
      </c>
      <c r="M7" s="12">
        <f t="shared" si="2"/>
        <v>0</v>
      </c>
      <c r="N7" s="12">
        <f t="shared" si="2"/>
        <v>22</v>
      </c>
      <c r="O7" s="12">
        <f t="shared" si="2"/>
        <v>40</v>
      </c>
      <c r="P7" s="12">
        <f t="shared" si="2"/>
        <v>0</v>
      </c>
      <c r="Q7" s="12">
        <f t="shared" si="2"/>
        <v>0</v>
      </c>
      <c r="R7" s="12">
        <f t="shared" si="2"/>
        <v>39</v>
      </c>
      <c r="S7" s="12">
        <f t="shared" si="2"/>
        <v>20</v>
      </c>
      <c r="T7" s="12">
        <f t="shared" si="2"/>
        <v>34</v>
      </c>
      <c r="U7" s="12">
        <f t="shared" si="2"/>
        <v>28</v>
      </c>
      <c r="V7" s="12">
        <f t="shared" si="2"/>
        <v>0</v>
      </c>
      <c r="W7" s="12">
        <f t="shared" si="2"/>
        <v>0</v>
      </c>
      <c r="X7" s="12">
        <f t="shared" si="2"/>
        <v>29</v>
      </c>
      <c r="Y7" s="12">
        <f t="shared" si="2"/>
        <v>22</v>
      </c>
      <c r="Z7" s="12">
        <f t="shared" si="2"/>
        <v>43</v>
      </c>
      <c r="AA7" s="12">
        <f t="shared" si="2"/>
        <v>2</v>
      </c>
      <c r="AB7" s="12">
        <f t="shared" si="2"/>
        <v>23</v>
      </c>
      <c r="AC7" s="12">
        <f t="shared" si="2"/>
        <v>3</v>
      </c>
      <c r="AD7" s="12">
        <f t="shared" si="2"/>
        <v>32</v>
      </c>
      <c r="AE7" s="12">
        <f t="shared" si="2"/>
        <v>0</v>
      </c>
      <c r="AF7" s="12">
        <f t="shared" si="2"/>
        <v>33</v>
      </c>
      <c r="AG7" s="12">
        <f t="shared" si="2"/>
        <v>42</v>
      </c>
      <c r="AH7" s="12">
        <f t="shared" si="2"/>
        <v>34</v>
      </c>
      <c r="AI7" s="12">
        <f t="shared" si="2"/>
        <v>0</v>
      </c>
      <c r="AJ7" s="12">
        <f t="shared" si="2"/>
        <v>0</v>
      </c>
      <c r="AK7" s="12">
        <f t="shared" si="2"/>
        <v>39</v>
      </c>
      <c r="AL7" s="12">
        <f t="shared" ref="AL7:AU7" si="3">+AL4+AL5</f>
        <v>23</v>
      </c>
      <c r="AM7" s="12">
        <f t="shared" si="3"/>
        <v>0</v>
      </c>
      <c r="AN7" s="12">
        <f t="shared" si="3"/>
        <v>0</v>
      </c>
      <c r="AO7" s="12">
        <f t="shared" si="3"/>
        <v>0</v>
      </c>
      <c r="AP7" s="12">
        <f t="shared" si="3"/>
        <v>0</v>
      </c>
      <c r="AQ7" s="12">
        <f t="shared" si="3"/>
        <v>0</v>
      </c>
      <c r="AR7" s="12">
        <f t="shared" si="3"/>
        <v>0</v>
      </c>
      <c r="AS7" s="12">
        <f t="shared" si="3"/>
        <v>0</v>
      </c>
      <c r="AT7" s="12">
        <f t="shared" si="3"/>
        <v>0</v>
      </c>
      <c r="AU7" s="12">
        <f t="shared" si="3"/>
        <v>0</v>
      </c>
    </row>
    <row r="8" spans="2:47" hidden="1">
      <c r="B8" s="1" t="s">
        <v>10</v>
      </c>
      <c r="C8" s="65">
        <f>IF(C7&lt;5,0,IFERROR((C6/C7),"0"))</f>
        <v>0</v>
      </c>
      <c r="D8" s="65">
        <f t="shared" ref="D8:AK8" si="4">IF(D7&lt;5,0,IFERROR((D6/D7),"0"))</f>
        <v>0</v>
      </c>
      <c r="E8" s="65">
        <f t="shared" si="4"/>
        <v>1.1851851851851851E-2</v>
      </c>
      <c r="F8" s="65">
        <f t="shared" si="4"/>
        <v>0</v>
      </c>
      <c r="G8" s="65">
        <f t="shared" si="4"/>
        <v>0</v>
      </c>
      <c r="H8" s="65">
        <f t="shared" si="4"/>
        <v>0</v>
      </c>
      <c r="I8" s="65">
        <f t="shared" si="4"/>
        <v>3.7037037037037035E-2</v>
      </c>
      <c r="J8" s="65">
        <f t="shared" si="4"/>
        <v>1.4030612244897959E-2</v>
      </c>
      <c r="K8" s="65">
        <f t="shared" si="4"/>
        <v>1.5306122448979593E-2</v>
      </c>
      <c r="L8" s="65">
        <f t="shared" si="4"/>
        <v>0</v>
      </c>
      <c r="M8" s="65">
        <f t="shared" si="4"/>
        <v>0</v>
      </c>
      <c r="N8" s="65">
        <f t="shared" si="4"/>
        <v>2.2727272727272728E-2</v>
      </c>
      <c r="O8" s="65">
        <f t="shared" si="4"/>
        <v>1.5625E-2</v>
      </c>
      <c r="P8" s="65">
        <f t="shared" si="4"/>
        <v>0</v>
      </c>
      <c r="Q8" s="65">
        <f t="shared" si="4"/>
        <v>0</v>
      </c>
      <c r="R8" s="65">
        <f t="shared" si="4"/>
        <v>1.183431952662722E-2</v>
      </c>
      <c r="S8" s="65">
        <f t="shared" si="4"/>
        <v>0.02</v>
      </c>
      <c r="T8" s="65">
        <f t="shared" si="4"/>
        <v>1.9031141868512111E-2</v>
      </c>
      <c r="U8" s="65">
        <f t="shared" si="4"/>
        <v>1.7857142857142856E-2</v>
      </c>
      <c r="V8" s="65">
        <f t="shared" si="4"/>
        <v>0</v>
      </c>
      <c r="W8" s="65">
        <f t="shared" si="4"/>
        <v>0</v>
      </c>
      <c r="X8" s="65">
        <f t="shared" si="4"/>
        <v>2.3781212841854936E-2</v>
      </c>
      <c r="Y8" s="65">
        <f t="shared" si="4"/>
        <v>1.2396694214876032E-2</v>
      </c>
      <c r="Z8" s="65">
        <f t="shared" si="4"/>
        <v>1.1898323418063819E-2</v>
      </c>
      <c r="AA8" s="65">
        <f t="shared" si="4"/>
        <v>0</v>
      </c>
      <c r="AB8" s="65">
        <f t="shared" si="4"/>
        <v>1.7013232514177693E-2</v>
      </c>
      <c r="AC8" s="65">
        <f t="shared" si="4"/>
        <v>0</v>
      </c>
      <c r="AD8" s="65">
        <f t="shared" si="4"/>
        <v>1.7578125E-2</v>
      </c>
      <c r="AE8" s="65">
        <f t="shared" si="4"/>
        <v>0</v>
      </c>
      <c r="AF8" s="65">
        <f t="shared" si="4"/>
        <v>1.285583103764922E-2</v>
      </c>
      <c r="AG8" s="65">
        <f t="shared" si="4"/>
        <v>1.2471655328798186E-2</v>
      </c>
      <c r="AH8" s="65">
        <f t="shared" si="4"/>
        <v>1.2975778546712802E-2</v>
      </c>
      <c r="AI8" s="65">
        <f t="shared" si="4"/>
        <v>0</v>
      </c>
      <c r="AJ8" s="65">
        <f t="shared" si="4"/>
        <v>0</v>
      </c>
      <c r="AK8" s="65">
        <f t="shared" si="4"/>
        <v>1.0519395134779749E-2</v>
      </c>
      <c r="AL8" s="65">
        <f t="shared" ref="AL8:AU8" si="5">IF(AL7&lt;5,0,IFERROR((AL6/AL7),"0"))</f>
        <v>2.0793950850661626E-2</v>
      </c>
      <c r="AM8" s="65">
        <f t="shared" si="5"/>
        <v>0</v>
      </c>
      <c r="AN8" s="65">
        <f t="shared" si="5"/>
        <v>0</v>
      </c>
      <c r="AO8" s="65">
        <f t="shared" si="5"/>
        <v>0</v>
      </c>
      <c r="AP8" s="65">
        <f t="shared" si="5"/>
        <v>0</v>
      </c>
      <c r="AQ8" s="65">
        <f t="shared" si="5"/>
        <v>0</v>
      </c>
      <c r="AR8" s="65">
        <f t="shared" si="5"/>
        <v>0</v>
      </c>
      <c r="AS8" s="65">
        <f t="shared" si="5"/>
        <v>0</v>
      </c>
      <c r="AT8" s="65">
        <f t="shared" si="5"/>
        <v>0</v>
      </c>
      <c r="AU8" s="65">
        <f t="shared" si="5"/>
        <v>0</v>
      </c>
    </row>
    <row r="9" spans="2:47" hidden="1">
      <c r="B9" s="1" t="s">
        <v>51</v>
      </c>
      <c r="C9" s="1" t="str">
        <f>IF(C7&lt;5,"티어없음",IFERROR(INDEX($C$31:$AU$31,MATCH(C3,$C$32:$AU$32,0)),"티어없음"))</f>
        <v>티어없음</v>
      </c>
      <c r="D9" s="168" t="str">
        <f t="shared" ref="D9:AU9" si="6">IF(D7&lt;5,"티어없음",IFERROR(INDEX($C$31:$AU$31,MATCH(D3,$C$32:$AU$32,0)),"티어없음"))</f>
        <v>티어없음</v>
      </c>
      <c r="E9" s="168" t="str">
        <f t="shared" si="6"/>
        <v>골드</v>
      </c>
      <c r="F9" s="168" t="str">
        <f t="shared" si="6"/>
        <v>티어없음</v>
      </c>
      <c r="G9" s="168" t="str">
        <f t="shared" si="6"/>
        <v>티어없음</v>
      </c>
      <c r="H9" s="168" t="str">
        <f t="shared" si="6"/>
        <v>티어없음</v>
      </c>
      <c r="I9" s="168" t="str">
        <f t="shared" si="6"/>
        <v>아이언</v>
      </c>
      <c r="J9" s="168" t="str">
        <f t="shared" si="6"/>
        <v>브론즈</v>
      </c>
      <c r="K9" s="168" t="str">
        <f t="shared" si="6"/>
        <v>다이아</v>
      </c>
      <c r="L9" s="168" t="str">
        <f t="shared" si="6"/>
        <v>티어없음</v>
      </c>
      <c r="M9" s="168" t="str">
        <f t="shared" si="6"/>
        <v>티어없음</v>
      </c>
      <c r="N9" s="168" t="str">
        <f t="shared" si="6"/>
        <v>브론즈</v>
      </c>
      <c r="O9" s="168" t="str">
        <f t="shared" si="6"/>
        <v>플레티넘</v>
      </c>
      <c r="P9" s="168" t="str">
        <f t="shared" si="6"/>
        <v>티어없음</v>
      </c>
      <c r="Q9" s="168" t="str">
        <f t="shared" si="6"/>
        <v>티어없음</v>
      </c>
      <c r="R9" s="168" t="str">
        <f t="shared" si="6"/>
        <v>골드</v>
      </c>
      <c r="S9" s="168" t="str">
        <f t="shared" si="6"/>
        <v>아이언</v>
      </c>
      <c r="T9" s="168" t="str">
        <f t="shared" si="6"/>
        <v>다이아</v>
      </c>
      <c r="U9" s="168" t="str">
        <f t="shared" si="6"/>
        <v>실버</v>
      </c>
      <c r="V9" s="168" t="str">
        <f t="shared" si="6"/>
        <v>티어없음</v>
      </c>
      <c r="W9" s="168" t="str">
        <f t="shared" si="6"/>
        <v>티어없음</v>
      </c>
      <c r="X9" s="168" t="str">
        <f t="shared" si="6"/>
        <v>플레티넘</v>
      </c>
      <c r="Y9" s="168" t="str">
        <f t="shared" si="6"/>
        <v>아이언</v>
      </c>
      <c r="Z9" s="168" t="str">
        <f t="shared" si="6"/>
        <v>플레티넘</v>
      </c>
      <c r="AA9" s="168" t="str">
        <f t="shared" si="6"/>
        <v>티어없음</v>
      </c>
      <c r="AB9" s="168" t="str">
        <f t="shared" si="6"/>
        <v>브론즈</v>
      </c>
      <c r="AC9" s="168" t="str">
        <f t="shared" si="6"/>
        <v>티어없음</v>
      </c>
      <c r="AD9" s="168" t="str">
        <f t="shared" si="6"/>
        <v>골드</v>
      </c>
      <c r="AE9" s="168" t="str">
        <f t="shared" si="6"/>
        <v>티어없음</v>
      </c>
      <c r="AF9" s="168" t="str">
        <f t="shared" si="6"/>
        <v>브론즈</v>
      </c>
      <c r="AG9" s="168" t="str">
        <f t="shared" si="6"/>
        <v>골드</v>
      </c>
      <c r="AH9" s="168" t="str">
        <f t="shared" si="6"/>
        <v>실버</v>
      </c>
      <c r="AI9" s="168" t="str">
        <f t="shared" si="6"/>
        <v>티어없음</v>
      </c>
      <c r="AJ9" s="168" t="str">
        <f t="shared" si="6"/>
        <v>티어없음</v>
      </c>
      <c r="AK9" s="168" t="str">
        <f t="shared" si="6"/>
        <v>실버</v>
      </c>
      <c r="AL9" s="168" t="str">
        <f t="shared" si="6"/>
        <v>실버</v>
      </c>
      <c r="AM9" s="168" t="str">
        <f t="shared" si="6"/>
        <v>티어없음</v>
      </c>
      <c r="AN9" s="168" t="str">
        <f t="shared" si="6"/>
        <v>티어없음</v>
      </c>
      <c r="AO9" s="168" t="str">
        <f t="shared" si="6"/>
        <v>티어없음</v>
      </c>
      <c r="AP9" s="168" t="str">
        <f t="shared" si="6"/>
        <v>티어없음</v>
      </c>
      <c r="AQ9" s="168" t="str">
        <f t="shared" si="6"/>
        <v>티어없음</v>
      </c>
      <c r="AR9" s="168" t="str">
        <f t="shared" si="6"/>
        <v>티어없음</v>
      </c>
      <c r="AS9" s="168" t="str">
        <f t="shared" si="6"/>
        <v>티어없음</v>
      </c>
      <c r="AT9" s="168" t="str">
        <f t="shared" si="6"/>
        <v>티어없음</v>
      </c>
      <c r="AU9" s="168" t="str">
        <f t="shared" si="6"/>
        <v>티어없음</v>
      </c>
    </row>
    <row r="10" spans="2:47" hidden="1">
      <c r="B10" s="1" t="s">
        <v>52</v>
      </c>
      <c r="C10" s="31"/>
      <c r="D10" s="31"/>
      <c r="E10" s="31">
        <v>206.69834327757354</v>
      </c>
      <c r="F10" s="31"/>
      <c r="G10" s="31"/>
      <c r="H10" s="31"/>
      <c r="I10" s="31">
        <v>35.646666666666668</v>
      </c>
      <c r="J10" s="31">
        <v>109.69007293198155</v>
      </c>
      <c r="K10" s="31">
        <v>252.96698966987086</v>
      </c>
      <c r="L10" s="31"/>
      <c r="M10" s="31"/>
      <c r="N10" s="31">
        <v>138.76831115122678</v>
      </c>
      <c r="O10" s="31">
        <v>231.92474811222843</v>
      </c>
      <c r="P10" s="31"/>
      <c r="Q10" s="31"/>
      <c r="R10" s="31">
        <v>191.51117755781763</v>
      </c>
      <c r="S10" s="31">
        <v>76.144620811287481</v>
      </c>
      <c r="T10" s="31">
        <v>287.32850256898894</v>
      </c>
      <c r="U10" s="31">
        <v>177.44769344495487</v>
      </c>
      <c r="V10" s="31"/>
      <c r="W10" s="31"/>
      <c r="X10" s="31">
        <v>240.12987333318313</v>
      </c>
      <c r="Y10" s="31">
        <v>44.551461940243996</v>
      </c>
      <c r="Z10" s="31">
        <v>251.46877210208564</v>
      </c>
      <c r="AA10" s="31">
        <v>-10</v>
      </c>
      <c r="AB10" s="31">
        <v>102.05098773393655</v>
      </c>
      <c r="AC10" s="31">
        <v>-15</v>
      </c>
      <c r="AD10" s="31">
        <v>195.90653142611475</v>
      </c>
      <c r="AE10" s="31"/>
      <c r="AF10" s="31">
        <v>168.48257424187491</v>
      </c>
      <c r="AG10" s="31">
        <v>230.6497533234585</v>
      </c>
      <c r="AH10" s="31">
        <v>176.64919674773202</v>
      </c>
      <c r="AI10" s="31"/>
      <c r="AJ10" s="31"/>
      <c r="AK10" s="31">
        <v>190.93431023795657</v>
      </c>
      <c r="AL10" s="171">
        <v>188.75307376485949</v>
      </c>
      <c r="AM10" s="171"/>
      <c r="AN10" s="171"/>
      <c r="AO10" s="171"/>
      <c r="AP10" s="171"/>
      <c r="AQ10" s="171"/>
      <c r="AR10" s="171"/>
      <c r="AS10" s="171"/>
      <c r="AT10" s="171"/>
      <c r="AU10" s="171"/>
    </row>
    <row r="11" spans="2:47" hidden="1">
      <c r="B11" s="14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</row>
    <row r="12" spans="2:47" hidden="1">
      <c r="B12" s="14"/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</row>
    <row r="13" spans="2:47" hidden="1">
      <c r="B13" s="13" t="s">
        <v>56</v>
      </c>
      <c r="C13" s="8">
        <v>1</v>
      </c>
      <c r="D13" s="8">
        <v>2</v>
      </c>
      <c r="E13" s="8">
        <v>3</v>
      </c>
      <c r="F13" s="8">
        <v>4</v>
      </c>
      <c r="G13" s="8">
        <v>5</v>
      </c>
      <c r="H13" s="8">
        <v>6</v>
      </c>
      <c r="I13" s="8">
        <v>7</v>
      </c>
      <c r="J13" s="8">
        <v>8</v>
      </c>
      <c r="K13" s="8">
        <v>9</v>
      </c>
      <c r="L13" s="8">
        <v>10</v>
      </c>
      <c r="M13" s="8">
        <v>11</v>
      </c>
      <c r="N13" s="8">
        <v>12</v>
      </c>
      <c r="O13" s="8">
        <v>13</v>
      </c>
      <c r="P13" s="8">
        <v>14</v>
      </c>
      <c r="Q13" s="8">
        <v>15</v>
      </c>
      <c r="R13" s="8">
        <v>16</v>
      </c>
      <c r="S13" s="8">
        <v>17</v>
      </c>
      <c r="T13" s="8">
        <v>18</v>
      </c>
      <c r="U13" s="8">
        <v>19</v>
      </c>
      <c r="V13" s="8">
        <v>20</v>
      </c>
      <c r="W13" s="8">
        <v>21</v>
      </c>
      <c r="X13" s="8">
        <v>22</v>
      </c>
      <c r="Y13" s="8">
        <v>23</v>
      </c>
      <c r="Z13" s="8">
        <v>24</v>
      </c>
      <c r="AA13" s="8">
        <v>25</v>
      </c>
      <c r="AB13" s="8">
        <v>26</v>
      </c>
      <c r="AC13" s="8">
        <v>27</v>
      </c>
      <c r="AD13" s="8">
        <v>28</v>
      </c>
      <c r="AE13" s="8">
        <v>29</v>
      </c>
      <c r="AF13" s="8">
        <v>30</v>
      </c>
      <c r="AG13" s="8">
        <v>31</v>
      </c>
      <c r="AH13" s="8">
        <v>32</v>
      </c>
      <c r="AI13" s="8">
        <v>33</v>
      </c>
      <c r="AJ13" s="8">
        <v>34</v>
      </c>
      <c r="AK13" s="8">
        <v>35</v>
      </c>
      <c r="AL13" s="172">
        <v>36</v>
      </c>
      <c r="AM13" s="172">
        <v>37</v>
      </c>
      <c r="AN13" s="172">
        <v>38</v>
      </c>
      <c r="AO13" s="172">
        <v>39</v>
      </c>
      <c r="AP13" s="172">
        <v>40</v>
      </c>
      <c r="AQ13" s="172">
        <v>41</v>
      </c>
      <c r="AR13" s="172">
        <v>42</v>
      </c>
      <c r="AS13" s="172">
        <v>43</v>
      </c>
      <c r="AT13" s="172">
        <v>44</v>
      </c>
      <c r="AU13" s="172">
        <v>45</v>
      </c>
    </row>
    <row r="14" spans="2:47" hidden="1">
      <c r="B14" s="14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</row>
    <row r="15" spans="2:47" hidden="1">
      <c r="B15" s="13" t="s">
        <v>3</v>
      </c>
      <c r="C15" s="2" t="str">
        <f t="shared" ref="C15:AU15" si="7">+IF(C7&lt;7,"자격미달","")</f>
        <v>자격미달</v>
      </c>
      <c r="D15" s="2" t="str">
        <f t="shared" si="7"/>
        <v>자격미달</v>
      </c>
      <c r="E15" s="2" t="str">
        <f t="shared" si="7"/>
        <v/>
      </c>
      <c r="F15" s="2" t="str">
        <f t="shared" si="7"/>
        <v>자격미달</v>
      </c>
      <c r="G15" s="2" t="str">
        <f t="shared" si="7"/>
        <v>자격미달</v>
      </c>
      <c r="H15" s="2" t="str">
        <f t="shared" si="7"/>
        <v>자격미달</v>
      </c>
      <c r="I15" s="2" t="str">
        <f t="shared" si="7"/>
        <v/>
      </c>
      <c r="J15" s="2" t="str">
        <f t="shared" si="7"/>
        <v/>
      </c>
      <c r="K15" s="2" t="str">
        <f t="shared" si="7"/>
        <v/>
      </c>
      <c r="L15" s="2" t="str">
        <f t="shared" si="7"/>
        <v>자격미달</v>
      </c>
      <c r="M15" s="2" t="str">
        <f t="shared" si="7"/>
        <v>자격미달</v>
      </c>
      <c r="N15" s="2" t="str">
        <f t="shared" si="7"/>
        <v/>
      </c>
      <c r="O15" s="2" t="str">
        <f t="shared" si="7"/>
        <v/>
      </c>
      <c r="P15" s="2" t="str">
        <f t="shared" si="7"/>
        <v>자격미달</v>
      </c>
      <c r="Q15" s="2" t="str">
        <f t="shared" si="7"/>
        <v>자격미달</v>
      </c>
      <c r="R15" s="2" t="str">
        <f t="shared" si="7"/>
        <v/>
      </c>
      <c r="S15" s="2" t="str">
        <f t="shared" si="7"/>
        <v/>
      </c>
      <c r="T15" s="2" t="str">
        <f t="shared" si="7"/>
        <v/>
      </c>
      <c r="U15" s="2" t="str">
        <f t="shared" si="7"/>
        <v/>
      </c>
      <c r="V15" s="2" t="str">
        <f t="shared" si="7"/>
        <v>자격미달</v>
      </c>
      <c r="W15" s="2" t="str">
        <f t="shared" si="7"/>
        <v>자격미달</v>
      </c>
      <c r="X15" s="2" t="str">
        <f t="shared" si="7"/>
        <v/>
      </c>
      <c r="Y15" s="2" t="str">
        <f t="shared" si="7"/>
        <v/>
      </c>
      <c r="Z15" s="2" t="str">
        <f t="shared" si="7"/>
        <v/>
      </c>
      <c r="AA15" s="2" t="str">
        <f t="shared" si="7"/>
        <v>자격미달</v>
      </c>
      <c r="AB15" s="2" t="str">
        <f t="shared" si="7"/>
        <v/>
      </c>
      <c r="AC15" s="2" t="str">
        <f t="shared" si="7"/>
        <v>자격미달</v>
      </c>
      <c r="AD15" s="2" t="str">
        <f t="shared" si="7"/>
        <v/>
      </c>
      <c r="AE15" s="2" t="str">
        <f t="shared" si="7"/>
        <v>자격미달</v>
      </c>
      <c r="AF15" s="2" t="str">
        <f t="shared" si="7"/>
        <v/>
      </c>
      <c r="AG15" s="2" t="str">
        <f t="shared" si="7"/>
        <v/>
      </c>
      <c r="AH15" s="2" t="str">
        <f t="shared" si="7"/>
        <v/>
      </c>
      <c r="AI15" s="2" t="str">
        <f t="shared" si="7"/>
        <v>자격미달</v>
      </c>
      <c r="AJ15" s="2" t="str">
        <f t="shared" si="7"/>
        <v>자격미달</v>
      </c>
      <c r="AK15" s="2" t="str">
        <f t="shared" si="7"/>
        <v/>
      </c>
      <c r="AL15" s="2" t="str">
        <f t="shared" si="7"/>
        <v/>
      </c>
      <c r="AM15" s="2" t="str">
        <f t="shared" si="7"/>
        <v>자격미달</v>
      </c>
      <c r="AN15" s="2" t="str">
        <f t="shared" si="7"/>
        <v>자격미달</v>
      </c>
      <c r="AO15" s="2" t="str">
        <f t="shared" si="7"/>
        <v>자격미달</v>
      </c>
      <c r="AP15" s="2" t="str">
        <f t="shared" si="7"/>
        <v>자격미달</v>
      </c>
      <c r="AQ15" s="2" t="str">
        <f t="shared" si="7"/>
        <v>자격미달</v>
      </c>
      <c r="AR15" s="2" t="str">
        <f t="shared" si="7"/>
        <v>자격미달</v>
      </c>
      <c r="AS15" s="2" t="str">
        <f t="shared" si="7"/>
        <v>자격미달</v>
      </c>
      <c r="AT15" s="2" t="str">
        <f t="shared" si="7"/>
        <v>자격미달</v>
      </c>
      <c r="AU15" s="2" t="str">
        <f t="shared" si="7"/>
        <v>자격미달</v>
      </c>
    </row>
    <row r="16" spans="2:47" hidden="1">
      <c r="B16" s="2" t="str">
        <f>+IF(B15&lt;7,"자격미달","")</f>
        <v/>
      </c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</row>
    <row r="17" spans="2:47" hidden="1">
      <c r="B17" s="13" t="s">
        <v>4</v>
      </c>
      <c r="C17" s="3" t="str">
        <f>IF(C15="",RANK(C6,$C$6:$AU$6,0),"자격미달")</f>
        <v>자격미달</v>
      </c>
      <c r="D17" s="3" t="str">
        <f t="shared" ref="D17:AU17" si="8">IF(D15="",RANK(D6,$C$6:$AU$6,0),"자격미달")</f>
        <v>자격미달</v>
      </c>
      <c r="E17" s="3">
        <f t="shared" si="8"/>
        <v>6</v>
      </c>
      <c r="F17" s="3" t="str">
        <f t="shared" si="8"/>
        <v>자격미달</v>
      </c>
      <c r="G17" s="3" t="str">
        <f t="shared" si="8"/>
        <v>자격미달</v>
      </c>
      <c r="H17" s="3" t="str">
        <f t="shared" si="8"/>
        <v>자격미달</v>
      </c>
      <c r="I17" s="3">
        <f t="shared" si="8"/>
        <v>19</v>
      </c>
      <c r="J17" s="3">
        <f t="shared" si="8"/>
        <v>17</v>
      </c>
      <c r="K17" s="3">
        <f t="shared" si="8"/>
        <v>3</v>
      </c>
      <c r="L17" s="3" t="str">
        <f t="shared" si="8"/>
        <v>자격미달</v>
      </c>
      <c r="M17" s="3" t="str">
        <f t="shared" si="8"/>
        <v>자격미달</v>
      </c>
      <c r="N17" s="3">
        <f t="shared" si="8"/>
        <v>9</v>
      </c>
      <c r="O17" s="3">
        <f t="shared" si="8"/>
        <v>4</v>
      </c>
      <c r="P17" s="3" t="str">
        <f t="shared" si="8"/>
        <v>자격미달</v>
      </c>
      <c r="Q17" s="3" t="str">
        <f t="shared" si="8"/>
        <v>자격미달</v>
      </c>
      <c r="R17" s="3">
        <f t="shared" si="8"/>
        <v>12</v>
      </c>
      <c r="S17" s="3">
        <f t="shared" si="8"/>
        <v>16</v>
      </c>
      <c r="T17" s="3">
        <f t="shared" si="8"/>
        <v>2</v>
      </c>
      <c r="U17" s="3">
        <f t="shared" si="8"/>
        <v>9</v>
      </c>
      <c r="V17" s="3" t="str">
        <f t="shared" si="8"/>
        <v>자격미달</v>
      </c>
      <c r="W17" s="3" t="str">
        <f t="shared" si="8"/>
        <v>자격미달</v>
      </c>
      <c r="X17" s="3">
        <f t="shared" si="8"/>
        <v>1</v>
      </c>
      <c r="Y17" s="3">
        <f t="shared" si="8"/>
        <v>20</v>
      </c>
      <c r="Z17" s="3">
        <f t="shared" si="8"/>
        <v>8</v>
      </c>
      <c r="AA17" s="3" t="str">
        <f t="shared" si="8"/>
        <v>자격미달</v>
      </c>
      <c r="AB17" s="3">
        <f t="shared" si="8"/>
        <v>18</v>
      </c>
      <c r="AC17" s="3" t="str">
        <f t="shared" si="8"/>
        <v>자격미달</v>
      </c>
      <c r="AD17" s="3">
        <f t="shared" si="8"/>
        <v>5</v>
      </c>
      <c r="AE17" s="3" t="str">
        <f t="shared" si="8"/>
        <v>자격미달</v>
      </c>
      <c r="AF17" s="3">
        <f t="shared" si="8"/>
        <v>14</v>
      </c>
      <c r="AG17" s="3">
        <f t="shared" si="8"/>
        <v>7</v>
      </c>
      <c r="AH17" s="3">
        <f t="shared" si="8"/>
        <v>13</v>
      </c>
      <c r="AI17" s="3" t="str">
        <f t="shared" si="8"/>
        <v>자격미달</v>
      </c>
      <c r="AJ17" s="3" t="str">
        <f t="shared" si="8"/>
        <v>자격미달</v>
      </c>
      <c r="AK17" s="3">
        <f t="shared" si="8"/>
        <v>15</v>
      </c>
      <c r="AL17" s="3">
        <f t="shared" si="8"/>
        <v>11</v>
      </c>
      <c r="AM17" s="3" t="str">
        <f t="shared" si="8"/>
        <v>자격미달</v>
      </c>
      <c r="AN17" s="3" t="str">
        <f t="shared" si="8"/>
        <v>자격미달</v>
      </c>
      <c r="AO17" s="3" t="str">
        <f t="shared" si="8"/>
        <v>자격미달</v>
      </c>
      <c r="AP17" s="3" t="str">
        <f t="shared" si="8"/>
        <v>자격미달</v>
      </c>
      <c r="AQ17" s="3" t="str">
        <f t="shared" si="8"/>
        <v>자격미달</v>
      </c>
      <c r="AR17" s="3" t="str">
        <f t="shared" si="8"/>
        <v>자격미달</v>
      </c>
      <c r="AS17" s="3" t="str">
        <f t="shared" si="8"/>
        <v>자격미달</v>
      </c>
      <c r="AT17" s="3" t="str">
        <f t="shared" si="8"/>
        <v>자격미달</v>
      </c>
      <c r="AU17" s="3" t="str">
        <f t="shared" si="8"/>
        <v>자격미달</v>
      </c>
    </row>
    <row r="18" spans="2:47" hidden="1">
      <c r="B18" s="13" t="s">
        <v>5</v>
      </c>
      <c r="C18" s="3" t="str">
        <f>IF(C15="",RANK(C6,$C$6:$AU$6,1),"자격미달")</f>
        <v>자격미달</v>
      </c>
      <c r="D18" s="3" t="str">
        <f t="shared" ref="D18:AU18" si="9">IF(D15="",RANK(D6,$C$6:$AU$6,1),"자격미달")</f>
        <v>자격미달</v>
      </c>
      <c r="E18" s="3">
        <f t="shared" si="9"/>
        <v>40</v>
      </c>
      <c r="F18" s="3" t="str">
        <f t="shared" si="9"/>
        <v>자격미달</v>
      </c>
      <c r="G18" s="3" t="str">
        <f t="shared" si="9"/>
        <v>자격미달</v>
      </c>
      <c r="H18" s="3" t="str">
        <f t="shared" si="9"/>
        <v>자격미달</v>
      </c>
      <c r="I18" s="3">
        <f t="shared" si="9"/>
        <v>27</v>
      </c>
      <c r="J18" s="3">
        <f t="shared" si="9"/>
        <v>29</v>
      </c>
      <c r="K18" s="3">
        <f t="shared" si="9"/>
        <v>43</v>
      </c>
      <c r="L18" s="3" t="str">
        <f t="shared" si="9"/>
        <v>자격미달</v>
      </c>
      <c r="M18" s="3" t="str">
        <f t="shared" si="9"/>
        <v>자격미달</v>
      </c>
      <c r="N18" s="3">
        <f t="shared" si="9"/>
        <v>36</v>
      </c>
      <c r="O18" s="3">
        <f t="shared" si="9"/>
        <v>42</v>
      </c>
      <c r="P18" s="3" t="str">
        <f t="shared" si="9"/>
        <v>자격미달</v>
      </c>
      <c r="Q18" s="3" t="str">
        <f t="shared" si="9"/>
        <v>자격미달</v>
      </c>
      <c r="R18" s="3">
        <f t="shared" si="9"/>
        <v>34</v>
      </c>
      <c r="S18" s="3">
        <f t="shared" si="9"/>
        <v>30</v>
      </c>
      <c r="T18" s="3">
        <f t="shared" si="9"/>
        <v>44</v>
      </c>
      <c r="U18" s="3">
        <f t="shared" si="9"/>
        <v>36</v>
      </c>
      <c r="V18" s="3" t="str">
        <f t="shared" si="9"/>
        <v>자격미달</v>
      </c>
      <c r="W18" s="3" t="str">
        <f t="shared" si="9"/>
        <v>자격미달</v>
      </c>
      <c r="X18" s="3">
        <f t="shared" si="9"/>
        <v>45</v>
      </c>
      <c r="Y18" s="3">
        <f t="shared" si="9"/>
        <v>26</v>
      </c>
      <c r="Z18" s="3">
        <f t="shared" si="9"/>
        <v>38</v>
      </c>
      <c r="AA18" s="3" t="str">
        <f t="shared" si="9"/>
        <v>자격미달</v>
      </c>
      <c r="AB18" s="3">
        <f t="shared" si="9"/>
        <v>28</v>
      </c>
      <c r="AC18" s="3" t="str">
        <f t="shared" si="9"/>
        <v>자격미달</v>
      </c>
      <c r="AD18" s="3">
        <f t="shared" si="9"/>
        <v>41</v>
      </c>
      <c r="AE18" s="3" t="str">
        <f t="shared" si="9"/>
        <v>자격미달</v>
      </c>
      <c r="AF18" s="3">
        <f t="shared" si="9"/>
        <v>32</v>
      </c>
      <c r="AG18" s="3">
        <f t="shared" si="9"/>
        <v>39</v>
      </c>
      <c r="AH18" s="3">
        <f t="shared" si="9"/>
        <v>33</v>
      </c>
      <c r="AI18" s="3" t="str">
        <f t="shared" si="9"/>
        <v>자격미달</v>
      </c>
      <c r="AJ18" s="3" t="str">
        <f t="shared" si="9"/>
        <v>자격미달</v>
      </c>
      <c r="AK18" s="3">
        <f t="shared" si="9"/>
        <v>31</v>
      </c>
      <c r="AL18" s="3">
        <f t="shared" si="9"/>
        <v>35</v>
      </c>
      <c r="AM18" s="3" t="str">
        <f t="shared" si="9"/>
        <v>자격미달</v>
      </c>
      <c r="AN18" s="3" t="str">
        <f t="shared" si="9"/>
        <v>자격미달</v>
      </c>
      <c r="AO18" s="3" t="str">
        <f t="shared" si="9"/>
        <v>자격미달</v>
      </c>
      <c r="AP18" s="3" t="str">
        <f t="shared" si="9"/>
        <v>자격미달</v>
      </c>
      <c r="AQ18" s="3" t="str">
        <f t="shared" si="9"/>
        <v>자격미달</v>
      </c>
      <c r="AR18" s="3" t="str">
        <f t="shared" si="9"/>
        <v>자격미달</v>
      </c>
      <c r="AS18" s="3" t="str">
        <f t="shared" si="9"/>
        <v>자격미달</v>
      </c>
      <c r="AT18" s="3" t="str">
        <f t="shared" si="9"/>
        <v>자격미달</v>
      </c>
      <c r="AU18" s="3" t="str">
        <f t="shared" si="9"/>
        <v>자격미달</v>
      </c>
    </row>
    <row r="19" spans="2:47" hidden="1">
      <c r="B19" s="13" t="s">
        <v>6</v>
      </c>
      <c r="C19" s="3" t="str">
        <f>+IF(C15="",RANK(C4,$C$4:$AU$4,0),"자격미달")</f>
        <v>자격미달</v>
      </c>
      <c r="D19" s="3" t="str">
        <f t="shared" ref="D19:AU19" si="10">+IF(D15="",RANK(D4,$C$4:$AU$4,0),"자격미달")</f>
        <v>자격미달</v>
      </c>
      <c r="E19" s="3">
        <f t="shared" si="10"/>
        <v>3</v>
      </c>
      <c r="F19" s="3" t="str">
        <f t="shared" si="10"/>
        <v>자격미달</v>
      </c>
      <c r="G19" s="3" t="str">
        <f t="shared" si="10"/>
        <v>자격미달</v>
      </c>
      <c r="H19" s="3" t="str">
        <f t="shared" si="10"/>
        <v>자격미달</v>
      </c>
      <c r="I19" s="3">
        <f t="shared" si="10"/>
        <v>20</v>
      </c>
      <c r="J19" s="3">
        <f t="shared" si="10"/>
        <v>14</v>
      </c>
      <c r="K19" s="3">
        <f t="shared" si="10"/>
        <v>1</v>
      </c>
      <c r="L19" s="3" t="str">
        <f t="shared" si="10"/>
        <v>자격미달</v>
      </c>
      <c r="M19" s="3" t="str">
        <f t="shared" si="10"/>
        <v>자격미달</v>
      </c>
      <c r="N19" s="3">
        <f t="shared" si="10"/>
        <v>14</v>
      </c>
      <c r="O19" s="3">
        <f t="shared" si="10"/>
        <v>2</v>
      </c>
      <c r="P19" s="3" t="str">
        <f t="shared" si="10"/>
        <v>자격미달</v>
      </c>
      <c r="Q19" s="3" t="str">
        <f t="shared" si="10"/>
        <v>자격미달</v>
      </c>
      <c r="R19" s="3">
        <f t="shared" si="10"/>
        <v>8</v>
      </c>
      <c r="S19" s="3">
        <f t="shared" si="10"/>
        <v>18</v>
      </c>
      <c r="T19" s="3">
        <f t="shared" si="10"/>
        <v>4</v>
      </c>
      <c r="U19" s="3">
        <f t="shared" si="10"/>
        <v>12</v>
      </c>
      <c r="V19" s="3" t="str">
        <f t="shared" si="10"/>
        <v>자격미달</v>
      </c>
      <c r="W19" s="3" t="str">
        <f t="shared" si="10"/>
        <v>자격미달</v>
      </c>
      <c r="X19" s="3">
        <f t="shared" si="10"/>
        <v>7</v>
      </c>
      <c r="Y19" s="3">
        <f t="shared" si="10"/>
        <v>19</v>
      </c>
      <c r="Z19" s="3">
        <f t="shared" si="10"/>
        <v>4</v>
      </c>
      <c r="AA19" s="3" t="str">
        <f t="shared" si="10"/>
        <v>자격미달</v>
      </c>
      <c r="AB19" s="3">
        <f t="shared" si="10"/>
        <v>17</v>
      </c>
      <c r="AC19" s="3" t="str">
        <f t="shared" si="10"/>
        <v>자격미달</v>
      </c>
      <c r="AD19" s="3">
        <f t="shared" si="10"/>
        <v>8</v>
      </c>
      <c r="AE19" s="3" t="str">
        <f t="shared" si="10"/>
        <v>자격미달</v>
      </c>
      <c r="AF19" s="3">
        <f t="shared" si="10"/>
        <v>12</v>
      </c>
      <c r="AG19" s="3">
        <f t="shared" si="10"/>
        <v>4</v>
      </c>
      <c r="AH19" s="3">
        <f t="shared" si="10"/>
        <v>11</v>
      </c>
      <c r="AI19" s="3" t="str">
        <f t="shared" si="10"/>
        <v>자격미달</v>
      </c>
      <c r="AJ19" s="3" t="str">
        <f t="shared" si="10"/>
        <v>자격미달</v>
      </c>
      <c r="AK19" s="3">
        <f t="shared" si="10"/>
        <v>10</v>
      </c>
      <c r="AL19" s="3">
        <f t="shared" si="10"/>
        <v>14</v>
      </c>
      <c r="AM19" s="3" t="str">
        <f t="shared" si="10"/>
        <v>자격미달</v>
      </c>
      <c r="AN19" s="3" t="str">
        <f t="shared" si="10"/>
        <v>자격미달</v>
      </c>
      <c r="AO19" s="3" t="str">
        <f t="shared" si="10"/>
        <v>자격미달</v>
      </c>
      <c r="AP19" s="3" t="str">
        <f t="shared" si="10"/>
        <v>자격미달</v>
      </c>
      <c r="AQ19" s="3" t="str">
        <f t="shared" si="10"/>
        <v>자격미달</v>
      </c>
      <c r="AR19" s="3" t="str">
        <f t="shared" si="10"/>
        <v>자격미달</v>
      </c>
      <c r="AS19" s="3" t="str">
        <f t="shared" si="10"/>
        <v>자격미달</v>
      </c>
      <c r="AT19" s="3" t="str">
        <f t="shared" si="10"/>
        <v>자격미달</v>
      </c>
      <c r="AU19" s="3" t="str">
        <f t="shared" si="10"/>
        <v>자격미달</v>
      </c>
    </row>
    <row r="20" spans="2:47" hidden="1"/>
    <row r="21" spans="2:47" hidden="1">
      <c r="B21" s="13" t="s">
        <v>12</v>
      </c>
      <c r="C21" t="str">
        <f>IF(C15="",RANK(C8,$C$8:$AU$8,1),"자격미달")</f>
        <v>자격미달</v>
      </c>
      <c r="D21" t="str">
        <f t="shared" ref="D21:AU21" si="11">IF(D15="",RANK(D8,$C$8:$AU$8,1),"자격미달")</f>
        <v>자격미달</v>
      </c>
      <c r="E21">
        <f t="shared" si="11"/>
        <v>28</v>
      </c>
      <c r="F21" t="str">
        <f t="shared" si="11"/>
        <v>자격미달</v>
      </c>
      <c r="G21" t="str">
        <f t="shared" si="11"/>
        <v>자격미달</v>
      </c>
      <c r="H21" t="str">
        <f t="shared" si="11"/>
        <v>자격미달</v>
      </c>
      <c r="I21">
        <f t="shared" si="11"/>
        <v>45</v>
      </c>
      <c r="J21">
        <f t="shared" si="11"/>
        <v>34</v>
      </c>
      <c r="K21">
        <f t="shared" si="11"/>
        <v>35</v>
      </c>
      <c r="L21" t="str">
        <f t="shared" si="11"/>
        <v>자격미달</v>
      </c>
      <c r="M21" t="str">
        <f t="shared" si="11"/>
        <v>자격미달</v>
      </c>
      <c r="N21">
        <f t="shared" si="11"/>
        <v>43</v>
      </c>
      <c r="O21">
        <f t="shared" si="11"/>
        <v>36</v>
      </c>
      <c r="P21" t="str">
        <f t="shared" si="11"/>
        <v>자격미달</v>
      </c>
      <c r="Q21" t="str">
        <f t="shared" si="11"/>
        <v>자격미달</v>
      </c>
      <c r="R21">
        <f t="shared" si="11"/>
        <v>27</v>
      </c>
      <c r="S21">
        <f t="shared" si="11"/>
        <v>41</v>
      </c>
      <c r="T21">
        <f t="shared" si="11"/>
        <v>40</v>
      </c>
      <c r="U21">
        <f t="shared" si="11"/>
        <v>39</v>
      </c>
      <c r="V21" t="str">
        <f t="shared" si="11"/>
        <v>자격미달</v>
      </c>
      <c r="W21" t="str">
        <f t="shared" si="11"/>
        <v>자격미달</v>
      </c>
      <c r="X21">
        <f t="shared" si="11"/>
        <v>44</v>
      </c>
      <c r="Y21">
        <f t="shared" si="11"/>
        <v>30</v>
      </c>
      <c r="Z21">
        <f t="shared" si="11"/>
        <v>29</v>
      </c>
      <c r="AA21" t="str">
        <f t="shared" si="11"/>
        <v>자격미달</v>
      </c>
      <c r="AB21">
        <f t="shared" si="11"/>
        <v>37</v>
      </c>
      <c r="AC21" t="str">
        <f t="shared" si="11"/>
        <v>자격미달</v>
      </c>
      <c r="AD21">
        <f t="shared" si="11"/>
        <v>38</v>
      </c>
      <c r="AE21" t="str">
        <f t="shared" si="11"/>
        <v>자격미달</v>
      </c>
      <c r="AF21">
        <f t="shared" si="11"/>
        <v>32</v>
      </c>
      <c r="AG21">
        <f t="shared" si="11"/>
        <v>31</v>
      </c>
      <c r="AH21">
        <f t="shared" si="11"/>
        <v>33</v>
      </c>
      <c r="AI21" t="str">
        <f t="shared" si="11"/>
        <v>자격미달</v>
      </c>
      <c r="AJ21" t="str">
        <f t="shared" si="11"/>
        <v>자격미달</v>
      </c>
      <c r="AK21">
        <f t="shared" si="11"/>
        <v>26</v>
      </c>
      <c r="AL21">
        <f t="shared" si="11"/>
        <v>42</v>
      </c>
      <c r="AM21" t="str">
        <f t="shared" si="11"/>
        <v>자격미달</v>
      </c>
      <c r="AN21" t="str">
        <f t="shared" si="11"/>
        <v>자격미달</v>
      </c>
      <c r="AO21" t="str">
        <f t="shared" si="11"/>
        <v>자격미달</v>
      </c>
      <c r="AP21" t="str">
        <f t="shared" si="11"/>
        <v>자격미달</v>
      </c>
      <c r="AQ21" t="str">
        <f t="shared" si="11"/>
        <v>자격미달</v>
      </c>
      <c r="AR21" t="str">
        <f t="shared" si="11"/>
        <v>자격미달</v>
      </c>
      <c r="AS21" t="str">
        <f t="shared" si="11"/>
        <v>자격미달</v>
      </c>
      <c r="AT21" t="str">
        <f t="shared" si="11"/>
        <v>자격미달</v>
      </c>
      <c r="AU21" t="str">
        <f t="shared" si="11"/>
        <v>자격미달</v>
      </c>
    </row>
    <row r="22" spans="2:47" hidden="1">
      <c r="B22" s="13" t="s">
        <v>13</v>
      </c>
      <c r="C22">
        <f>_xlfn.RANK.EQ(C7,7:7)</f>
        <v>23</v>
      </c>
      <c r="D22">
        <f t="shared" ref="D22:AU22" si="12">_xlfn.RANK.EQ(D7,7:7)</f>
        <v>23</v>
      </c>
      <c r="E22">
        <f t="shared" si="12"/>
        <v>1</v>
      </c>
      <c r="F22">
        <f t="shared" si="12"/>
        <v>23</v>
      </c>
      <c r="G22">
        <f t="shared" si="12"/>
        <v>23</v>
      </c>
      <c r="H22">
        <f t="shared" si="12"/>
        <v>23</v>
      </c>
      <c r="I22">
        <f t="shared" si="12"/>
        <v>20</v>
      </c>
      <c r="J22">
        <f t="shared" si="12"/>
        <v>13</v>
      </c>
      <c r="K22">
        <f t="shared" si="12"/>
        <v>3</v>
      </c>
      <c r="L22">
        <f t="shared" si="12"/>
        <v>23</v>
      </c>
      <c r="M22">
        <f t="shared" si="12"/>
        <v>23</v>
      </c>
      <c r="N22">
        <f t="shared" si="12"/>
        <v>17</v>
      </c>
      <c r="O22">
        <f t="shared" si="12"/>
        <v>5</v>
      </c>
      <c r="P22">
        <f t="shared" si="12"/>
        <v>23</v>
      </c>
      <c r="Q22">
        <f t="shared" si="12"/>
        <v>23</v>
      </c>
      <c r="R22">
        <f t="shared" si="12"/>
        <v>6</v>
      </c>
      <c r="S22">
        <f t="shared" si="12"/>
        <v>19</v>
      </c>
      <c r="T22">
        <f t="shared" si="12"/>
        <v>8</v>
      </c>
      <c r="U22">
        <f t="shared" si="12"/>
        <v>13</v>
      </c>
      <c r="V22">
        <f t="shared" si="12"/>
        <v>23</v>
      </c>
      <c r="W22">
        <f t="shared" si="12"/>
        <v>23</v>
      </c>
      <c r="X22">
        <f t="shared" si="12"/>
        <v>12</v>
      </c>
      <c r="Y22">
        <f t="shared" si="12"/>
        <v>17</v>
      </c>
      <c r="Z22">
        <f t="shared" si="12"/>
        <v>2</v>
      </c>
      <c r="AA22">
        <f t="shared" si="12"/>
        <v>22</v>
      </c>
      <c r="AB22">
        <f t="shared" si="12"/>
        <v>15</v>
      </c>
      <c r="AC22">
        <f t="shared" si="12"/>
        <v>21</v>
      </c>
      <c r="AD22">
        <f t="shared" si="12"/>
        <v>11</v>
      </c>
      <c r="AE22">
        <f t="shared" si="12"/>
        <v>23</v>
      </c>
      <c r="AF22">
        <f t="shared" si="12"/>
        <v>10</v>
      </c>
      <c r="AG22">
        <f t="shared" si="12"/>
        <v>3</v>
      </c>
      <c r="AH22">
        <f t="shared" si="12"/>
        <v>8</v>
      </c>
      <c r="AI22">
        <f t="shared" si="12"/>
        <v>23</v>
      </c>
      <c r="AJ22">
        <f t="shared" si="12"/>
        <v>23</v>
      </c>
      <c r="AK22">
        <f t="shared" si="12"/>
        <v>6</v>
      </c>
      <c r="AL22">
        <f t="shared" si="12"/>
        <v>15</v>
      </c>
      <c r="AM22">
        <f t="shared" si="12"/>
        <v>23</v>
      </c>
      <c r="AN22">
        <f t="shared" si="12"/>
        <v>23</v>
      </c>
      <c r="AO22">
        <f t="shared" si="12"/>
        <v>23</v>
      </c>
      <c r="AP22">
        <f t="shared" si="12"/>
        <v>23</v>
      </c>
      <c r="AQ22">
        <f t="shared" si="12"/>
        <v>23</v>
      </c>
      <c r="AR22">
        <f t="shared" si="12"/>
        <v>23</v>
      </c>
      <c r="AS22">
        <f t="shared" si="12"/>
        <v>23</v>
      </c>
      <c r="AT22">
        <f t="shared" si="12"/>
        <v>23</v>
      </c>
      <c r="AU22">
        <f t="shared" si="12"/>
        <v>23</v>
      </c>
    </row>
    <row r="23" spans="2:47" hidden="1"/>
    <row r="24" spans="2:47" s="7" customFormat="1" hidden="1">
      <c r="B24" s="5" t="s">
        <v>4</v>
      </c>
      <c r="C24" s="6" t="str">
        <f>+IFERROR(_xlfn.RANK.EQ(C17,$C$17:$AU$17,1),"")</f>
        <v/>
      </c>
      <c r="D24" s="6" t="str">
        <f t="shared" ref="D24:AU24" si="13">+IFERROR(_xlfn.RANK.EQ(D17,$C$17:$AU$17,1),"")</f>
        <v/>
      </c>
      <c r="E24" s="6">
        <f t="shared" si="13"/>
        <v>6</v>
      </c>
      <c r="F24" s="6" t="str">
        <f t="shared" si="13"/>
        <v/>
      </c>
      <c r="G24" s="6" t="str">
        <f t="shared" si="13"/>
        <v/>
      </c>
      <c r="H24" s="6" t="str">
        <f t="shared" si="13"/>
        <v/>
      </c>
      <c r="I24" s="6">
        <f t="shared" si="13"/>
        <v>19</v>
      </c>
      <c r="J24" s="6">
        <f t="shared" si="13"/>
        <v>17</v>
      </c>
      <c r="K24" s="6">
        <f t="shared" si="13"/>
        <v>3</v>
      </c>
      <c r="L24" s="6" t="str">
        <f t="shared" si="13"/>
        <v/>
      </c>
      <c r="M24" s="6" t="str">
        <f t="shared" si="13"/>
        <v/>
      </c>
      <c r="N24" s="6">
        <f t="shared" si="13"/>
        <v>9</v>
      </c>
      <c r="O24" s="6">
        <f t="shared" si="13"/>
        <v>4</v>
      </c>
      <c r="P24" s="6" t="str">
        <f t="shared" si="13"/>
        <v/>
      </c>
      <c r="Q24" s="6" t="str">
        <f t="shared" si="13"/>
        <v/>
      </c>
      <c r="R24" s="6">
        <f t="shared" si="13"/>
        <v>12</v>
      </c>
      <c r="S24" s="6">
        <f t="shared" si="13"/>
        <v>16</v>
      </c>
      <c r="T24" s="6">
        <f t="shared" si="13"/>
        <v>2</v>
      </c>
      <c r="U24" s="6">
        <f t="shared" si="13"/>
        <v>9</v>
      </c>
      <c r="V24" s="6" t="str">
        <f t="shared" si="13"/>
        <v/>
      </c>
      <c r="W24" s="6" t="str">
        <f t="shared" si="13"/>
        <v/>
      </c>
      <c r="X24" s="6">
        <f t="shared" si="13"/>
        <v>1</v>
      </c>
      <c r="Y24" s="6">
        <f t="shared" si="13"/>
        <v>20</v>
      </c>
      <c r="Z24" s="6">
        <f t="shared" si="13"/>
        <v>8</v>
      </c>
      <c r="AA24" s="6" t="str">
        <f t="shared" si="13"/>
        <v/>
      </c>
      <c r="AB24" s="6">
        <f t="shared" si="13"/>
        <v>18</v>
      </c>
      <c r="AC24" s="6" t="str">
        <f t="shared" si="13"/>
        <v/>
      </c>
      <c r="AD24" s="6">
        <f t="shared" si="13"/>
        <v>5</v>
      </c>
      <c r="AE24" s="6" t="str">
        <f t="shared" si="13"/>
        <v/>
      </c>
      <c r="AF24" s="6">
        <f t="shared" si="13"/>
        <v>14</v>
      </c>
      <c r="AG24" s="6">
        <f t="shared" si="13"/>
        <v>7</v>
      </c>
      <c r="AH24" s="6">
        <f t="shared" si="13"/>
        <v>13</v>
      </c>
      <c r="AI24" s="6" t="str">
        <f t="shared" si="13"/>
        <v/>
      </c>
      <c r="AJ24" s="6" t="str">
        <f t="shared" si="13"/>
        <v/>
      </c>
      <c r="AK24" s="6">
        <f t="shared" si="13"/>
        <v>15</v>
      </c>
      <c r="AL24" s="6">
        <f t="shared" si="13"/>
        <v>11</v>
      </c>
      <c r="AM24" s="6" t="str">
        <f t="shared" si="13"/>
        <v/>
      </c>
      <c r="AN24" s="6" t="str">
        <f t="shared" si="13"/>
        <v/>
      </c>
      <c r="AO24" s="6" t="str">
        <f t="shared" si="13"/>
        <v/>
      </c>
      <c r="AP24" s="6" t="str">
        <f t="shared" si="13"/>
        <v/>
      </c>
      <c r="AQ24" s="6" t="str">
        <f t="shared" si="13"/>
        <v/>
      </c>
      <c r="AR24" s="6" t="str">
        <f t="shared" si="13"/>
        <v/>
      </c>
      <c r="AS24" s="6" t="str">
        <f t="shared" si="13"/>
        <v/>
      </c>
      <c r="AT24" s="6" t="str">
        <f t="shared" si="13"/>
        <v/>
      </c>
      <c r="AU24" s="6" t="str">
        <f t="shared" si="13"/>
        <v/>
      </c>
    </row>
    <row r="25" spans="2:47" s="7" customFormat="1" hidden="1">
      <c r="B25" s="5" t="s">
        <v>5</v>
      </c>
      <c r="C25" s="6" t="str">
        <f>+IFERROR(_xlfn.RANK.EQ(C18,$C$18:$AU$18,1),"")</f>
        <v/>
      </c>
      <c r="D25" s="6" t="str">
        <f t="shared" ref="D25:AU25" si="14">+IFERROR(_xlfn.RANK.EQ(D18,$C$18:$AU$18,1),"")</f>
        <v/>
      </c>
      <c r="E25" s="6">
        <f t="shared" si="14"/>
        <v>15</v>
      </c>
      <c r="F25" s="6" t="str">
        <f t="shared" si="14"/>
        <v/>
      </c>
      <c r="G25" s="6" t="str">
        <f t="shared" si="14"/>
        <v/>
      </c>
      <c r="H25" s="6" t="str">
        <f t="shared" si="14"/>
        <v/>
      </c>
      <c r="I25" s="6">
        <f t="shared" si="14"/>
        <v>2</v>
      </c>
      <c r="J25" s="6">
        <f t="shared" si="14"/>
        <v>4</v>
      </c>
      <c r="K25" s="6">
        <f t="shared" si="14"/>
        <v>18</v>
      </c>
      <c r="L25" s="6" t="str">
        <f t="shared" si="14"/>
        <v/>
      </c>
      <c r="M25" s="6" t="str">
        <f t="shared" si="14"/>
        <v/>
      </c>
      <c r="N25" s="6">
        <f t="shared" si="14"/>
        <v>11</v>
      </c>
      <c r="O25" s="6">
        <f t="shared" si="14"/>
        <v>17</v>
      </c>
      <c r="P25" s="6" t="str">
        <f t="shared" si="14"/>
        <v/>
      </c>
      <c r="Q25" s="6" t="str">
        <f t="shared" si="14"/>
        <v/>
      </c>
      <c r="R25" s="6">
        <f t="shared" si="14"/>
        <v>9</v>
      </c>
      <c r="S25" s="6">
        <f t="shared" si="14"/>
        <v>5</v>
      </c>
      <c r="T25" s="6">
        <f t="shared" si="14"/>
        <v>19</v>
      </c>
      <c r="U25" s="6">
        <f t="shared" si="14"/>
        <v>11</v>
      </c>
      <c r="V25" s="6" t="str">
        <f t="shared" si="14"/>
        <v/>
      </c>
      <c r="W25" s="6" t="str">
        <f t="shared" si="14"/>
        <v/>
      </c>
      <c r="X25" s="6">
        <f t="shared" si="14"/>
        <v>20</v>
      </c>
      <c r="Y25" s="6">
        <f t="shared" si="14"/>
        <v>1</v>
      </c>
      <c r="Z25" s="6">
        <f t="shared" si="14"/>
        <v>13</v>
      </c>
      <c r="AA25" s="6" t="str">
        <f t="shared" si="14"/>
        <v/>
      </c>
      <c r="AB25" s="6">
        <f t="shared" si="14"/>
        <v>3</v>
      </c>
      <c r="AC25" s="6" t="str">
        <f t="shared" si="14"/>
        <v/>
      </c>
      <c r="AD25" s="6">
        <f t="shared" si="14"/>
        <v>16</v>
      </c>
      <c r="AE25" s="6" t="str">
        <f t="shared" si="14"/>
        <v/>
      </c>
      <c r="AF25" s="6">
        <f t="shared" si="14"/>
        <v>7</v>
      </c>
      <c r="AG25" s="6">
        <f t="shared" si="14"/>
        <v>14</v>
      </c>
      <c r="AH25" s="6">
        <f t="shared" si="14"/>
        <v>8</v>
      </c>
      <c r="AI25" s="6" t="str">
        <f t="shared" si="14"/>
        <v/>
      </c>
      <c r="AJ25" s="6" t="str">
        <f t="shared" si="14"/>
        <v/>
      </c>
      <c r="AK25" s="6">
        <f t="shared" si="14"/>
        <v>6</v>
      </c>
      <c r="AL25" s="6">
        <f t="shared" si="14"/>
        <v>10</v>
      </c>
      <c r="AM25" s="6" t="str">
        <f t="shared" si="14"/>
        <v/>
      </c>
      <c r="AN25" s="6" t="str">
        <f t="shared" si="14"/>
        <v/>
      </c>
      <c r="AO25" s="6" t="str">
        <f t="shared" si="14"/>
        <v/>
      </c>
      <c r="AP25" s="6" t="str">
        <f t="shared" si="14"/>
        <v/>
      </c>
      <c r="AQ25" s="6" t="str">
        <f t="shared" si="14"/>
        <v/>
      </c>
      <c r="AR25" s="6" t="str">
        <f t="shared" si="14"/>
        <v/>
      </c>
      <c r="AS25" s="6" t="str">
        <f t="shared" si="14"/>
        <v/>
      </c>
      <c r="AT25" s="6" t="str">
        <f t="shared" si="14"/>
        <v/>
      </c>
      <c r="AU25" s="6" t="str">
        <f t="shared" si="14"/>
        <v/>
      </c>
    </row>
    <row r="26" spans="2:47" s="7" customFormat="1" hidden="1">
      <c r="B26" s="5" t="s">
        <v>6</v>
      </c>
      <c r="C26" s="6" t="e">
        <f>RANK(C4,$C$4:$AU$4)+COUNTIFS($C$4:$AU$4,C4,$C$7:$AU$7,"&gt;"&amp;C7)</f>
        <v>#N/A</v>
      </c>
      <c r="D26" s="6" t="e">
        <f t="shared" ref="D26:AU26" si="15">RANK(D4,$C$4:$AU$4)+COUNTIFS($C$4:$AU$4,D4,$C$7:$AU$7,"&gt;"&amp;D7)</f>
        <v>#N/A</v>
      </c>
      <c r="E26" s="6">
        <f t="shared" si="15"/>
        <v>3</v>
      </c>
      <c r="F26" s="6" t="e">
        <f t="shared" si="15"/>
        <v>#N/A</v>
      </c>
      <c r="G26" s="6" t="e">
        <f t="shared" si="15"/>
        <v>#N/A</v>
      </c>
      <c r="H26" s="6" t="e">
        <f t="shared" si="15"/>
        <v>#N/A</v>
      </c>
      <c r="I26" s="6">
        <f t="shared" si="15"/>
        <v>20</v>
      </c>
      <c r="J26" s="6">
        <f t="shared" si="15"/>
        <v>14</v>
      </c>
      <c r="K26" s="6">
        <f t="shared" si="15"/>
        <v>1</v>
      </c>
      <c r="L26" s="6" t="e">
        <f t="shared" si="15"/>
        <v>#N/A</v>
      </c>
      <c r="M26" s="6" t="e">
        <f t="shared" si="15"/>
        <v>#N/A</v>
      </c>
      <c r="N26" s="6">
        <f t="shared" si="15"/>
        <v>16</v>
      </c>
      <c r="O26" s="6">
        <f t="shared" si="15"/>
        <v>2</v>
      </c>
      <c r="P26" s="6" t="e">
        <f t="shared" si="15"/>
        <v>#N/A</v>
      </c>
      <c r="Q26" s="6" t="e">
        <f t="shared" si="15"/>
        <v>#N/A</v>
      </c>
      <c r="R26" s="6">
        <f t="shared" si="15"/>
        <v>8</v>
      </c>
      <c r="S26" s="6">
        <f t="shared" si="15"/>
        <v>18</v>
      </c>
      <c r="T26" s="6">
        <f t="shared" si="15"/>
        <v>6</v>
      </c>
      <c r="U26" s="6">
        <f t="shared" si="15"/>
        <v>13</v>
      </c>
      <c r="V26" s="6" t="e">
        <f t="shared" si="15"/>
        <v>#N/A</v>
      </c>
      <c r="W26" s="6" t="e">
        <f t="shared" si="15"/>
        <v>#N/A</v>
      </c>
      <c r="X26" s="6">
        <f t="shared" si="15"/>
        <v>7</v>
      </c>
      <c r="Y26" s="6">
        <f t="shared" si="15"/>
        <v>19</v>
      </c>
      <c r="Z26" s="6">
        <f t="shared" si="15"/>
        <v>4</v>
      </c>
      <c r="AA26" s="6" t="e">
        <f t="shared" si="15"/>
        <v>#N/A</v>
      </c>
      <c r="AB26" s="6">
        <f t="shared" si="15"/>
        <v>17</v>
      </c>
      <c r="AC26" s="6" t="e">
        <f t="shared" si="15"/>
        <v>#N/A</v>
      </c>
      <c r="AD26" s="6">
        <f t="shared" si="15"/>
        <v>9</v>
      </c>
      <c r="AE26" s="6" t="e">
        <f t="shared" si="15"/>
        <v>#N/A</v>
      </c>
      <c r="AF26" s="6">
        <f t="shared" si="15"/>
        <v>12</v>
      </c>
      <c r="AG26" s="6">
        <f t="shared" si="15"/>
        <v>5</v>
      </c>
      <c r="AH26" s="6">
        <f t="shared" si="15"/>
        <v>11</v>
      </c>
      <c r="AI26" s="6" t="e">
        <f t="shared" si="15"/>
        <v>#N/A</v>
      </c>
      <c r="AJ26" s="6" t="e">
        <f t="shared" si="15"/>
        <v>#N/A</v>
      </c>
      <c r="AK26" s="6">
        <f t="shared" si="15"/>
        <v>10</v>
      </c>
      <c r="AL26" s="6">
        <f t="shared" si="15"/>
        <v>15</v>
      </c>
      <c r="AM26" s="6" t="e">
        <f t="shared" si="15"/>
        <v>#N/A</v>
      </c>
      <c r="AN26" s="6" t="e">
        <f t="shared" si="15"/>
        <v>#N/A</v>
      </c>
      <c r="AO26" s="6" t="e">
        <f t="shared" si="15"/>
        <v>#N/A</v>
      </c>
      <c r="AP26" s="6" t="e">
        <f t="shared" si="15"/>
        <v>#N/A</v>
      </c>
      <c r="AQ26" s="6" t="e">
        <f t="shared" si="15"/>
        <v>#N/A</v>
      </c>
      <c r="AR26" s="6" t="e">
        <f t="shared" si="15"/>
        <v>#N/A</v>
      </c>
      <c r="AS26" s="6" t="e">
        <f t="shared" si="15"/>
        <v>#N/A</v>
      </c>
      <c r="AT26" s="6" t="e">
        <f t="shared" si="15"/>
        <v>#N/A</v>
      </c>
      <c r="AU26" s="6" t="e">
        <f t="shared" si="15"/>
        <v>#N/A</v>
      </c>
    </row>
    <row r="27" spans="2:47" hidden="1">
      <c r="B27" s="13" t="s">
        <v>11</v>
      </c>
      <c r="C27">
        <f>+IFERROR(_xlfn.RANK.EQ(C8,$C$8:$AU$8,1),"")</f>
        <v>1</v>
      </c>
      <c r="D27">
        <f>+IFERROR(_xlfn.RANK.EQ(D8,$C$8:$AU$8,1),"")</f>
        <v>1</v>
      </c>
      <c r="E27">
        <f t="shared" ref="E27:AU27" si="16">+IFERROR(_xlfn.RANK.EQ(E8,$C$8:$AU$8,1),"")</f>
        <v>28</v>
      </c>
      <c r="F27">
        <f t="shared" si="16"/>
        <v>1</v>
      </c>
      <c r="G27">
        <f t="shared" si="16"/>
        <v>1</v>
      </c>
      <c r="H27">
        <f t="shared" si="16"/>
        <v>1</v>
      </c>
      <c r="I27">
        <f t="shared" si="16"/>
        <v>45</v>
      </c>
      <c r="J27">
        <f t="shared" si="16"/>
        <v>34</v>
      </c>
      <c r="K27">
        <f t="shared" si="16"/>
        <v>35</v>
      </c>
      <c r="L27">
        <f t="shared" si="16"/>
        <v>1</v>
      </c>
      <c r="M27">
        <f t="shared" si="16"/>
        <v>1</v>
      </c>
      <c r="N27">
        <f t="shared" si="16"/>
        <v>43</v>
      </c>
      <c r="O27">
        <f t="shared" si="16"/>
        <v>36</v>
      </c>
      <c r="P27">
        <f t="shared" si="16"/>
        <v>1</v>
      </c>
      <c r="Q27">
        <f t="shared" si="16"/>
        <v>1</v>
      </c>
      <c r="R27">
        <f t="shared" si="16"/>
        <v>27</v>
      </c>
      <c r="S27">
        <f t="shared" si="16"/>
        <v>41</v>
      </c>
      <c r="T27">
        <f t="shared" si="16"/>
        <v>40</v>
      </c>
      <c r="U27">
        <f t="shared" si="16"/>
        <v>39</v>
      </c>
      <c r="V27">
        <f t="shared" si="16"/>
        <v>1</v>
      </c>
      <c r="W27">
        <f t="shared" si="16"/>
        <v>1</v>
      </c>
      <c r="X27">
        <f t="shared" si="16"/>
        <v>44</v>
      </c>
      <c r="Y27">
        <f t="shared" si="16"/>
        <v>30</v>
      </c>
      <c r="Z27">
        <f t="shared" si="16"/>
        <v>29</v>
      </c>
      <c r="AA27">
        <f t="shared" si="16"/>
        <v>1</v>
      </c>
      <c r="AB27">
        <f t="shared" si="16"/>
        <v>37</v>
      </c>
      <c r="AC27">
        <f t="shared" si="16"/>
        <v>1</v>
      </c>
      <c r="AD27">
        <f t="shared" si="16"/>
        <v>38</v>
      </c>
      <c r="AE27">
        <f t="shared" si="16"/>
        <v>1</v>
      </c>
      <c r="AF27">
        <f t="shared" si="16"/>
        <v>32</v>
      </c>
      <c r="AG27">
        <f t="shared" si="16"/>
        <v>31</v>
      </c>
      <c r="AH27">
        <f t="shared" si="16"/>
        <v>33</v>
      </c>
      <c r="AI27">
        <f t="shared" si="16"/>
        <v>1</v>
      </c>
      <c r="AJ27">
        <f t="shared" si="16"/>
        <v>1</v>
      </c>
      <c r="AK27">
        <f t="shared" si="16"/>
        <v>26</v>
      </c>
      <c r="AL27">
        <f t="shared" si="16"/>
        <v>42</v>
      </c>
      <c r="AM27">
        <f t="shared" si="16"/>
        <v>1</v>
      </c>
      <c r="AN27">
        <f t="shared" si="16"/>
        <v>1</v>
      </c>
      <c r="AO27">
        <f t="shared" si="16"/>
        <v>1</v>
      </c>
      <c r="AP27">
        <f t="shared" si="16"/>
        <v>1</v>
      </c>
      <c r="AQ27">
        <f t="shared" si="16"/>
        <v>1</v>
      </c>
      <c r="AR27">
        <f t="shared" si="16"/>
        <v>1</v>
      </c>
      <c r="AS27">
        <f t="shared" si="16"/>
        <v>1</v>
      </c>
      <c r="AT27">
        <f t="shared" si="16"/>
        <v>1</v>
      </c>
      <c r="AU27">
        <f t="shared" si="16"/>
        <v>1</v>
      </c>
    </row>
    <row r="28" spans="2:47" hidden="1">
      <c r="B28" s="13" t="s">
        <v>54</v>
      </c>
      <c r="C28" s="15" t="e">
        <f>RANK(C10,$C$10:$AU$10)+COUNTIF($C$10,C10)-1</f>
        <v>#N/A</v>
      </c>
      <c r="D28" s="15" t="e">
        <f>RANK(D10,$C$10:$AU$10)+COUNTIF(C10:D10,D10)-1</f>
        <v>#N/A</v>
      </c>
      <c r="E28" s="15">
        <f>RANK(E10,$C$10:$AU$10)+COUNTIF(C10:E10,E10)-1</f>
        <v>7</v>
      </c>
      <c r="F28" s="15" t="e">
        <f>RANK(F10,$C$10:$AU$10)+COUNTIF(C10:F10,F10)-1</f>
        <v>#N/A</v>
      </c>
      <c r="G28" s="15" t="e">
        <f>RANK(G10,$C$10:$AU$10)+COUNTIF(C10:G10,G10)-1</f>
        <v>#N/A</v>
      </c>
      <c r="H28" s="15" t="e">
        <f>RANK(H10,$C$10:$AU$10)+COUNTIF(C10:H10,H10)-1</f>
        <v>#N/A</v>
      </c>
      <c r="I28" s="15">
        <f>RANK(I10,$C$10:$AU$10)+COUNTIF(C10:I10,I10)-1</f>
        <v>20</v>
      </c>
      <c r="J28" s="15">
        <f>RANK(J10,$C$10:$AU$10)+COUNTIF(C10:J10,J10)-1</f>
        <v>16</v>
      </c>
      <c r="K28" s="15">
        <f>RANK(K10,$C$10:$AU$10)+COUNTIF(C10:K10,K10)-1</f>
        <v>2</v>
      </c>
      <c r="L28" s="15" t="e">
        <f>RANK(L10,$C$10:$AU$10)+COUNTIF(C10:L10,L10)-1</f>
        <v>#N/A</v>
      </c>
      <c r="M28" s="15" t="e">
        <f>RANK(M10,$C$10:$AU$10)+COUNTIF(C10:M10,M10)-1</f>
        <v>#N/A</v>
      </c>
      <c r="N28" s="15">
        <f>RANK(N10,$C$10:$AU$10)+COUNTIF(C10:N10,N10)-1</f>
        <v>15</v>
      </c>
      <c r="O28" s="15">
        <f>RANK(O10,$C$10:$AU$10)+COUNTIF(C10:O10,O10)-1</f>
        <v>5</v>
      </c>
      <c r="P28" s="15" t="e">
        <f>RANK(P10,$C$10:$AU$10)+COUNTIF(C10:P10,P10)-1</f>
        <v>#N/A</v>
      </c>
      <c r="Q28" s="15" t="e">
        <f>RANK(Q10,$C$10:$AU$10)+COUNTIF(C10:Q10,Q10)-1</f>
        <v>#N/A</v>
      </c>
      <c r="R28" s="15">
        <f>RANK(R10,$C$10:$AU$10)+COUNTIF(C10:R10,R10)-1</f>
        <v>9</v>
      </c>
      <c r="S28" s="15">
        <f>RANK(S10,$C$10:$AU$10)+COUNTIF(C10:S10,S10)-1</f>
        <v>18</v>
      </c>
      <c r="T28" s="15">
        <f>RANK(T10,$C$10:$AU$10)+COUNTIF(C10:T10,T10)-1</f>
        <v>1</v>
      </c>
      <c r="U28" s="15">
        <f>RANK(U10,$C$10:$AU$10)+COUNTIF(C10:U10,U10)-1</f>
        <v>12</v>
      </c>
      <c r="V28" s="15" t="e">
        <f>RANK(V10,$C$10:$AU$10)+COUNTIF(C10:V10,V10)-1</f>
        <v>#N/A</v>
      </c>
      <c r="W28" s="15" t="e">
        <f>RANK(W10,$C$10:$AU$10)+COUNTIF(C10:W10,W10)-1</f>
        <v>#N/A</v>
      </c>
      <c r="X28" s="15">
        <f>RANK(X10,$C$10:$AU$10)+COUNTIF(C10:X10,X10)-1</f>
        <v>4</v>
      </c>
      <c r="Y28" s="15">
        <f>RANK(Y10,$C$10:$AU$10)+COUNTIF(C10:Y10,Y10)-1</f>
        <v>19</v>
      </c>
      <c r="Z28" s="15">
        <f>RANK(Z10,$C$10:$AU$10)+COUNTIF(C10:Z10,Z10)-1</f>
        <v>3</v>
      </c>
      <c r="AA28" s="15">
        <f>RANK(AA10,$C$10:$AU$10)+COUNTIF(C10:AA10,AA10)-1</f>
        <v>21</v>
      </c>
      <c r="AB28" s="15">
        <f>RANK(AB10,$C$10:$AU$10)+COUNTIF(C10:AB10,AB10)-1</f>
        <v>17</v>
      </c>
      <c r="AC28" s="15">
        <f>RANK(AC10,$C$10:$AU$10)+COUNTIF(C10:AC10,AC10)-1</f>
        <v>22</v>
      </c>
      <c r="AD28" s="15">
        <f>RANK(AD10,$C$10:$AU$10)+COUNTIF(C10:AD10,AD10)-1</f>
        <v>8</v>
      </c>
      <c r="AE28" s="15" t="e">
        <f>RANK(AE10,$C$10:$AU$10)+COUNTIF(C10:AE10,AE10)-1</f>
        <v>#N/A</v>
      </c>
      <c r="AF28" s="15">
        <f>RANK(AF10,$C$10:$AU$10)+COUNTIF(C10:AF10,AF10)-1</f>
        <v>14</v>
      </c>
      <c r="AG28" s="15">
        <f>RANK(AG10,$C$10:$AU$10)+COUNTIF(C10:AG10,AG10)-1</f>
        <v>6</v>
      </c>
      <c r="AH28" s="15">
        <f>RANK(AH10,$C$10:$AU$10)+COUNTIF(C10:AH10,AH10)-1</f>
        <v>13</v>
      </c>
      <c r="AI28" s="15" t="e">
        <f>RANK(AI10,$C$10:$AU$10)+COUNTIF(C10:AI10,AI10)-1</f>
        <v>#N/A</v>
      </c>
      <c r="AJ28" s="15" t="e">
        <f>RANK(AJ10,$C$10:$AU$10)+COUNTIF(C10:AJ10,AJ10)-1</f>
        <v>#N/A</v>
      </c>
      <c r="AK28" s="15">
        <f t="shared" ref="AK28:AU28" si="17">RANK(AK10,$C$10:$AU$10)+COUNTIF(C10:AK10,AK10)-1</f>
        <v>10</v>
      </c>
      <c r="AL28" s="15">
        <f t="shared" si="17"/>
        <v>11</v>
      </c>
      <c r="AM28" s="15" t="e">
        <f t="shared" si="17"/>
        <v>#N/A</v>
      </c>
      <c r="AN28" s="15" t="e">
        <f t="shared" si="17"/>
        <v>#N/A</v>
      </c>
      <c r="AO28" s="15" t="e">
        <f t="shared" si="17"/>
        <v>#N/A</v>
      </c>
      <c r="AP28" s="15" t="e">
        <f t="shared" si="17"/>
        <v>#N/A</v>
      </c>
      <c r="AQ28" s="15" t="e">
        <f t="shared" si="17"/>
        <v>#N/A</v>
      </c>
      <c r="AR28" s="15" t="e">
        <f t="shared" si="17"/>
        <v>#N/A</v>
      </c>
      <c r="AS28" s="15" t="e">
        <f t="shared" si="17"/>
        <v>#N/A</v>
      </c>
      <c r="AT28" s="15" t="e">
        <f t="shared" si="17"/>
        <v>#N/A</v>
      </c>
      <c r="AU28" s="15" t="e">
        <f t="shared" si="17"/>
        <v>#N/A</v>
      </c>
    </row>
    <row r="29" spans="2:47" hidden="1">
      <c r="B29" s="14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15"/>
      <c r="AG29" s="15"/>
      <c r="AH29" s="15"/>
      <c r="AI29" s="15"/>
      <c r="AJ29" s="15"/>
      <c r="AK29" s="15"/>
    </row>
    <row r="30" spans="2:47" hidden="1">
      <c r="B30" s="16"/>
      <c r="C30" s="16">
        <f>+INDEX($C$13:$AU$13,MATCH(C13,$C$28:$AU$28,0))</f>
        <v>18</v>
      </c>
      <c r="D30" s="167">
        <f t="shared" ref="D30:AU30" si="18">+INDEX($C$13:$AU$13,MATCH(D13,$C$28:$AU$28,0))</f>
        <v>9</v>
      </c>
      <c r="E30" s="167">
        <f t="shared" si="18"/>
        <v>24</v>
      </c>
      <c r="F30" s="167">
        <f t="shared" si="18"/>
        <v>22</v>
      </c>
      <c r="G30" s="167">
        <f t="shared" si="18"/>
        <v>13</v>
      </c>
      <c r="H30" s="167">
        <f t="shared" si="18"/>
        <v>31</v>
      </c>
      <c r="I30" s="167">
        <f t="shared" si="18"/>
        <v>3</v>
      </c>
      <c r="J30" s="167">
        <f t="shared" si="18"/>
        <v>28</v>
      </c>
      <c r="K30" s="167">
        <f t="shared" si="18"/>
        <v>16</v>
      </c>
      <c r="L30" s="167">
        <f t="shared" si="18"/>
        <v>35</v>
      </c>
      <c r="M30" s="167">
        <f t="shared" si="18"/>
        <v>36</v>
      </c>
      <c r="N30" s="167">
        <f t="shared" si="18"/>
        <v>19</v>
      </c>
      <c r="O30" s="167">
        <f t="shared" si="18"/>
        <v>32</v>
      </c>
      <c r="P30" s="167">
        <f t="shared" si="18"/>
        <v>30</v>
      </c>
      <c r="Q30" s="167">
        <f t="shared" si="18"/>
        <v>12</v>
      </c>
      <c r="R30" s="167">
        <f t="shared" si="18"/>
        <v>8</v>
      </c>
      <c r="S30" s="167">
        <f t="shared" si="18"/>
        <v>26</v>
      </c>
      <c r="T30" s="167">
        <f t="shared" si="18"/>
        <v>17</v>
      </c>
      <c r="U30" s="167">
        <f t="shared" si="18"/>
        <v>23</v>
      </c>
      <c r="V30" s="167">
        <f t="shared" si="18"/>
        <v>7</v>
      </c>
      <c r="W30" s="167">
        <f t="shared" si="18"/>
        <v>25</v>
      </c>
      <c r="X30" s="167">
        <f t="shared" si="18"/>
        <v>27</v>
      </c>
      <c r="Y30" s="167" t="e">
        <f t="shared" si="18"/>
        <v>#N/A</v>
      </c>
      <c r="Z30" s="167" t="e">
        <f t="shared" si="18"/>
        <v>#N/A</v>
      </c>
      <c r="AA30" s="167" t="e">
        <f t="shared" si="18"/>
        <v>#N/A</v>
      </c>
      <c r="AB30" s="167" t="e">
        <f t="shared" si="18"/>
        <v>#N/A</v>
      </c>
      <c r="AC30" s="167" t="e">
        <f t="shared" si="18"/>
        <v>#N/A</v>
      </c>
      <c r="AD30" s="167" t="e">
        <f t="shared" si="18"/>
        <v>#N/A</v>
      </c>
      <c r="AE30" s="167" t="e">
        <f t="shared" si="18"/>
        <v>#N/A</v>
      </c>
      <c r="AF30" s="167" t="e">
        <f t="shared" si="18"/>
        <v>#N/A</v>
      </c>
      <c r="AG30" s="167" t="e">
        <f t="shared" si="18"/>
        <v>#N/A</v>
      </c>
      <c r="AH30" s="167" t="e">
        <f t="shared" si="18"/>
        <v>#N/A</v>
      </c>
      <c r="AI30" s="167" t="e">
        <f t="shared" si="18"/>
        <v>#N/A</v>
      </c>
      <c r="AJ30" s="167" t="e">
        <f t="shared" si="18"/>
        <v>#N/A</v>
      </c>
      <c r="AK30" s="167" t="e">
        <f t="shared" si="18"/>
        <v>#N/A</v>
      </c>
      <c r="AL30" s="167" t="e">
        <f t="shared" si="18"/>
        <v>#N/A</v>
      </c>
      <c r="AM30" s="167" t="e">
        <f t="shared" si="18"/>
        <v>#N/A</v>
      </c>
      <c r="AN30" s="167" t="e">
        <f t="shared" si="18"/>
        <v>#N/A</v>
      </c>
      <c r="AO30" s="167" t="e">
        <f t="shared" si="18"/>
        <v>#N/A</v>
      </c>
      <c r="AP30" s="167" t="e">
        <f t="shared" si="18"/>
        <v>#N/A</v>
      </c>
      <c r="AQ30" s="167" t="e">
        <f t="shared" si="18"/>
        <v>#N/A</v>
      </c>
      <c r="AR30" s="167" t="e">
        <f t="shared" si="18"/>
        <v>#N/A</v>
      </c>
      <c r="AS30" s="167" t="e">
        <f t="shared" si="18"/>
        <v>#N/A</v>
      </c>
      <c r="AT30" s="167" t="e">
        <f t="shared" si="18"/>
        <v>#N/A</v>
      </c>
      <c r="AU30" s="167" t="e">
        <f t="shared" si="18"/>
        <v>#N/A</v>
      </c>
    </row>
    <row r="31" spans="2:47" hidden="1">
      <c r="B31" s="16"/>
      <c r="C31" s="16" t="s">
        <v>104</v>
      </c>
      <c r="D31" s="16" t="s">
        <v>104</v>
      </c>
      <c r="E31" s="16" t="s">
        <v>140</v>
      </c>
      <c r="F31" s="16" t="s">
        <v>103</v>
      </c>
      <c r="G31" s="67" t="s">
        <v>103</v>
      </c>
      <c r="H31" s="16" t="s">
        <v>141</v>
      </c>
      <c r="I31" s="16" t="s">
        <v>141</v>
      </c>
      <c r="J31" s="16" t="s">
        <v>141</v>
      </c>
      <c r="K31" s="67" t="s">
        <v>105</v>
      </c>
      <c r="L31" s="16" t="s">
        <v>142</v>
      </c>
      <c r="M31" s="16" t="s">
        <v>142</v>
      </c>
      <c r="N31" s="16" t="s">
        <v>142</v>
      </c>
      <c r="O31" s="67" t="s">
        <v>106</v>
      </c>
      <c r="P31" s="16" t="s">
        <v>143</v>
      </c>
      <c r="Q31" s="16" t="s">
        <v>143</v>
      </c>
      <c r="R31" s="16" t="s">
        <v>143</v>
      </c>
      <c r="S31" s="16" t="s">
        <v>143</v>
      </c>
      <c r="T31" s="16" t="s">
        <v>325</v>
      </c>
      <c r="U31" s="16" t="s">
        <v>325</v>
      </c>
      <c r="V31" s="16" t="s">
        <v>325</v>
      </c>
      <c r="W31" s="16" t="s">
        <v>325</v>
      </c>
      <c r="X31" s="16" t="s">
        <v>325</v>
      </c>
      <c r="Y31" s="176" t="s">
        <v>325</v>
      </c>
      <c r="Z31" s="176" t="s">
        <v>325</v>
      </c>
      <c r="AA31" s="176" t="s">
        <v>325</v>
      </c>
      <c r="AB31" s="176" t="s">
        <v>325</v>
      </c>
      <c r="AC31" s="176" t="s">
        <v>325</v>
      </c>
      <c r="AD31" s="176" t="s">
        <v>325</v>
      </c>
      <c r="AE31" s="176" t="s">
        <v>325</v>
      </c>
      <c r="AF31" s="176" t="s">
        <v>325</v>
      </c>
      <c r="AG31" s="176" t="s">
        <v>325</v>
      </c>
      <c r="AH31" s="176" t="s">
        <v>325</v>
      </c>
      <c r="AI31" s="176" t="s">
        <v>325</v>
      </c>
      <c r="AJ31" s="176" t="s">
        <v>325</v>
      </c>
      <c r="AK31" s="176" t="s">
        <v>325</v>
      </c>
      <c r="AL31" s="176" t="s">
        <v>325</v>
      </c>
      <c r="AM31" s="176" t="s">
        <v>325</v>
      </c>
      <c r="AN31" s="176" t="s">
        <v>325</v>
      </c>
      <c r="AO31" s="176" t="s">
        <v>325</v>
      </c>
      <c r="AP31" s="176" t="s">
        <v>325</v>
      </c>
      <c r="AQ31" s="176" t="s">
        <v>325</v>
      </c>
      <c r="AR31" s="176" t="s">
        <v>325</v>
      </c>
      <c r="AS31" s="176" t="s">
        <v>325</v>
      </c>
      <c r="AT31" s="176" t="s">
        <v>325</v>
      </c>
      <c r="AU31" s="176" t="s">
        <v>325</v>
      </c>
    </row>
    <row r="32" spans="2:47" hidden="1">
      <c r="B32" s="16"/>
      <c r="C32" s="16" t="str">
        <f>+INDEX($C$3:$AU$3,MATCH(C13,$C$28:$AU$28,0))</f>
        <v>살수</v>
      </c>
      <c r="D32" s="167" t="str">
        <f t="shared" ref="D32:AU32" si="19">+INDEX($C$3:$AU$3,MATCH(D13,$C$28:$AU$28,0))</f>
        <v>린스</v>
      </c>
      <c r="E32" s="167" t="str">
        <f t="shared" si="19"/>
        <v>용갈</v>
      </c>
      <c r="F32" s="167" t="str">
        <f t="shared" si="19"/>
        <v>울프</v>
      </c>
      <c r="G32" s="167" t="str">
        <f t="shared" si="19"/>
        <v>반짝</v>
      </c>
      <c r="H32" s="167" t="str">
        <f t="shared" si="19"/>
        <v>태식</v>
      </c>
      <c r="I32" s="167" t="str">
        <f t="shared" si="19"/>
        <v>넘버</v>
      </c>
      <c r="J32" s="167" t="str">
        <f t="shared" si="19"/>
        <v>참치</v>
      </c>
      <c r="K32" s="167" t="str">
        <f t="shared" si="19"/>
        <v>블핑</v>
      </c>
      <c r="L32" s="167" t="str">
        <f t="shared" si="19"/>
        <v>훈</v>
      </c>
      <c r="M32" s="167" t="str">
        <f t="shared" si="19"/>
        <v>필찌</v>
      </c>
      <c r="N32" s="167" t="str">
        <f t="shared" si="19"/>
        <v>솔</v>
      </c>
      <c r="O32" s="167" t="str">
        <f t="shared" si="19"/>
        <v>하리보</v>
      </c>
      <c r="P32" s="167" t="str">
        <f t="shared" si="19"/>
        <v>플토</v>
      </c>
      <c r="Q32" s="167" t="str">
        <f t="shared" si="19"/>
        <v>민형</v>
      </c>
      <c r="R32" s="167" t="str">
        <f t="shared" si="19"/>
        <v>르기</v>
      </c>
      <c r="S32" s="167" t="str">
        <f t="shared" si="19"/>
        <v>조네</v>
      </c>
      <c r="T32" s="167" t="str">
        <f t="shared" si="19"/>
        <v>사카시</v>
      </c>
      <c r="U32" s="167" t="str">
        <f t="shared" si="19"/>
        <v>야로</v>
      </c>
      <c r="V32" s="167" t="str">
        <f t="shared" si="19"/>
        <v>라위</v>
      </c>
      <c r="W32" s="167" t="str">
        <f t="shared" si="19"/>
        <v>용이</v>
      </c>
      <c r="X32" s="167" t="str">
        <f t="shared" si="19"/>
        <v>존스</v>
      </c>
      <c r="Y32" s="167" t="e">
        <f t="shared" si="19"/>
        <v>#N/A</v>
      </c>
      <c r="Z32" s="167" t="e">
        <f t="shared" si="19"/>
        <v>#N/A</v>
      </c>
      <c r="AA32" s="167" t="e">
        <f t="shared" si="19"/>
        <v>#N/A</v>
      </c>
      <c r="AB32" s="167" t="e">
        <f t="shared" si="19"/>
        <v>#N/A</v>
      </c>
      <c r="AC32" s="167" t="e">
        <f t="shared" si="19"/>
        <v>#N/A</v>
      </c>
      <c r="AD32" s="167" t="e">
        <f t="shared" si="19"/>
        <v>#N/A</v>
      </c>
      <c r="AE32" s="167" t="e">
        <f t="shared" si="19"/>
        <v>#N/A</v>
      </c>
      <c r="AF32" s="167" t="e">
        <f t="shared" si="19"/>
        <v>#N/A</v>
      </c>
      <c r="AG32" s="167" t="e">
        <f t="shared" si="19"/>
        <v>#N/A</v>
      </c>
      <c r="AH32" s="167" t="e">
        <f t="shared" si="19"/>
        <v>#N/A</v>
      </c>
      <c r="AI32" s="167" t="e">
        <f t="shared" si="19"/>
        <v>#N/A</v>
      </c>
      <c r="AJ32" s="167" t="e">
        <f t="shared" si="19"/>
        <v>#N/A</v>
      </c>
      <c r="AK32" s="167" t="e">
        <f t="shared" si="19"/>
        <v>#N/A</v>
      </c>
      <c r="AL32" s="167" t="e">
        <f t="shared" si="19"/>
        <v>#N/A</v>
      </c>
      <c r="AM32" s="167" t="e">
        <f t="shared" si="19"/>
        <v>#N/A</v>
      </c>
      <c r="AN32" s="167" t="e">
        <f t="shared" si="19"/>
        <v>#N/A</v>
      </c>
      <c r="AO32" s="167" t="e">
        <f t="shared" si="19"/>
        <v>#N/A</v>
      </c>
      <c r="AP32" s="167" t="e">
        <f t="shared" si="19"/>
        <v>#N/A</v>
      </c>
      <c r="AQ32" s="167" t="e">
        <f t="shared" si="19"/>
        <v>#N/A</v>
      </c>
      <c r="AR32" s="167" t="e">
        <f t="shared" si="19"/>
        <v>#N/A</v>
      </c>
      <c r="AS32" s="167" t="e">
        <f t="shared" si="19"/>
        <v>#N/A</v>
      </c>
      <c r="AT32" s="167" t="e">
        <f t="shared" si="19"/>
        <v>#N/A</v>
      </c>
      <c r="AU32" s="167" t="e">
        <f t="shared" si="19"/>
        <v>#N/A</v>
      </c>
    </row>
    <row r="33" spans="1:37" hidden="1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  <c r="AD33" s="2"/>
      <c r="AE33" s="2"/>
      <c r="AF33" s="2"/>
      <c r="AG33" s="2"/>
      <c r="AH33" s="2"/>
      <c r="AI33" s="2"/>
      <c r="AJ33" s="2"/>
      <c r="AK33" s="2"/>
    </row>
    <row r="34" spans="1:37" hidden="1">
      <c r="B34" s="16" t="s">
        <v>53</v>
      </c>
      <c r="C34" s="16" t="s">
        <v>51</v>
      </c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  <c r="AD34" s="2"/>
      <c r="AE34" s="2"/>
      <c r="AF34" s="2"/>
      <c r="AG34" s="2"/>
      <c r="AH34" s="2"/>
      <c r="AI34" s="2"/>
      <c r="AJ34" s="2"/>
    </row>
    <row r="35" spans="1:37" hidden="1">
      <c r="B35" s="17">
        <v>20</v>
      </c>
      <c r="C35" s="16" t="s">
        <v>108</v>
      </c>
      <c r="D35" s="16">
        <v>1</v>
      </c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D35" s="2"/>
      <c r="AE35" s="2"/>
      <c r="AF35" s="2"/>
      <c r="AG35" s="2"/>
      <c r="AH35" s="2"/>
      <c r="AI35" s="2"/>
      <c r="AJ35" s="2"/>
    </row>
    <row r="36" spans="1:37" hidden="1">
      <c r="B36" s="16">
        <v>17</v>
      </c>
      <c r="C36" s="16" t="s">
        <v>103</v>
      </c>
      <c r="D36" s="16">
        <v>2</v>
      </c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343" t="s">
        <v>16</v>
      </c>
      <c r="R36" s="344"/>
      <c r="S36" s="345"/>
      <c r="T36" s="16"/>
      <c r="U36" s="16"/>
      <c r="V36" s="16"/>
      <c r="W36" s="16"/>
      <c r="X36" s="16"/>
      <c r="Y36" s="16"/>
      <c r="Z36" s="16"/>
      <c r="AD36" s="2"/>
      <c r="AE36" s="2"/>
      <c r="AF36" s="2"/>
      <c r="AG36" s="2"/>
      <c r="AH36" s="2"/>
      <c r="AI36" s="2"/>
      <c r="AJ36" s="2"/>
    </row>
    <row r="37" spans="1:37" hidden="1">
      <c r="B37" s="16">
        <v>14</v>
      </c>
      <c r="C37" s="16" t="s">
        <v>105</v>
      </c>
      <c r="D37" s="16">
        <v>3</v>
      </c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0" t="s">
        <v>9</v>
      </c>
      <c r="R37" s="9" t="str">
        <f>+INDEX($C$3:$AK$3,MATCH(1,C26:AK26,0))</f>
        <v>린스</v>
      </c>
      <c r="S37" s="9" t="str">
        <f>+IF(COUNTIF(C26:AK26,1)&gt;1,"공동1위","단독1위")</f>
        <v>단독1위</v>
      </c>
      <c r="T37" s="16"/>
      <c r="U37" s="16"/>
      <c r="V37" s="16"/>
      <c r="W37" s="16"/>
      <c r="X37" s="16"/>
      <c r="Y37" s="16"/>
      <c r="Z37" s="16"/>
      <c r="AD37" s="2"/>
      <c r="AE37" s="2"/>
      <c r="AF37" s="2"/>
      <c r="AG37" s="2"/>
      <c r="AH37" s="2"/>
      <c r="AI37" s="2"/>
      <c r="AJ37" s="2"/>
      <c r="AK37" s="2"/>
    </row>
    <row r="38" spans="1:37" hidden="1">
      <c r="B38" s="16">
        <v>11</v>
      </c>
      <c r="C38" s="16" t="s">
        <v>106</v>
      </c>
      <c r="D38" s="16">
        <v>4</v>
      </c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9" t="s">
        <v>14</v>
      </c>
      <c r="R38" s="10" t="str">
        <f>+INDEX($C$3:$AK$3,MATCH(1,C22:AK22,0))</f>
        <v>넘버</v>
      </c>
      <c r="S38" s="9" t="str">
        <f>+IF(COUNTIF(C22:AK22,1)&gt;1,"공동1위","단독1위")</f>
        <v>단독1위</v>
      </c>
      <c r="T38" s="16"/>
      <c r="U38" s="16"/>
      <c r="V38" s="16"/>
      <c r="W38" s="16"/>
      <c r="X38" s="16"/>
      <c r="Y38" s="16"/>
      <c r="Z38" s="16"/>
    </row>
    <row r="39" spans="1:37" hidden="1">
      <c r="B39" s="16">
        <v>8</v>
      </c>
      <c r="C39" s="16" t="s">
        <v>107</v>
      </c>
      <c r="D39" s="16">
        <v>5</v>
      </c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9" t="s">
        <v>15</v>
      </c>
      <c r="R39" s="10" t="str">
        <f>+INDEX($C$3:$AK$3,MATCH(SMALL(C21:AK21,1),C21:AK21,0))</f>
        <v>훈</v>
      </c>
      <c r="S39" s="9" t="str">
        <f>+IF(COUNTIF(C27:AK27,1)&gt;1,"공동1위","단독1위")</f>
        <v>공동1위</v>
      </c>
      <c r="T39" s="16"/>
      <c r="U39" s="16"/>
      <c r="V39" s="16"/>
      <c r="W39" s="16"/>
      <c r="X39" s="16"/>
      <c r="Y39" s="16"/>
      <c r="Z39" s="16"/>
    </row>
    <row r="40" spans="1:37" hidden="1">
      <c r="B40" s="16">
        <v>6</v>
      </c>
      <c r="C40" s="16" t="s">
        <v>324</v>
      </c>
      <c r="D40" s="16">
        <v>6</v>
      </c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</row>
    <row r="41" spans="1:37" hidden="1">
      <c r="B41" s="16" t="str">
        <f>INDEX($C$9:$AU$9,MATCH(C53,$C$3:$AU$3,0))</f>
        <v>브론즈</v>
      </c>
      <c r="C41" s="170" t="str">
        <f t="shared" ref="C41:E41" si="20">INDEX($C$9:$AU$9,MATCH(D53,$C$3:$AU$3,0))</f>
        <v>플레티넘</v>
      </c>
      <c r="D41" s="170" t="str">
        <f t="shared" si="20"/>
        <v>플레티넘</v>
      </c>
      <c r="E41" s="170" t="str">
        <f t="shared" si="20"/>
        <v>골드</v>
      </c>
      <c r="F41" s="330" t="s">
        <v>68</v>
      </c>
      <c r="G41" s="330"/>
      <c r="H41" s="330"/>
      <c r="I41" s="330"/>
      <c r="J41" s="16" t="s">
        <v>341</v>
      </c>
      <c r="K41" s="16"/>
      <c r="L41" s="16"/>
      <c r="M41" s="188" t="s">
        <v>109</v>
      </c>
      <c r="N41" s="187" t="s">
        <v>343</v>
      </c>
      <c r="O41" s="187" t="s">
        <v>344</v>
      </c>
      <c r="P41" s="187" t="s">
        <v>345</v>
      </c>
      <c r="Q41" s="187" t="s">
        <v>346</v>
      </c>
      <c r="R41" s="187" t="s">
        <v>347</v>
      </c>
      <c r="S41" s="187" t="s">
        <v>348</v>
      </c>
      <c r="T41" s="187" t="s">
        <v>349</v>
      </c>
      <c r="U41" s="187" t="s">
        <v>350</v>
      </c>
      <c r="V41" s="187" t="s">
        <v>351</v>
      </c>
      <c r="W41" s="187" t="s">
        <v>352</v>
      </c>
      <c r="X41" s="187" t="s">
        <v>353</v>
      </c>
      <c r="Y41" s="187" t="s">
        <v>354</v>
      </c>
      <c r="Z41" s="187" t="s">
        <v>355</v>
      </c>
      <c r="AA41" s="187" t="s">
        <v>356</v>
      </c>
      <c r="AB41" s="187" t="s">
        <v>357</v>
      </c>
      <c r="AC41" s="187" t="s">
        <v>358</v>
      </c>
      <c r="AD41" s="187" t="s">
        <v>359</v>
      </c>
      <c r="AE41" s="187" t="s">
        <v>360</v>
      </c>
      <c r="AF41" s="187" t="s">
        <v>361</v>
      </c>
      <c r="AG41" s="187" t="s">
        <v>362</v>
      </c>
      <c r="AH41" s="187" t="s">
        <v>363</v>
      </c>
    </row>
    <row r="42" spans="1:37" hidden="1">
      <c r="B42" s="16">
        <f>INDEX($C$50:$I$50,MATCH(B41,$C$49:$I$49,0))</f>
        <v>9</v>
      </c>
      <c r="C42" s="176">
        <f t="shared" ref="C42:E42" si="21">INDEX($C$50:$I$50,MATCH(C41,$C$49:$I$49,0))</f>
        <v>17</v>
      </c>
      <c r="D42" s="176">
        <f t="shared" si="21"/>
        <v>17</v>
      </c>
      <c r="E42" s="176">
        <f t="shared" si="21"/>
        <v>14</v>
      </c>
      <c r="F42" s="16">
        <f>IF(C57="주",B42,B42-3)</f>
        <v>6</v>
      </c>
      <c r="G42" s="16">
        <f>IF(D57="주",C42,C42-3)</f>
        <v>17</v>
      </c>
      <c r="H42" s="16">
        <f>IF(E57="주",D42,D42-3)</f>
        <v>17</v>
      </c>
      <c r="I42" s="16">
        <f>IF(F57="주",E42,E42-3)</f>
        <v>14</v>
      </c>
      <c r="J42" s="186">
        <f>IF(G53-G59&gt;1,M42,M45)</f>
        <v>16</v>
      </c>
      <c r="K42" s="16"/>
      <c r="L42" s="180"/>
      <c r="M42" s="188">
        <f>IF(ABS(G59-G53)&lt;3,O42,IF(ABS(G59-G53)&lt;6,P42,IF(ABS(G59-G53)&lt;9,Q42,IF(ABS(G59-G53)&lt;12,R42,IF(ABS(G59-G53)&lt;15,S42,IF(ABS(G59-G53)&lt;18,T42,IF(ABS(G59-G53)&lt;21,U42,IF(ABS(G59-G53)&lt;24,V42,IF(ABS(G59-G53)&lt;27,W42,IF(ABS(G59-G53)&lt;30,X42,IF(ABS(G59-G53)&lt;33,Y42,IF(ABS(G59-G53)&lt;36,Z42,IF(ABS(G59-G53)&lt;39,AA42,IF(ABS(G59-G53)&lt;42,AB42,IF(ABS(G59-G53)&lt;45,AC42,IF(ABS(G59-G53)&lt;48,AD42,IF(ABS(G59-G53)&lt;51,AE42,IF(ABS(G59-G53)&lt;54,AF42,IF(ABS(G59-G53)&lt;57,AG42,IF(ABS(G59-G53)&lt;60,AH42,0))))))))))))))))))))</f>
        <v>16</v>
      </c>
      <c r="N42" s="187" t="s">
        <v>364</v>
      </c>
      <c r="O42" s="184">
        <v>17</v>
      </c>
      <c r="P42" s="184">
        <v>17</v>
      </c>
      <c r="Q42" s="184">
        <v>16</v>
      </c>
      <c r="R42" s="184">
        <v>16</v>
      </c>
      <c r="S42" s="184">
        <v>16</v>
      </c>
      <c r="T42" s="184">
        <v>15</v>
      </c>
      <c r="U42" s="184">
        <v>15</v>
      </c>
      <c r="V42" s="184">
        <v>15</v>
      </c>
      <c r="W42" s="184">
        <v>14</v>
      </c>
      <c r="X42" s="184">
        <v>14</v>
      </c>
      <c r="Y42" s="184">
        <v>13</v>
      </c>
      <c r="Z42" s="184">
        <v>13</v>
      </c>
      <c r="AA42" s="184">
        <v>12</v>
      </c>
      <c r="AB42" s="184">
        <v>12</v>
      </c>
      <c r="AC42" s="184">
        <v>11</v>
      </c>
      <c r="AD42" s="184">
        <v>11</v>
      </c>
      <c r="AE42" s="184">
        <v>11</v>
      </c>
      <c r="AF42" s="184">
        <v>10</v>
      </c>
      <c r="AG42" s="184">
        <v>9</v>
      </c>
      <c r="AH42" s="184">
        <v>9</v>
      </c>
    </row>
    <row r="43" spans="1:37" hidden="1">
      <c r="B43" s="16" t="str">
        <f>INDEX($C$9:$AU$9,MATCH(C59,$C$3:$AU$3,0))</f>
        <v>아이언</v>
      </c>
      <c r="C43" s="170" t="str">
        <f t="shared" ref="C43:E43" si="22">INDEX($C$9:$AU$9,MATCH(D59,$C$3:$AU$3,0))</f>
        <v>다이아</v>
      </c>
      <c r="D43" s="170" t="str">
        <f t="shared" si="22"/>
        <v>실버</v>
      </c>
      <c r="E43" s="170" t="str">
        <f t="shared" si="22"/>
        <v>브론즈</v>
      </c>
      <c r="F43" s="330" t="s">
        <v>68</v>
      </c>
      <c r="G43" s="330"/>
      <c r="H43" s="330"/>
      <c r="I43" s="330"/>
      <c r="J43" s="182" t="s">
        <v>342</v>
      </c>
      <c r="K43" s="16"/>
      <c r="L43" s="16"/>
      <c r="M43" s="16"/>
      <c r="N43" s="182"/>
      <c r="O43" s="182"/>
      <c r="P43" s="182"/>
      <c r="Q43" s="182"/>
      <c r="R43" s="182"/>
      <c r="S43" s="182"/>
      <c r="T43" s="182"/>
      <c r="U43" s="182"/>
      <c r="V43" s="182"/>
      <c r="W43" s="182"/>
      <c r="X43" s="182"/>
      <c r="Y43" s="182"/>
      <c r="Z43" s="182"/>
      <c r="AA43" s="182"/>
      <c r="AB43" s="182"/>
      <c r="AC43" s="182"/>
      <c r="AD43" s="182"/>
      <c r="AE43" s="182"/>
      <c r="AF43" s="182"/>
      <c r="AG43" s="182"/>
      <c r="AH43" s="182"/>
    </row>
    <row r="44" spans="1:37" hidden="1">
      <c r="B44" s="16">
        <f>INDEX($C$50:$I$50,MATCH(B43,$C$49:$I$49,0))</f>
        <v>8</v>
      </c>
      <c r="C44" s="176">
        <f t="shared" ref="C44:E44" si="23">INDEX($C$50:$I$50,MATCH(C43,$C$49:$I$49,0))</f>
        <v>20</v>
      </c>
      <c r="D44" s="176">
        <f t="shared" si="23"/>
        <v>11</v>
      </c>
      <c r="E44" s="176">
        <f t="shared" si="23"/>
        <v>9</v>
      </c>
      <c r="F44" s="16">
        <f>IF(C63="주",B44,B44-3)</f>
        <v>8</v>
      </c>
      <c r="G44" s="16">
        <f>IF(D63="주",C44,C44-3)</f>
        <v>20</v>
      </c>
      <c r="H44" s="16">
        <f>IF(E63="주",D44,D44-3)</f>
        <v>11</v>
      </c>
      <c r="I44" s="16">
        <f>IF(F63="주",E44,E44-3)</f>
        <v>9</v>
      </c>
      <c r="J44" s="186">
        <f>IF(G59-G53&gt;1,M42,M45)</f>
        <v>19</v>
      </c>
      <c r="K44" s="16"/>
      <c r="L44" s="16"/>
      <c r="M44" s="188" t="s">
        <v>340</v>
      </c>
      <c r="N44" s="187" t="s">
        <v>343</v>
      </c>
      <c r="O44" s="187" t="s">
        <v>365</v>
      </c>
      <c r="P44" s="187" t="s">
        <v>366</v>
      </c>
      <c r="Q44" s="187" t="s">
        <v>367</v>
      </c>
      <c r="R44" s="187" t="s">
        <v>368</v>
      </c>
      <c r="S44" s="187" t="s">
        <v>369</v>
      </c>
      <c r="T44" s="187" t="s">
        <v>370</v>
      </c>
      <c r="U44" s="187" t="s">
        <v>371</v>
      </c>
      <c r="V44" s="187" t="s">
        <v>372</v>
      </c>
      <c r="W44" s="187" t="s">
        <v>373</v>
      </c>
      <c r="X44" s="187" t="s">
        <v>374</v>
      </c>
      <c r="Y44" s="187" t="s">
        <v>375</v>
      </c>
      <c r="Z44" s="187" t="s">
        <v>376</v>
      </c>
      <c r="AA44" s="187" t="s">
        <v>377</v>
      </c>
      <c r="AB44" s="187" t="s">
        <v>378</v>
      </c>
      <c r="AC44" s="187" t="s">
        <v>379</v>
      </c>
      <c r="AD44" s="187" t="s">
        <v>380</v>
      </c>
      <c r="AE44" s="187" t="s">
        <v>381</v>
      </c>
      <c r="AF44" s="187" t="s">
        <v>382</v>
      </c>
      <c r="AG44" s="187" t="s">
        <v>383</v>
      </c>
      <c r="AH44" s="187" t="s">
        <v>384</v>
      </c>
    </row>
    <row r="45" spans="1:37" hidden="1">
      <c r="B45" s="21" t="s">
        <v>113</v>
      </c>
      <c r="C45" s="21"/>
      <c r="D45" s="21"/>
      <c r="E45" s="21"/>
      <c r="F45" s="21"/>
      <c r="G45" s="21"/>
      <c r="H45" s="21"/>
      <c r="I45" s="21"/>
      <c r="J45" s="186"/>
      <c r="K45" s="21"/>
      <c r="L45" s="21"/>
      <c r="M45" s="188">
        <f>IF(ABS(G59-G53)&lt;3,O45,IF(ABS(G59-G53)&lt;6,P45,IF(ABS(G59-G53)&lt;9,Q45,IF(ABS(G59-G53)&lt;12,R45,IF(ABS(G59-G53)&lt;15,S45,IF(ABS(G59-G53)&lt;18,T45,IF(ABS(G59-G53)&lt;21,U45,IF(ABS(G59-G53)&lt;24,V45,IF(ABS(G59-G53)&lt;27,W45,IF(ABS(G59-G53)&lt;30,X45,IF(ABS(G59-G53)&lt;33,Y45,IF(ABS(G59-G53)&lt;36,Z45,IF(ABS(G59-G53)&lt;39,AA45,IF(ABS(G59-G53)&lt;42,AB45,IF(ABS(G59-G53)&lt;45,AC45,IF(ABS(G59-G53)&lt;48,AD45,IF(ABS(G59-G53)&lt;51,AE45,IF(ABS(G59-G53)&lt;54,AF45,IF(ABS(G59-G53)&lt;57,AG45,IF(ABS(G59-G53)&lt;60,AH45,0))))))))))))))))))))</f>
        <v>19</v>
      </c>
      <c r="N45" s="187" t="s">
        <v>364</v>
      </c>
      <c r="O45" s="184">
        <v>17</v>
      </c>
      <c r="P45" s="184">
        <v>18</v>
      </c>
      <c r="Q45" s="184">
        <v>19</v>
      </c>
      <c r="R45" s="184">
        <v>20</v>
      </c>
      <c r="S45" s="184">
        <v>20</v>
      </c>
      <c r="T45" s="184">
        <v>21</v>
      </c>
      <c r="U45" s="184">
        <v>21</v>
      </c>
      <c r="V45" s="184">
        <v>22</v>
      </c>
      <c r="W45" s="184">
        <v>23</v>
      </c>
      <c r="X45" s="184">
        <v>24</v>
      </c>
      <c r="Y45" s="184">
        <v>24</v>
      </c>
      <c r="Z45" s="184">
        <v>25</v>
      </c>
      <c r="AA45" s="184">
        <v>25</v>
      </c>
      <c r="AB45" s="184">
        <v>26</v>
      </c>
      <c r="AC45" s="184">
        <v>26</v>
      </c>
      <c r="AD45" s="184">
        <v>27</v>
      </c>
      <c r="AE45" s="184">
        <v>27</v>
      </c>
      <c r="AF45" s="184">
        <v>28</v>
      </c>
      <c r="AG45" s="184">
        <v>29</v>
      </c>
      <c r="AH45" s="184">
        <v>30</v>
      </c>
    </row>
    <row r="46" spans="1:37" hidden="1">
      <c r="A46" s="21" t="s">
        <v>115</v>
      </c>
      <c r="B46" s="21" t="str">
        <f>VLOOKUP(C53,현재시즌_부캐릭분류!$A$4:$E$49,2,FALSE)</f>
        <v>X</v>
      </c>
      <c r="C46" s="21" t="str">
        <f>VLOOKUP(D53,현재시즌_부캐릭분류!$A$4:$E$49,3,FALSE)</f>
        <v>O</v>
      </c>
      <c r="D46" s="21" t="str">
        <f>VLOOKUP(E53,현재시즌_부캐릭분류!$A$4:$E$49,4,FALSE)</f>
        <v>O</v>
      </c>
      <c r="E46" s="21" t="str">
        <f>VLOOKUP(F53,현재시즌_부캐릭분류!$A$4:$E$49,5,FALSE)</f>
        <v>O</v>
      </c>
      <c r="F46" s="21"/>
      <c r="G46" s="21"/>
      <c r="H46" s="21"/>
      <c r="I46" s="21"/>
      <c r="J46" s="186"/>
      <c r="K46" s="21"/>
      <c r="L46" s="21"/>
      <c r="M46" s="21"/>
      <c r="N46" s="21"/>
      <c r="O46" s="21"/>
      <c r="P46" s="21"/>
      <c r="Q46" s="21"/>
      <c r="R46" s="21"/>
      <c r="S46" s="21"/>
      <c r="T46" s="21"/>
      <c r="U46" s="21"/>
      <c r="V46" s="21"/>
      <c r="W46" s="21"/>
      <c r="X46" s="21"/>
      <c r="Y46" s="21"/>
      <c r="Z46" s="21"/>
    </row>
    <row r="47" spans="1:37" hidden="1">
      <c r="A47" s="21" t="s">
        <v>116</v>
      </c>
      <c r="B47" s="21" t="str">
        <f>VLOOKUP(C59,현재시즌_부캐릭분류!$A$4:$E$49,2,FALSE)</f>
        <v>O</v>
      </c>
      <c r="C47" s="21" t="str">
        <f>VLOOKUP(D59,현재시즌_부캐릭분류!$A$4:$E$49,3,FALSE)</f>
        <v>O</v>
      </c>
      <c r="D47" s="21" t="str">
        <f>VLOOKUP(E59,현재시즌_부캐릭분류!$A$4:$E$49,4,FALSE)</f>
        <v>O</v>
      </c>
      <c r="E47" s="21" t="str">
        <f>VLOOKUP(F59,현재시즌_부캐릭분류!$A$4:$E$49,5,FALSE)</f>
        <v>O</v>
      </c>
      <c r="F47" s="21"/>
      <c r="G47" s="21"/>
      <c r="H47" s="21"/>
      <c r="I47" s="21"/>
      <c r="J47" s="186"/>
      <c r="K47" s="21"/>
      <c r="L47" s="21"/>
      <c r="M47" s="21"/>
      <c r="N47" s="21"/>
      <c r="O47" s="21"/>
      <c r="P47" s="21"/>
      <c r="Q47" s="21"/>
      <c r="R47" s="21"/>
      <c r="S47" s="21"/>
      <c r="T47" s="21"/>
      <c r="U47" s="21"/>
      <c r="V47" s="21"/>
      <c r="W47" s="21"/>
      <c r="X47" s="21"/>
      <c r="Y47" s="21"/>
      <c r="Z47" s="21"/>
    </row>
    <row r="48" spans="1:37" hidden="1">
      <c r="B48" s="16"/>
      <c r="C48" s="16"/>
      <c r="D48" s="16"/>
      <c r="E48" s="16"/>
      <c r="F48" s="16"/>
      <c r="G48" s="16"/>
      <c r="H48" s="16"/>
      <c r="I48" s="16"/>
      <c r="J48" s="18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</row>
    <row r="49" spans="2:38" hidden="1">
      <c r="B49" s="16"/>
      <c r="C49" s="16" t="s">
        <v>104</v>
      </c>
      <c r="D49" s="16" t="s">
        <v>103</v>
      </c>
      <c r="E49" s="16" t="s">
        <v>105</v>
      </c>
      <c r="F49" s="16" t="s">
        <v>106</v>
      </c>
      <c r="G49" s="16" t="s">
        <v>107</v>
      </c>
      <c r="H49" s="16" t="s">
        <v>67</v>
      </c>
      <c r="I49" s="16" t="s">
        <v>324</v>
      </c>
      <c r="J49" s="16"/>
      <c r="K49" s="16"/>
      <c r="L49" s="16"/>
      <c r="M49" s="16"/>
      <c r="N49" s="16"/>
      <c r="O49" s="16"/>
      <c r="P49" s="16"/>
      <c r="Q49" s="182"/>
      <c r="R49" s="182"/>
      <c r="S49" s="182"/>
      <c r="T49" s="182"/>
      <c r="U49" s="182"/>
      <c r="V49" s="182"/>
      <c r="W49" s="182"/>
      <c r="X49" s="182"/>
      <c r="Y49" s="182"/>
      <c r="Z49" s="182"/>
    </row>
    <row r="50" spans="2:38" hidden="1">
      <c r="B50" s="16" t="s">
        <v>66</v>
      </c>
      <c r="C50" s="16">
        <v>20</v>
      </c>
      <c r="D50" s="16">
        <v>17</v>
      </c>
      <c r="E50" s="16">
        <v>14</v>
      </c>
      <c r="F50" s="16">
        <v>11</v>
      </c>
      <c r="G50" s="16">
        <v>9</v>
      </c>
      <c r="H50" s="16">
        <v>10</v>
      </c>
      <c r="I50" s="16">
        <v>8</v>
      </c>
      <c r="J50" s="16"/>
      <c r="K50" s="16"/>
      <c r="L50" s="16"/>
      <c r="M50" s="16"/>
      <c r="N50" s="16"/>
      <c r="O50" s="16"/>
      <c r="P50" s="16"/>
      <c r="Q50" s="182"/>
      <c r="R50" s="182"/>
      <c r="S50" s="182"/>
      <c r="T50" s="182"/>
      <c r="U50" s="182"/>
      <c r="V50" s="182"/>
      <c r="W50" s="182"/>
      <c r="X50" s="182"/>
      <c r="Y50" s="182"/>
      <c r="Z50" s="182"/>
    </row>
    <row r="51" spans="2:38"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</row>
    <row r="52" spans="2:38">
      <c r="B52" s="18"/>
      <c r="C52" s="332" t="s">
        <v>393</v>
      </c>
      <c r="D52" s="333"/>
      <c r="E52" s="333"/>
      <c r="F52" s="334"/>
      <c r="G52" s="18" t="s">
        <v>53</v>
      </c>
      <c r="H52" s="18" t="s">
        <v>64</v>
      </c>
      <c r="I52" s="18" t="s">
        <v>109</v>
      </c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</row>
    <row r="53" spans="2:38">
      <c r="B53" s="20" t="s">
        <v>57</v>
      </c>
      <c r="C53" s="265" t="s">
        <v>444</v>
      </c>
      <c r="D53" s="265" t="s">
        <v>440</v>
      </c>
      <c r="E53" s="265" t="s">
        <v>437</v>
      </c>
      <c r="F53" s="265" t="s">
        <v>442</v>
      </c>
      <c r="G53" s="335">
        <f>SUM(F42:I42)</f>
        <v>54</v>
      </c>
      <c r="H53" s="336" t="s">
        <v>0</v>
      </c>
      <c r="I53" s="331">
        <f>IF(H53="승",J42,-5)</f>
        <v>16</v>
      </c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</row>
    <row r="54" spans="2:38">
      <c r="B54" s="20" t="s">
        <v>112</v>
      </c>
      <c r="C54" s="22" t="s">
        <v>119</v>
      </c>
      <c r="D54" s="22" t="s">
        <v>120</v>
      </c>
      <c r="E54" s="22" t="s">
        <v>121</v>
      </c>
      <c r="F54" s="22" t="s">
        <v>122</v>
      </c>
      <c r="G54" s="335"/>
      <c r="H54" s="336"/>
      <c r="I54" s="331"/>
      <c r="J54" s="21"/>
      <c r="K54" s="21"/>
      <c r="L54" s="21"/>
      <c r="M54" s="21"/>
      <c r="N54" s="21"/>
      <c r="O54" s="21"/>
      <c r="P54" s="21"/>
      <c r="Q54" s="21"/>
      <c r="R54" s="21"/>
      <c r="S54" s="21"/>
      <c r="T54" s="21"/>
      <c r="U54" s="21"/>
      <c r="V54" s="21"/>
      <c r="W54" s="21"/>
      <c r="X54" s="21"/>
      <c r="Y54" s="21"/>
      <c r="Z54" s="21"/>
    </row>
    <row r="55" spans="2:38">
      <c r="B55" s="20" t="s">
        <v>110</v>
      </c>
      <c r="C55" s="19" t="str">
        <f>HLOOKUP(C53,$C$3:$AU$9,7,FALSE)</f>
        <v>브론즈</v>
      </c>
      <c r="D55" s="19" t="str">
        <f>HLOOKUP(D53,$C$3:$AU$9,7,FALSE)</f>
        <v>플레티넘</v>
      </c>
      <c r="E55" s="19" t="str">
        <f>HLOOKUP(E53,$C$3:$AU$9,7,FALSE)</f>
        <v>플레티넘</v>
      </c>
      <c r="F55" s="19" t="str">
        <f>HLOOKUP(F53,$C$3:$AU$9,7,FALSE)</f>
        <v>골드</v>
      </c>
      <c r="G55" s="335"/>
      <c r="H55" s="336"/>
      <c r="I55" s="331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</row>
    <row r="56" spans="2:38">
      <c r="B56" s="20" t="s">
        <v>153</v>
      </c>
      <c r="C56" s="66">
        <f>IF($H$53="승",IF(C55="다이아",$E$67,IF(C55="플레티넘",$E$68,IF(C55="골드",$E$69,IF(C55="실버",$E$70,IF(C55="브론즈",$E$71,IF(C55="아이언",$E$72,$E$73))))))+HLOOKUP(C53,$C$3:$AU$9,6,FALSE),1)</f>
        <v>1.2170132325141776</v>
      </c>
      <c r="D56" s="66">
        <f t="shared" ref="D56:F56" si="24">IF($H$53="승",IF(D55="다이아",$E$67,IF(D55="플레티넘",$E$68,IF(D55="골드",$E$69,IF(D55="실버",$E$70,IF(D55="브론즈",$E$71,IF(D55="아이언",$E$72,$E$73))))))+HLOOKUP(D53,$C$3:$AU$9,6,FALSE),1)</f>
        <v>0.67378121284185499</v>
      </c>
      <c r="E56" s="66">
        <f t="shared" si="24"/>
        <v>0.66562500000000002</v>
      </c>
      <c r="F56" s="66">
        <f t="shared" si="24"/>
        <v>0.81185185185185194</v>
      </c>
      <c r="G56" s="335"/>
      <c r="H56" s="336"/>
      <c r="I56" s="331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</row>
    <row r="57" spans="2:38">
      <c r="B57" s="20" t="s">
        <v>63</v>
      </c>
      <c r="C57" s="22" t="str">
        <f>IF(B46="O","주","부")</f>
        <v>부</v>
      </c>
      <c r="D57" s="22" t="str">
        <f t="shared" ref="D57:F57" si="25">IF(C46="O","주","부")</f>
        <v>주</v>
      </c>
      <c r="E57" s="22" t="str">
        <f t="shared" si="25"/>
        <v>주</v>
      </c>
      <c r="F57" s="22" t="str">
        <f t="shared" si="25"/>
        <v>주</v>
      </c>
      <c r="G57" s="335"/>
      <c r="H57" s="336"/>
      <c r="I57" s="331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</row>
    <row r="58" spans="2:38">
      <c r="B58" s="350" t="s">
        <v>117</v>
      </c>
      <c r="C58" s="351"/>
      <c r="D58" s="351"/>
      <c r="E58" s="351"/>
      <c r="F58" s="351"/>
      <c r="G58" s="351"/>
      <c r="H58" s="351"/>
      <c r="I58" s="352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6"/>
      <c r="W58" s="16"/>
      <c r="X58" s="16"/>
      <c r="Y58" s="16"/>
      <c r="Z58" s="16"/>
    </row>
    <row r="59" spans="2:38">
      <c r="B59" s="185" t="s">
        <v>58</v>
      </c>
      <c r="C59" s="265" t="s">
        <v>439</v>
      </c>
      <c r="D59" s="265" t="s">
        <v>436</v>
      </c>
      <c r="E59" s="265" t="s">
        <v>438</v>
      </c>
      <c r="F59" s="265" t="s">
        <v>445</v>
      </c>
      <c r="G59" s="337">
        <f>SUM(F44:I44)</f>
        <v>48</v>
      </c>
      <c r="H59" s="340" t="s">
        <v>1</v>
      </c>
      <c r="I59" s="347">
        <f>IF(H59="승",J44,-5)</f>
        <v>-5</v>
      </c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16"/>
    </row>
    <row r="60" spans="2:38">
      <c r="B60" s="185" t="s">
        <v>112</v>
      </c>
      <c r="C60" s="183" t="s">
        <v>119</v>
      </c>
      <c r="D60" s="183" t="s">
        <v>120</v>
      </c>
      <c r="E60" s="183" t="s">
        <v>121</v>
      </c>
      <c r="F60" s="183" t="s">
        <v>122</v>
      </c>
      <c r="G60" s="338"/>
      <c r="H60" s="341"/>
      <c r="I60" s="348"/>
      <c r="J60" s="21"/>
      <c r="K60" s="21"/>
      <c r="L60" s="21"/>
      <c r="M60" s="21"/>
      <c r="N60" s="21"/>
      <c r="O60" s="21"/>
      <c r="P60" s="21"/>
      <c r="Q60" s="21"/>
      <c r="R60" s="21"/>
      <c r="S60" s="21"/>
      <c r="T60" s="21"/>
      <c r="U60" s="21"/>
      <c r="V60" s="21"/>
      <c r="W60" s="21"/>
      <c r="X60" s="21"/>
      <c r="Y60" s="21"/>
      <c r="Z60" s="21"/>
    </row>
    <row r="61" spans="2:38">
      <c r="B61" s="185" t="s">
        <v>110</v>
      </c>
      <c r="C61" s="183" t="str">
        <f>HLOOKUP(C59,$C$3:$AU$9,7,FALSE)</f>
        <v>아이언</v>
      </c>
      <c r="D61" s="183" t="str">
        <f>HLOOKUP(D59,$C$3:$AU$9,7,FALSE)</f>
        <v>다이아</v>
      </c>
      <c r="E61" s="183" t="str">
        <f>HLOOKUP(E59,$C$3:$AU$9,7,FALSE)</f>
        <v>실버</v>
      </c>
      <c r="F61" s="183" t="str">
        <f>HLOOKUP(F59,$C$3:$AU$9,7,FALSE)</f>
        <v>브론즈</v>
      </c>
      <c r="G61" s="338"/>
      <c r="H61" s="341"/>
      <c r="I61" s="348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</row>
    <row r="62" spans="2:38">
      <c r="B62" s="185" t="s">
        <v>153</v>
      </c>
      <c r="C62" s="66">
        <f>IF($H$59="승",IF(C61="다이아",$E$67,IF(C61="플레티넘",$E$68,IF(C61="골드",$E$69,IF(C61="실버",$E$70,IF(C61="브론즈",$E$71,IF(C61="아이언",$E$72,$E$73))))))+HLOOKUP(C59,$C$3:$AU$9,6,FALSE),1)</f>
        <v>1</v>
      </c>
      <c r="D62" s="66">
        <f t="shared" ref="D62:F62" si="26">IF($H$59="승",IF(D61="다이아",$E$67,IF(D61="플레티넘",$E$68,IF(D61="골드",$E$69,IF(D61="실버",$E$70,IF(D61="브론즈",$E$71,IF(D61="아이언",$E$72,$E$73))))))+HLOOKUP(D59,$C$3:$AU$9,6,FALSE),1)</f>
        <v>1</v>
      </c>
      <c r="E62" s="66">
        <f t="shared" si="26"/>
        <v>1</v>
      </c>
      <c r="F62" s="66">
        <f t="shared" si="26"/>
        <v>1</v>
      </c>
      <c r="G62" s="338"/>
      <c r="H62" s="341"/>
      <c r="I62" s="348"/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</row>
    <row r="63" spans="2:38">
      <c r="B63" s="185" t="s">
        <v>63</v>
      </c>
      <c r="C63" s="183" t="str">
        <f>IF(B47="O","주","부")</f>
        <v>주</v>
      </c>
      <c r="D63" s="183" t="str">
        <f>IF(C47="O","주","부")</f>
        <v>주</v>
      </c>
      <c r="E63" s="183" t="str">
        <f>IF(D47="O","주","부")</f>
        <v>주</v>
      </c>
      <c r="F63" s="183" t="str">
        <f>IF(E47="O","주","부")</f>
        <v>주</v>
      </c>
      <c r="G63" s="339"/>
      <c r="H63" s="342"/>
      <c r="I63" s="349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6"/>
      <c r="W63" s="16"/>
      <c r="X63" s="16"/>
      <c r="Y63" s="16"/>
      <c r="Z63" s="16"/>
    </row>
    <row r="64" spans="2:38">
      <c r="T64" s="54"/>
      <c r="U64" s="54"/>
      <c r="V64" s="54"/>
      <c r="W64" s="54"/>
      <c r="X64" s="54"/>
      <c r="Y64" s="54"/>
      <c r="Z64" s="54"/>
      <c r="AA64" s="54"/>
      <c r="AB64" s="54"/>
      <c r="AC64" s="54"/>
      <c r="AD64" s="54"/>
      <c r="AE64" s="54"/>
      <c r="AF64" s="54"/>
      <c r="AG64" s="54"/>
      <c r="AH64" s="54"/>
      <c r="AI64" s="54"/>
      <c r="AJ64" s="54"/>
      <c r="AK64" s="54"/>
      <c r="AL64" s="54"/>
    </row>
    <row r="65" spans="2:38">
      <c r="T65" s="54"/>
      <c r="U65" s="54"/>
      <c r="V65" s="54"/>
      <c r="W65" s="54"/>
      <c r="X65" s="325"/>
      <c r="Y65" s="325"/>
      <c r="Z65" s="325"/>
      <c r="AA65" s="325"/>
      <c r="AB65" s="325"/>
      <c r="AC65" s="325"/>
      <c r="AD65" s="325"/>
      <c r="AE65" s="325"/>
      <c r="AF65" s="325"/>
      <c r="AG65" s="325"/>
      <c r="AH65" s="325"/>
      <c r="AI65" s="325"/>
      <c r="AJ65" s="325"/>
      <c r="AK65" s="325"/>
      <c r="AL65" s="325"/>
    </row>
    <row r="66" spans="2:38">
      <c r="B66" s="27" t="s">
        <v>147</v>
      </c>
      <c r="C66" s="27" t="s">
        <v>146</v>
      </c>
      <c r="D66" s="27" t="s">
        <v>144</v>
      </c>
      <c r="E66" s="27" t="s">
        <v>145</v>
      </c>
      <c r="H66" s="346" t="s">
        <v>8</v>
      </c>
      <c r="I66" s="346"/>
      <c r="J66" s="346"/>
      <c r="K66" s="346"/>
      <c r="L66" s="346"/>
      <c r="M66" s="346"/>
      <c r="T66" s="55"/>
      <c r="U66" s="55"/>
      <c r="V66" s="55"/>
      <c r="W66" s="55"/>
      <c r="X66" s="55"/>
      <c r="Y66" s="55"/>
      <c r="Z66" s="55"/>
      <c r="AA66" s="55"/>
      <c r="AB66" s="55"/>
      <c r="AC66" s="55"/>
      <c r="AD66" s="55"/>
      <c r="AE66" s="55"/>
      <c r="AF66" s="55"/>
      <c r="AG66" s="55"/>
      <c r="AH66" s="55"/>
      <c r="AI66" s="55"/>
      <c r="AJ66" s="55"/>
      <c r="AK66" s="55"/>
      <c r="AL66" s="55"/>
    </row>
    <row r="67" spans="2:38">
      <c r="B67" s="24" t="s">
        <v>326</v>
      </c>
      <c r="C67" s="24" t="s">
        <v>148</v>
      </c>
      <c r="D67" s="24">
        <f>C50</f>
        <v>20</v>
      </c>
      <c r="E67" s="181">
        <f>0.7-0.1</f>
        <v>0.6</v>
      </c>
      <c r="H67" s="326" t="s">
        <v>316</v>
      </c>
      <c r="I67" s="326"/>
      <c r="J67" s="326"/>
      <c r="K67" s="326"/>
      <c r="L67" s="326"/>
      <c r="M67" s="326"/>
      <c r="T67" s="56"/>
      <c r="U67" s="57"/>
      <c r="V67" s="57"/>
      <c r="W67" s="58"/>
      <c r="X67" s="57"/>
      <c r="Y67" s="57"/>
      <c r="Z67" s="59"/>
      <c r="AA67" s="54"/>
      <c r="AB67" s="54"/>
      <c r="AC67" s="54"/>
      <c r="AD67" s="54"/>
      <c r="AE67" s="54"/>
      <c r="AF67" s="54"/>
      <c r="AG67" s="54"/>
      <c r="AH67" s="54"/>
      <c r="AI67" s="54"/>
      <c r="AJ67" s="54"/>
      <c r="AK67" s="54"/>
      <c r="AL67" s="54"/>
    </row>
    <row r="68" spans="2:38">
      <c r="B68" s="26" t="s">
        <v>327</v>
      </c>
      <c r="C68" s="26" t="s">
        <v>149</v>
      </c>
      <c r="D68" s="26">
        <f>D50</f>
        <v>17</v>
      </c>
      <c r="E68" s="181">
        <f>0.75-0.1</f>
        <v>0.65</v>
      </c>
      <c r="H68" s="326" t="s">
        <v>317</v>
      </c>
      <c r="I68" s="326"/>
      <c r="J68" s="326"/>
      <c r="K68" s="326"/>
      <c r="L68" s="326"/>
      <c r="M68" s="326"/>
      <c r="T68" s="56"/>
      <c r="U68" s="57"/>
      <c r="V68" s="57"/>
      <c r="W68" s="58"/>
      <c r="X68" s="57"/>
      <c r="Y68" s="57"/>
      <c r="Z68" s="59"/>
      <c r="AA68" s="54"/>
      <c r="AB68" s="54"/>
      <c r="AC68" s="54"/>
      <c r="AD68" s="54"/>
      <c r="AE68" s="54"/>
      <c r="AF68" s="54"/>
      <c r="AG68" s="54"/>
      <c r="AH68" s="54"/>
      <c r="AI68" s="54"/>
      <c r="AJ68" s="54"/>
      <c r="AK68" s="54"/>
      <c r="AL68" s="54"/>
    </row>
    <row r="69" spans="2:38">
      <c r="B69" s="24" t="s">
        <v>328</v>
      </c>
      <c r="C69" s="24" t="s">
        <v>150</v>
      </c>
      <c r="D69" s="24">
        <f>E50</f>
        <v>14</v>
      </c>
      <c r="E69" s="181">
        <f>0.9-0.1</f>
        <v>0.8</v>
      </c>
      <c r="H69" s="326" t="s">
        <v>306</v>
      </c>
      <c r="I69" s="326"/>
      <c r="J69" s="326"/>
      <c r="K69" s="326"/>
      <c r="L69" s="326"/>
      <c r="M69" s="326"/>
      <c r="T69" s="56"/>
      <c r="U69" s="57"/>
      <c r="V69" s="57"/>
      <c r="W69" s="58"/>
      <c r="X69" s="57"/>
      <c r="Y69" s="57"/>
      <c r="Z69" s="59"/>
      <c r="AA69" s="54"/>
      <c r="AB69" s="54"/>
      <c r="AC69" s="54"/>
      <c r="AD69" s="54"/>
      <c r="AE69" s="54"/>
      <c r="AF69" s="54"/>
      <c r="AG69" s="54"/>
      <c r="AH69" s="54"/>
      <c r="AI69" s="54"/>
      <c r="AJ69" s="54"/>
      <c r="AK69" s="54"/>
      <c r="AL69" s="54"/>
    </row>
    <row r="70" spans="2:38">
      <c r="B70" s="24" t="s">
        <v>329</v>
      </c>
      <c r="C70" s="24" t="s">
        <v>151</v>
      </c>
      <c r="D70" s="24">
        <f>F50</f>
        <v>11</v>
      </c>
      <c r="E70" s="181">
        <v>1</v>
      </c>
      <c r="H70" s="326" t="s">
        <v>307</v>
      </c>
      <c r="I70" s="326"/>
      <c r="J70" s="326"/>
      <c r="K70" s="326"/>
      <c r="L70" s="326"/>
      <c r="M70" s="326"/>
      <c r="T70" s="56"/>
      <c r="U70" s="57"/>
      <c r="V70" s="57"/>
      <c r="W70" s="58"/>
      <c r="X70" s="57"/>
      <c r="Y70" s="57"/>
      <c r="Z70" s="59"/>
      <c r="AA70" s="54"/>
      <c r="AB70" s="54"/>
      <c r="AC70" s="54"/>
      <c r="AD70" s="54"/>
      <c r="AE70" s="54"/>
      <c r="AF70" s="54"/>
      <c r="AG70" s="54"/>
      <c r="AH70" s="54"/>
      <c r="AI70" s="54"/>
      <c r="AJ70" s="54"/>
      <c r="AK70" s="54"/>
      <c r="AL70" s="54"/>
    </row>
    <row r="71" spans="2:38">
      <c r="B71" s="24" t="s">
        <v>331</v>
      </c>
      <c r="C71" s="24" t="s">
        <v>152</v>
      </c>
      <c r="D71" s="24">
        <f>G50</f>
        <v>9</v>
      </c>
      <c r="E71" s="181">
        <v>1.2</v>
      </c>
      <c r="H71" s="326" t="s">
        <v>399</v>
      </c>
      <c r="I71" s="326"/>
      <c r="J71" s="326"/>
      <c r="K71" s="326"/>
      <c r="L71" s="326"/>
      <c r="M71" s="326"/>
      <c r="T71" s="56"/>
      <c r="U71" s="57"/>
      <c r="V71" s="57"/>
      <c r="W71" s="58"/>
      <c r="X71" s="57"/>
      <c r="Y71" s="57"/>
      <c r="Z71" s="59"/>
      <c r="AA71" s="54"/>
      <c r="AB71" s="54"/>
      <c r="AC71" s="54"/>
      <c r="AD71" s="54"/>
      <c r="AE71" s="54"/>
      <c r="AF71" s="54"/>
      <c r="AG71" s="54"/>
      <c r="AH71" s="54"/>
      <c r="AI71" s="54"/>
      <c r="AJ71" s="54"/>
      <c r="AK71" s="54"/>
      <c r="AL71" s="54"/>
    </row>
    <row r="72" spans="2:38">
      <c r="B72" s="24" t="s">
        <v>332</v>
      </c>
      <c r="C72" s="24" t="s">
        <v>325</v>
      </c>
      <c r="D72" s="24">
        <f>I50</f>
        <v>8</v>
      </c>
      <c r="E72" s="181">
        <v>1.3</v>
      </c>
      <c r="H72" s="326" t="s">
        <v>308</v>
      </c>
      <c r="I72" s="326"/>
      <c r="J72" s="326"/>
      <c r="K72" s="326"/>
      <c r="L72" s="326"/>
      <c r="M72" s="326"/>
      <c r="T72" s="56"/>
      <c r="U72" s="57"/>
      <c r="V72" s="57"/>
      <c r="W72" s="58"/>
      <c r="X72" s="57"/>
      <c r="Y72" s="57"/>
      <c r="Z72" s="59"/>
      <c r="AA72" s="54"/>
      <c r="AB72" s="54"/>
      <c r="AC72" s="54"/>
      <c r="AD72" s="54"/>
      <c r="AE72" s="54"/>
      <c r="AF72" s="54"/>
      <c r="AG72" s="54"/>
      <c r="AH72" s="54"/>
      <c r="AI72" s="54"/>
      <c r="AJ72" s="54"/>
      <c r="AK72" s="54"/>
      <c r="AL72" s="54"/>
    </row>
    <row r="73" spans="2:38">
      <c r="B73" s="177" t="s">
        <v>330</v>
      </c>
      <c r="C73" s="177" t="s">
        <v>67</v>
      </c>
      <c r="D73" s="177">
        <f>H50</f>
        <v>10</v>
      </c>
      <c r="E73" s="181">
        <f>1-0.1</f>
        <v>0.9</v>
      </c>
      <c r="H73" s="326" t="s">
        <v>309</v>
      </c>
      <c r="I73" s="326"/>
      <c r="J73" s="326"/>
      <c r="K73" s="326"/>
      <c r="L73" s="326"/>
      <c r="M73" s="326"/>
      <c r="T73" s="56"/>
      <c r="U73" s="57"/>
      <c r="V73" s="57"/>
      <c r="W73" s="58"/>
      <c r="X73" s="57"/>
      <c r="Y73" s="57"/>
      <c r="Z73" s="59"/>
      <c r="AA73" s="54"/>
      <c r="AB73" s="54"/>
      <c r="AC73" s="54"/>
      <c r="AD73" s="54"/>
      <c r="AE73" s="54"/>
      <c r="AF73" s="54"/>
      <c r="AG73" s="54"/>
      <c r="AH73" s="54"/>
      <c r="AI73" s="54"/>
      <c r="AJ73" s="54"/>
      <c r="AK73" s="54"/>
      <c r="AL73" s="54"/>
    </row>
    <row r="74" spans="2:38">
      <c r="B74" s="326" t="s">
        <v>70</v>
      </c>
      <c r="C74" s="326"/>
      <c r="D74" s="326"/>
      <c r="E74" s="326"/>
      <c r="H74" s="326" t="s">
        <v>310</v>
      </c>
      <c r="I74" s="326"/>
      <c r="J74" s="326"/>
      <c r="K74" s="326"/>
      <c r="L74" s="326"/>
      <c r="M74" s="326"/>
      <c r="T74" s="56"/>
      <c r="U74" s="57"/>
      <c r="V74" s="57"/>
      <c r="W74" s="58"/>
      <c r="X74" s="57"/>
      <c r="Y74" s="57"/>
      <c r="Z74" s="59"/>
      <c r="AA74" s="54"/>
      <c r="AB74" s="54"/>
      <c r="AC74" s="54"/>
      <c r="AD74" s="54"/>
      <c r="AE74" s="54"/>
      <c r="AF74" s="54"/>
      <c r="AG74" s="54"/>
      <c r="AH74" s="54"/>
      <c r="AI74" s="54"/>
      <c r="AJ74" s="54"/>
      <c r="AK74" s="54"/>
      <c r="AL74" s="54"/>
    </row>
    <row r="75" spans="2:38">
      <c r="B75" s="327" t="s">
        <v>71</v>
      </c>
      <c r="C75" s="328"/>
      <c r="D75" s="328"/>
      <c r="E75" s="329"/>
      <c r="H75" s="326" t="s">
        <v>311</v>
      </c>
      <c r="I75" s="326"/>
      <c r="J75" s="326"/>
      <c r="K75" s="326"/>
      <c r="L75" s="326"/>
      <c r="M75" s="326"/>
      <c r="T75" s="56"/>
      <c r="U75" s="57"/>
      <c r="V75" s="57"/>
      <c r="W75" s="58"/>
      <c r="X75" s="57"/>
      <c r="Y75" s="57"/>
      <c r="Z75" s="59"/>
      <c r="AA75" s="54"/>
      <c r="AB75" s="54"/>
      <c r="AC75" s="54"/>
      <c r="AD75" s="54"/>
      <c r="AE75" s="54"/>
      <c r="AF75" s="54"/>
      <c r="AG75" s="54"/>
      <c r="AH75" s="54"/>
      <c r="AI75" s="54"/>
      <c r="AJ75" s="54"/>
      <c r="AK75" s="54"/>
      <c r="AL75" s="54"/>
    </row>
    <row r="76" spans="2:38">
      <c r="B76" s="322" t="s">
        <v>139</v>
      </c>
      <c r="C76" s="323"/>
      <c r="D76" s="323"/>
      <c r="E76" s="324"/>
      <c r="H76" s="326" t="s">
        <v>312</v>
      </c>
      <c r="I76" s="326"/>
      <c r="J76" s="326"/>
      <c r="K76" s="326"/>
      <c r="L76" s="326"/>
      <c r="M76" s="326"/>
      <c r="T76" s="56"/>
      <c r="U76" s="57"/>
      <c r="V76" s="57"/>
      <c r="W76" s="58"/>
      <c r="X76" s="57"/>
      <c r="Y76" s="57"/>
      <c r="Z76" s="59"/>
      <c r="AA76" s="54"/>
      <c r="AB76" s="54"/>
      <c r="AC76" s="54"/>
      <c r="AD76" s="54"/>
      <c r="AE76" s="54"/>
      <c r="AF76" s="54"/>
      <c r="AG76" s="54"/>
      <c r="AH76" s="54"/>
      <c r="AI76" s="54"/>
      <c r="AJ76" s="54"/>
      <c r="AK76" s="54"/>
      <c r="AL76" s="54"/>
    </row>
    <row r="77" spans="2:38">
      <c r="B77" s="156"/>
      <c r="H77" s="326" t="s">
        <v>313</v>
      </c>
      <c r="I77" s="326"/>
      <c r="J77" s="326"/>
      <c r="K77" s="326"/>
      <c r="L77" s="326"/>
      <c r="M77" s="326"/>
      <c r="T77" s="56"/>
      <c r="U77" s="155"/>
      <c r="V77" s="155"/>
      <c r="W77" s="58"/>
      <c r="X77" s="155"/>
      <c r="Y77" s="155"/>
      <c r="Z77" s="59"/>
      <c r="AA77" s="54"/>
      <c r="AB77" s="54"/>
      <c r="AC77" s="54"/>
      <c r="AD77" s="54"/>
      <c r="AE77" s="54"/>
      <c r="AF77" s="54"/>
      <c r="AG77" s="54"/>
      <c r="AH77" s="54"/>
      <c r="AI77" s="54"/>
      <c r="AJ77" s="54"/>
      <c r="AK77" s="54"/>
      <c r="AL77" s="54"/>
    </row>
    <row r="78" spans="2:38">
      <c r="B78" s="165"/>
      <c r="H78" s="326" t="s">
        <v>318</v>
      </c>
      <c r="I78" s="326"/>
      <c r="J78" s="326"/>
      <c r="K78" s="326"/>
      <c r="L78" s="326"/>
      <c r="M78" s="326"/>
      <c r="T78" s="56"/>
      <c r="U78" s="166"/>
      <c r="V78" s="166"/>
      <c r="W78" s="58"/>
      <c r="X78" s="166"/>
      <c r="Y78" s="166"/>
      <c r="Z78" s="59"/>
      <c r="AA78" s="54"/>
      <c r="AB78" s="54"/>
      <c r="AC78" s="54"/>
      <c r="AD78" s="54"/>
      <c r="AE78" s="54"/>
      <c r="AF78" s="54"/>
      <c r="AG78" s="54"/>
      <c r="AH78" s="54"/>
      <c r="AI78" s="54"/>
      <c r="AJ78" s="54"/>
      <c r="AK78" s="54"/>
      <c r="AL78" s="54"/>
    </row>
    <row r="79" spans="2:38">
      <c r="B79" s="156"/>
      <c r="H79" s="326" t="s">
        <v>314</v>
      </c>
      <c r="I79" s="326"/>
      <c r="J79" s="326"/>
      <c r="K79" s="326"/>
      <c r="L79" s="326"/>
      <c r="M79" s="326"/>
      <c r="T79" s="56"/>
      <c r="U79" s="155"/>
      <c r="V79" s="155"/>
      <c r="W79" s="58"/>
      <c r="X79" s="155"/>
      <c r="Y79" s="155"/>
      <c r="Z79" s="59"/>
      <c r="AA79" s="54"/>
      <c r="AB79" s="54"/>
      <c r="AC79" s="54"/>
      <c r="AD79" s="54"/>
      <c r="AE79" s="54"/>
      <c r="AF79" s="54"/>
      <c r="AG79" s="54"/>
      <c r="AH79" s="54"/>
      <c r="AI79" s="54"/>
      <c r="AJ79" s="54"/>
      <c r="AK79" s="54"/>
      <c r="AL79" s="54"/>
    </row>
    <row r="80" spans="2:38">
      <c r="T80" s="56"/>
      <c r="U80" s="57"/>
      <c r="V80" s="57"/>
      <c r="W80" s="58"/>
      <c r="X80" s="57"/>
      <c r="Y80" s="57"/>
      <c r="Z80" s="59"/>
      <c r="AA80" s="54"/>
      <c r="AB80" s="54"/>
      <c r="AC80" s="54"/>
      <c r="AD80" s="54"/>
      <c r="AE80" s="54"/>
      <c r="AF80" s="54"/>
      <c r="AG80" s="54"/>
      <c r="AH80" s="54"/>
      <c r="AI80" s="54"/>
      <c r="AJ80" s="54"/>
      <c r="AK80" s="54"/>
      <c r="AL80" s="54"/>
    </row>
    <row r="81" spans="1:38">
      <c r="T81" s="56"/>
      <c r="U81" s="57"/>
      <c r="V81" s="57"/>
      <c r="W81" s="58"/>
      <c r="X81" s="57"/>
      <c r="Y81" s="57"/>
      <c r="Z81" s="59"/>
      <c r="AA81" s="54"/>
      <c r="AB81" s="54"/>
      <c r="AC81" s="54"/>
      <c r="AD81" s="54"/>
      <c r="AE81" s="54"/>
      <c r="AF81" s="54"/>
      <c r="AG81" s="54"/>
      <c r="AH81" s="54"/>
      <c r="AI81" s="54"/>
      <c r="AJ81" s="54"/>
      <c r="AK81" s="54"/>
      <c r="AL81" s="54"/>
    </row>
    <row r="82" spans="1:38">
      <c r="B82"/>
      <c r="H82" s="308" t="s">
        <v>163</v>
      </c>
      <c r="I82" s="309"/>
      <c r="J82" s="310"/>
      <c r="K82" s="311" t="s">
        <v>405</v>
      </c>
      <c r="L82" s="312"/>
      <c r="M82" s="313"/>
      <c r="N82" s="314" t="s">
        <v>406</v>
      </c>
      <c r="O82" s="315"/>
      <c r="P82" s="316"/>
      <c r="Q82" s="317" t="s">
        <v>407</v>
      </c>
      <c r="R82" s="318"/>
      <c r="S82" s="319"/>
      <c r="T82" s="320" t="s">
        <v>408</v>
      </c>
      <c r="U82" s="321"/>
      <c r="V82" s="321"/>
      <c r="W82" s="58"/>
      <c r="X82" s="57"/>
      <c r="Y82" s="57"/>
      <c r="Z82" s="59"/>
      <c r="AA82" s="54"/>
    </row>
    <row r="83" spans="1:38">
      <c r="A83" s="194"/>
      <c r="B83" s="51" t="s">
        <v>404</v>
      </c>
      <c r="C83" s="51" t="s">
        <v>51</v>
      </c>
      <c r="D83" s="62" t="s">
        <v>322</v>
      </c>
      <c r="E83" s="206" t="s">
        <v>52</v>
      </c>
      <c r="F83" s="60" t="s">
        <v>403</v>
      </c>
      <c r="G83" s="61" t="s">
        <v>402</v>
      </c>
      <c r="H83" s="60" t="s">
        <v>409</v>
      </c>
      <c r="I83" s="218" t="s">
        <v>410</v>
      </c>
      <c r="J83" s="61" t="s">
        <v>411</v>
      </c>
      <c r="K83" s="60" t="s">
        <v>409</v>
      </c>
      <c r="L83" s="218" t="s">
        <v>410</v>
      </c>
      <c r="M83" s="61" t="s">
        <v>411</v>
      </c>
      <c r="N83" s="218" t="s">
        <v>409</v>
      </c>
      <c r="O83" s="218" t="s">
        <v>410</v>
      </c>
      <c r="P83" s="219" t="s">
        <v>411</v>
      </c>
      <c r="Q83" s="60" t="s">
        <v>409</v>
      </c>
      <c r="R83" s="218" t="s">
        <v>410</v>
      </c>
      <c r="S83" s="61" t="s">
        <v>411</v>
      </c>
      <c r="T83" s="218" t="s">
        <v>409</v>
      </c>
      <c r="U83" s="218" t="s">
        <v>410</v>
      </c>
      <c r="V83" s="219" t="s">
        <v>411</v>
      </c>
      <c r="W83" s="195"/>
      <c r="X83" s="195"/>
      <c r="Y83" s="195"/>
    </row>
    <row r="84" spans="1:38">
      <c r="B84" s="52" t="s">
        <v>165</v>
      </c>
      <c r="C84" s="49" t="str">
        <f>$C$31</f>
        <v>다이아</v>
      </c>
      <c r="D84" s="129" t="str">
        <f>$C$32</f>
        <v>살수</v>
      </c>
      <c r="E84" s="207">
        <f>HLOOKUP(D84,$C$3:$AU$10,8,FALSE)</f>
        <v>287.32850256898894</v>
      </c>
      <c r="F84" s="199">
        <f>HLOOKUP(D84,조편성_MMR!$C$20:$AU$30,10,0)</f>
        <v>0</v>
      </c>
      <c r="G84" s="217">
        <f>HLOOKUP(D84,$C$3:$AU$10,5,FALSE)</f>
        <v>34</v>
      </c>
      <c r="H84" s="220">
        <f>HLOOKUP(D84,$C$3:$AU$10,2,FALSE)</f>
        <v>22</v>
      </c>
      <c r="I84" s="49">
        <f>HLOOKUP(D84,$C$3:$AU$10,3,FALSE)</f>
        <v>12</v>
      </c>
      <c r="J84" s="221">
        <f>HLOOKUP(D84,$C$3:$AU$10,4,FALSE)</f>
        <v>0.6470588235294118</v>
      </c>
      <c r="K84" s="220">
        <f>VLOOKUP(D84,현재시즌_캐릭별전적!$M$4:$Y$50,2,FALSE)</f>
        <v>6</v>
      </c>
      <c r="L84" s="49">
        <f>VLOOKUP(D84,현재시즌_캐릭별전적!$M$4:$Y$50,3,FALSE)</f>
        <v>1</v>
      </c>
      <c r="M84" s="221">
        <f>VLOOKUP(D84,현재시즌_캐릭별전적!$M$4:$Y$50,4,FALSE)</f>
        <v>0.8571428571428571</v>
      </c>
      <c r="N84" s="222">
        <f>VLOOKUP(D84,현재시즌_캐릭별전적!$M$4:$Y$50,5,FALSE)</f>
        <v>7</v>
      </c>
      <c r="O84" s="49">
        <f>VLOOKUP(D84,현재시즌_캐릭별전적!$M$4:$Y$50,6,FALSE)</f>
        <v>5</v>
      </c>
      <c r="P84" s="223">
        <f>VLOOKUP(D84,현재시즌_캐릭별전적!$M$4:$Y$50,7,FALSE)</f>
        <v>0.58333333333333337</v>
      </c>
      <c r="Q84" s="220">
        <f>VLOOKUP(D84,현재시즌_캐릭별전적!$M$4:$Y$50,8,FALSE)</f>
        <v>5</v>
      </c>
      <c r="R84" s="49">
        <f>VLOOKUP(D84,현재시즌_캐릭별전적!$M$4:$Y$50,9,FALSE)</f>
        <v>3</v>
      </c>
      <c r="S84" s="221">
        <f>VLOOKUP(D84,현재시즌_캐릭별전적!$M$4:$Y$50,10,FALSE)</f>
        <v>0.625</v>
      </c>
      <c r="T84" s="222">
        <f>VLOOKUP(D84,현재시즌_캐릭별전적!$M$4:$Y$50,11,FALSE)</f>
        <v>4</v>
      </c>
      <c r="U84" s="49">
        <f>VLOOKUP(D84,현재시즌_캐릭별전적!$M$4:$Y$50,12,FALSE)</f>
        <v>3</v>
      </c>
      <c r="V84" s="224">
        <f>VLOOKUP(D84,현재시즌_캐릭별전적!$M$4:$Y$50,13,FALSE)</f>
        <v>0.5714285714285714</v>
      </c>
      <c r="W84" s="195"/>
      <c r="X84" s="195"/>
      <c r="Y84" s="195"/>
    </row>
    <row r="85" spans="1:38">
      <c r="B85" s="52" t="s">
        <v>166</v>
      </c>
      <c r="C85" s="49" t="str">
        <f>$D$31</f>
        <v>다이아</v>
      </c>
      <c r="D85" s="129" t="str">
        <f>$D$32</f>
        <v>린스</v>
      </c>
      <c r="E85" s="207">
        <f t="shared" ref="E85:E103" si="27">HLOOKUP(D85,$C$3:$AU$10,8,FALSE)</f>
        <v>252.96698966987086</v>
      </c>
      <c r="F85" s="199">
        <f>HLOOKUP(D85,조편성_MMR!$C$20:$AU$30,10,0)</f>
        <v>0</v>
      </c>
      <c r="G85" s="217">
        <f t="shared" ref="G85:G103" si="28">HLOOKUP(D85,$C$3:$AU$10,5,FALSE)</f>
        <v>42</v>
      </c>
      <c r="H85" s="220">
        <f t="shared" ref="H85:H103" si="29">HLOOKUP(D85,$C$3:$AU$10,2,FALSE)</f>
        <v>27</v>
      </c>
      <c r="I85" s="49">
        <f t="shared" ref="I85:I103" si="30">HLOOKUP(D85,$C$3:$AU$10,3,FALSE)</f>
        <v>15</v>
      </c>
      <c r="J85" s="221">
        <f t="shared" ref="J85:J103" si="31">HLOOKUP(D85,$C$3:$AU$10,4,FALSE)</f>
        <v>0.6428571428571429</v>
      </c>
      <c r="K85" s="220">
        <f>VLOOKUP(D85,현재시즌_캐릭별전적!$M$4:$Y$50,2,FALSE)</f>
        <v>9</v>
      </c>
      <c r="L85" s="49">
        <f>VLOOKUP(D85,현재시즌_캐릭별전적!$M$4:$Y$50,3,FALSE)</f>
        <v>4</v>
      </c>
      <c r="M85" s="221">
        <f>VLOOKUP(D85,현재시즌_캐릭별전적!$M$4:$Y$50,4,FALSE)</f>
        <v>0.69230769230769229</v>
      </c>
      <c r="N85" s="222">
        <f>VLOOKUP(D85,현재시즌_캐릭별전적!$M$4:$Y$50,5,FALSE)</f>
        <v>2</v>
      </c>
      <c r="O85" s="49">
        <f>VLOOKUP(D85,현재시즌_캐릭별전적!$M$4:$Y$50,6,FALSE)</f>
        <v>2</v>
      </c>
      <c r="P85" s="223">
        <f>VLOOKUP(D85,현재시즌_캐릭별전적!$M$4:$Y$50,7,FALSE)</f>
        <v>0.5</v>
      </c>
      <c r="Q85" s="220">
        <f>VLOOKUP(D85,현재시즌_캐릭별전적!$M$4:$Y$50,8,FALSE)</f>
        <v>11</v>
      </c>
      <c r="R85" s="49">
        <f>VLOOKUP(D85,현재시즌_캐릭별전적!$M$4:$Y$50,9,FALSE)</f>
        <v>6</v>
      </c>
      <c r="S85" s="221">
        <f>VLOOKUP(D85,현재시즌_캐릭별전적!$M$4:$Y$50,10,FALSE)</f>
        <v>0.6470588235294118</v>
      </c>
      <c r="T85" s="222">
        <f>VLOOKUP(D85,현재시즌_캐릭별전적!$M$4:$Y$50,11,FALSE)</f>
        <v>5</v>
      </c>
      <c r="U85" s="49">
        <f>VLOOKUP(D85,현재시즌_캐릭별전적!$M$4:$Y$50,12,FALSE)</f>
        <v>3</v>
      </c>
      <c r="V85" s="224">
        <f>VLOOKUP(D85,현재시즌_캐릭별전적!$M$4:$Y$50,13,FALSE)</f>
        <v>0.625</v>
      </c>
      <c r="W85" s="195"/>
      <c r="X85" s="195"/>
      <c r="Y85" s="195"/>
    </row>
    <row r="86" spans="1:38">
      <c r="B86" s="52" t="s">
        <v>179</v>
      </c>
      <c r="C86" s="48" t="str">
        <f>$E$31</f>
        <v>플레티넘</v>
      </c>
      <c r="D86" s="201" t="str">
        <f>$E$32</f>
        <v>용갈</v>
      </c>
      <c r="E86" s="208">
        <f t="shared" si="27"/>
        <v>251.46877210208564</v>
      </c>
      <c r="F86" s="272">
        <f>HLOOKUP(D86,조편성_MMR!$C$20:$AU$30,10,0)</f>
        <v>0</v>
      </c>
      <c r="G86" s="209">
        <f t="shared" si="28"/>
        <v>43</v>
      </c>
      <c r="H86" s="225">
        <f t="shared" si="29"/>
        <v>22</v>
      </c>
      <c r="I86" s="198">
        <f t="shared" si="30"/>
        <v>21</v>
      </c>
      <c r="J86" s="226">
        <f t="shared" si="31"/>
        <v>0.51162790697674421</v>
      </c>
      <c r="K86" s="225">
        <f>VLOOKUP(D86,현재시즌_캐릭별전적!$M$4:$Y$50,2,FALSE)</f>
        <v>15</v>
      </c>
      <c r="L86" s="198">
        <f>VLOOKUP(D86,현재시즌_캐릭별전적!$M$4:$Y$50,3,FALSE)</f>
        <v>12</v>
      </c>
      <c r="M86" s="226">
        <f>VLOOKUP(D86,현재시즌_캐릭별전적!$M$4:$Y$50,4,FALSE)</f>
        <v>0.55555555555555558</v>
      </c>
      <c r="N86" s="227">
        <f>VLOOKUP(D86,현재시즌_캐릭별전적!$M$4:$Y$50,5,FALSE)</f>
        <v>0</v>
      </c>
      <c r="O86" s="198">
        <f>VLOOKUP(D86,현재시즌_캐릭별전적!$M$4:$Y$50,6,FALSE)</f>
        <v>0</v>
      </c>
      <c r="P86" s="228" t="str">
        <f>VLOOKUP(D86,현재시즌_캐릭별전적!$M$4:$Y$50,7,FALSE)</f>
        <v>-</v>
      </c>
      <c r="Q86" s="225">
        <f>VLOOKUP(D86,현재시즌_캐릭별전적!$M$4:$Y$50,8,FALSE)</f>
        <v>6</v>
      </c>
      <c r="R86" s="198">
        <f>VLOOKUP(D86,현재시즌_캐릭별전적!$M$4:$Y$50,9,FALSE)</f>
        <v>9</v>
      </c>
      <c r="S86" s="226">
        <f>VLOOKUP(D86,현재시즌_캐릭별전적!$M$4:$Y$50,10,FALSE)</f>
        <v>0.4</v>
      </c>
      <c r="T86" s="227">
        <f>VLOOKUP(D86,현재시즌_캐릭별전적!$M$4:$Y$50,11,FALSE)</f>
        <v>1</v>
      </c>
      <c r="U86" s="198">
        <f>VLOOKUP(D86,현재시즌_캐릭별전적!$M$4:$Y$50,12,FALSE)</f>
        <v>0</v>
      </c>
      <c r="V86" s="229">
        <f>VLOOKUP(D86,현재시즌_캐릭별전적!$M$4:$Y$50,13,FALSE)</f>
        <v>1</v>
      </c>
      <c r="W86" s="195"/>
      <c r="X86" s="195"/>
      <c r="Y86" s="195"/>
    </row>
    <row r="87" spans="1:38">
      <c r="B87" s="52" t="s">
        <v>167</v>
      </c>
      <c r="C87" s="48" t="str">
        <f>$F$31</f>
        <v>플레티넘</v>
      </c>
      <c r="D87" s="201" t="str">
        <f>$F$32</f>
        <v>울프</v>
      </c>
      <c r="E87" s="208">
        <f t="shared" si="27"/>
        <v>240.12987333318313</v>
      </c>
      <c r="F87" s="272">
        <f>HLOOKUP(D87,조편성_MMR!$C$20:$AU$30,10,0)</f>
        <v>0</v>
      </c>
      <c r="G87" s="209">
        <f t="shared" si="28"/>
        <v>29</v>
      </c>
      <c r="H87" s="225">
        <f t="shared" si="29"/>
        <v>20</v>
      </c>
      <c r="I87" s="198">
        <f t="shared" si="30"/>
        <v>9</v>
      </c>
      <c r="J87" s="226">
        <f t="shared" si="31"/>
        <v>0.68965517241379315</v>
      </c>
      <c r="K87" s="225">
        <f>VLOOKUP(D87,현재시즌_캐릭별전적!$M$4:$Y$50,2,FALSE)</f>
        <v>0</v>
      </c>
      <c r="L87" s="198">
        <f>VLOOKUP(D87,현재시즌_캐릭별전적!$M$4:$Y$50,3,FALSE)</f>
        <v>0</v>
      </c>
      <c r="M87" s="226" t="str">
        <f>VLOOKUP(D87,현재시즌_캐릭별전적!$M$4:$Y$50,4,FALSE)</f>
        <v>-</v>
      </c>
      <c r="N87" s="227">
        <f>VLOOKUP(D87,현재시즌_캐릭별전적!$M$4:$Y$50,5,FALSE)</f>
        <v>17</v>
      </c>
      <c r="O87" s="198">
        <f>VLOOKUP(D87,현재시즌_캐릭별전적!$M$4:$Y$50,6,FALSE)</f>
        <v>9</v>
      </c>
      <c r="P87" s="228">
        <f>VLOOKUP(D87,현재시즌_캐릭별전적!$M$4:$Y$50,7,FALSE)</f>
        <v>0.65384615384615385</v>
      </c>
      <c r="Q87" s="225">
        <f>VLOOKUP(D87,현재시즌_캐릭별전적!$M$4:$Y$50,8,FALSE)</f>
        <v>3</v>
      </c>
      <c r="R87" s="198">
        <f>VLOOKUP(D87,현재시즌_캐릭별전적!$M$4:$Y$50,9,FALSE)</f>
        <v>0</v>
      </c>
      <c r="S87" s="226">
        <f>VLOOKUP(D87,현재시즌_캐릭별전적!$M$4:$Y$50,10,FALSE)</f>
        <v>1</v>
      </c>
      <c r="T87" s="227">
        <f>VLOOKUP(D87,현재시즌_캐릭별전적!$M$4:$Y$50,11,FALSE)</f>
        <v>0</v>
      </c>
      <c r="U87" s="198">
        <f>VLOOKUP(D87,현재시즌_캐릭별전적!$M$4:$Y$50,12,FALSE)</f>
        <v>0</v>
      </c>
      <c r="V87" s="229" t="str">
        <f>VLOOKUP(D87,현재시즌_캐릭별전적!$M$4:$Y$50,13,FALSE)</f>
        <v>-</v>
      </c>
      <c r="W87" s="195"/>
      <c r="X87" s="195"/>
      <c r="Y87" s="195"/>
    </row>
    <row r="88" spans="1:38">
      <c r="B88" s="52" t="s">
        <v>168</v>
      </c>
      <c r="C88" s="68" t="str">
        <f>$G$31</f>
        <v>플레티넘</v>
      </c>
      <c r="D88" s="201" t="str">
        <f>$G$32</f>
        <v>반짝</v>
      </c>
      <c r="E88" s="208">
        <f t="shared" si="27"/>
        <v>231.92474811222843</v>
      </c>
      <c r="F88" s="272">
        <f>HLOOKUP(D88,조편성_MMR!$C$20:$AU$30,10,0)</f>
        <v>0</v>
      </c>
      <c r="G88" s="209">
        <f t="shared" si="28"/>
        <v>40</v>
      </c>
      <c r="H88" s="225">
        <f t="shared" si="29"/>
        <v>25</v>
      </c>
      <c r="I88" s="198">
        <f t="shared" si="30"/>
        <v>15</v>
      </c>
      <c r="J88" s="226">
        <f t="shared" si="31"/>
        <v>0.625</v>
      </c>
      <c r="K88" s="225">
        <f>VLOOKUP(D88,현재시즌_캐릭별전적!$M$4:$Y$50,2,FALSE)</f>
        <v>8</v>
      </c>
      <c r="L88" s="198">
        <f>VLOOKUP(D88,현재시즌_캐릭별전적!$M$4:$Y$50,3,FALSE)</f>
        <v>5</v>
      </c>
      <c r="M88" s="226">
        <f>VLOOKUP(D88,현재시즌_캐릭별전적!$M$4:$Y$50,4,FALSE)</f>
        <v>0.61538461538461542</v>
      </c>
      <c r="N88" s="227">
        <f>VLOOKUP(D88,현재시즌_캐릭별전적!$M$4:$Y$50,5,FALSE)</f>
        <v>0</v>
      </c>
      <c r="O88" s="198">
        <f>VLOOKUP(D88,현재시즌_캐릭별전적!$M$4:$Y$50,6,FALSE)</f>
        <v>0</v>
      </c>
      <c r="P88" s="228" t="str">
        <f>VLOOKUP(D88,현재시즌_캐릭별전적!$M$4:$Y$50,7,FALSE)</f>
        <v>-</v>
      </c>
      <c r="Q88" s="225">
        <f>VLOOKUP(D88,현재시즌_캐릭별전적!$M$4:$Y$50,8,FALSE)</f>
        <v>8</v>
      </c>
      <c r="R88" s="198">
        <f>VLOOKUP(D88,현재시즌_캐릭별전적!$M$4:$Y$50,9,FALSE)</f>
        <v>3</v>
      </c>
      <c r="S88" s="226">
        <f>VLOOKUP(D88,현재시즌_캐릭별전적!$M$4:$Y$50,10,FALSE)</f>
        <v>0.72727272727272729</v>
      </c>
      <c r="T88" s="227">
        <f>VLOOKUP(D88,현재시즌_캐릭별전적!$M$4:$Y$50,11,FALSE)</f>
        <v>9</v>
      </c>
      <c r="U88" s="198">
        <f>VLOOKUP(D88,현재시즌_캐릭별전적!$M$4:$Y$50,12,FALSE)</f>
        <v>7</v>
      </c>
      <c r="V88" s="229">
        <f>VLOOKUP(D88,현재시즌_캐릭별전적!$M$4:$Y$50,13,FALSE)</f>
        <v>0.5625</v>
      </c>
      <c r="W88" s="195"/>
      <c r="X88" s="195"/>
      <c r="Y88" s="195"/>
    </row>
    <row r="89" spans="1:38">
      <c r="B89" s="52" t="s">
        <v>169</v>
      </c>
      <c r="C89" s="28" t="str">
        <f>$H$31</f>
        <v>골드</v>
      </c>
      <c r="D89" s="202" t="str">
        <f>$H$32</f>
        <v>태식</v>
      </c>
      <c r="E89" s="210">
        <f t="shared" si="27"/>
        <v>230.6497533234585</v>
      </c>
      <c r="F89" s="273">
        <f>HLOOKUP(D89,조편성_MMR!$C$20:$AU$30,10,0)</f>
        <v>0</v>
      </c>
      <c r="G89" s="211">
        <f t="shared" si="28"/>
        <v>42</v>
      </c>
      <c r="H89" s="46">
        <f t="shared" si="29"/>
        <v>22</v>
      </c>
      <c r="I89" s="28">
        <f t="shared" si="30"/>
        <v>20</v>
      </c>
      <c r="J89" s="230">
        <f t="shared" si="31"/>
        <v>0.52380952380952384</v>
      </c>
      <c r="K89" s="46">
        <f>VLOOKUP(D89,현재시즌_캐릭별전적!$M$4:$Y$50,2,FALSE)</f>
        <v>5</v>
      </c>
      <c r="L89" s="28">
        <f>VLOOKUP(D89,현재시즌_캐릭별전적!$M$4:$Y$50,3,FALSE)</f>
        <v>7</v>
      </c>
      <c r="M89" s="230">
        <f>VLOOKUP(D89,현재시즌_캐릭별전적!$M$4:$Y$50,4,FALSE)</f>
        <v>0.41666666666666669</v>
      </c>
      <c r="N89" s="231">
        <f>VLOOKUP(D89,현재시즌_캐릭별전적!$M$4:$Y$50,5,FALSE)</f>
        <v>8</v>
      </c>
      <c r="O89" s="28">
        <f>VLOOKUP(D89,현재시즌_캐릭별전적!$M$4:$Y$50,6,FALSE)</f>
        <v>5</v>
      </c>
      <c r="P89" s="232">
        <f>VLOOKUP(D89,현재시즌_캐릭별전적!$M$4:$Y$50,7,FALSE)</f>
        <v>0.61538461538461542</v>
      </c>
      <c r="Q89" s="46">
        <f>VLOOKUP(D89,현재시즌_캐릭별전적!$M$4:$Y$50,8,FALSE)</f>
        <v>0</v>
      </c>
      <c r="R89" s="28">
        <f>VLOOKUP(D89,현재시즌_캐릭별전적!$M$4:$Y$50,9,FALSE)</f>
        <v>0</v>
      </c>
      <c r="S89" s="230" t="str">
        <f>VLOOKUP(D89,현재시즌_캐릭별전적!$M$4:$Y$50,10,FALSE)</f>
        <v>-</v>
      </c>
      <c r="T89" s="231">
        <f>VLOOKUP(D89,현재시즌_캐릭별전적!$M$4:$Y$50,11,FALSE)</f>
        <v>9</v>
      </c>
      <c r="U89" s="28">
        <f>VLOOKUP(D89,현재시즌_캐릭별전적!$M$4:$Y$50,12,FALSE)</f>
        <v>8</v>
      </c>
      <c r="V89" s="233">
        <f>VLOOKUP(D89,현재시즌_캐릭별전적!$M$4:$Y$50,13,FALSE)</f>
        <v>0.52941176470588236</v>
      </c>
      <c r="W89" s="195"/>
      <c r="X89" s="195"/>
      <c r="Y89" s="195"/>
    </row>
    <row r="90" spans="1:38">
      <c r="B90" s="52" t="s">
        <v>170</v>
      </c>
      <c r="C90" s="28" t="str">
        <f>$I$31</f>
        <v>골드</v>
      </c>
      <c r="D90" s="202" t="str">
        <f>$I$32</f>
        <v>넘버</v>
      </c>
      <c r="E90" s="210">
        <f t="shared" si="27"/>
        <v>206.69834327757354</v>
      </c>
      <c r="F90" s="273">
        <f>HLOOKUP(D90,조편성_MMR!$C$20:$AU$30,10,0)</f>
        <v>0</v>
      </c>
      <c r="G90" s="211">
        <f t="shared" si="28"/>
        <v>45</v>
      </c>
      <c r="H90" s="46">
        <f t="shared" si="29"/>
        <v>24</v>
      </c>
      <c r="I90" s="28">
        <f t="shared" si="30"/>
        <v>21</v>
      </c>
      <c r="J90" s="230">
        <f t="shared" si="31"/>
        <v>0.53333333333333333</v>
      </c>
      <c r="K90" s="46">
        <f>VLOOKUP(D90,현재시즌_캐릭별전적!$M$4:$Y$50,2,FALSE)</f>
        <v>10</v>
      </c>
      <c r="L90" s="28">
        <f>VLOOKUP(D90,현재시즌_캐릭별전적!$M$4:$Y$50,3,FALSE)</f>
        <v>5</v>
      </c>
      <c r="M90" s="230">
        <f>VLOOKUP(D90,현재시즌_캐릭별전적!$M$4:$Y$50,4,FALSE)</f>
        <v>0.66666666666666663</v>
      </c>
      <c r="N90" s="231">
        <f>VLOOKUP(D90,현재시즌_캐릭별전적!$M$4:$Y$50,5,FALSE)</f>
        <v>0</v>
      </c>
      <c r="O90" s="28">
        <f>VLOOKUP(D90,현재시즌_캐릭별전적!$M$4:$Y$50,6,FALSE)</f>
        <v>0</v>
      </c>
      <c r="P90" s="232" t="str">
        <f>VLOOKUP(D90,현재시즌_캐릭별전적!$M$4:$Y$50,7,FALSE)</f>
        <v>-</v>
      </c>
      <c r="Q90" s="46">
        <f>VLOOKUP(D90,현재시즌_캐릭별전적!$M$4:$Y$50,8,FALSE)</f>
        <v>3</v>
      </c>
      <c r="R90" s="28">
        <f>VLOOKUP(D90,현재시즌_캐릭별전적!$M$4:$Y$50,9,FALSE)</f>
        <v>6</v>
      </c>
      <c r="S90" s="230">
        <f>VLOOKUP(D90,현재시즌_캐릭별전적!$M$4:$Y$50,10,FALSE)</f>
        <v>0.33333333333333331</v>
      </c>
      <c r="T90" s="231">
        <f>VLOOKUP(D90,현재시즌_캐릭별전적!$M$4:$Y$50,11,FALSE)</f>
        <v>11</v>
      </c>
      <c r="U90" s="28">
        <f>VLOOKUP(D90,현재시즌_캐릭별전적!$M$4:$Y$50,12,FALSE)</f>
        <v>10</v>
      </c>
      <c r="V90" s="233">
        <f>VLOOKUP(D90,현재시즌_캐릭별전적!$M$4:$Y$50,13,FALSE)</f>
        <v>0.52380952380952384</v>
      </c>
      <c r="W90" s="195"/>
      <c r="X90" s="195"/>
      <c r="Y90" s="195"/>
    </row>
    <row r="91" spans="1:38">
      <c r="B91" s="52" t="s">
        <v>171</v>
      </c>
      <c r="C91" s="28" t="str">
        <f>$J$31</f>
        <v>골드</v>
      </c>
      <c r="D91" s="202" t="str">
        <f>$J$32</f>
        <v>참치</v>
      </c>
      <c r="E91" s="210">
        <f t="shared" si="27"/>
        <v>195.90653142611475</v>
      </c>
      <c r="F91" s="273">
        <f>HLOOKUP(D91,조편성_MMR!$C$20:$AU$30,10,0)</f>
        <v>0</v>
      </c>
      <c r="G91" s="211">
        <f t="shared" si="28"/>
        <v>32</v>
      </c>
      <c r="H91" s="46">
        <f t="shared" si="29"/>
        <v>18</v>
      </c>
      <c r="I91" s="28">
        <f t="shared" si="30"/>
        <v>14</v>
      </c>
      <c r="J91" s="230">
        <f t="shared" si="31"/>
        <v>0.5625</v>
      </c>
      <c r="K91" s="46">
        <f>VLOOKUP(D91,현재시즌_캐릭별전적!$M$4:$Y$50,2,FALSE)</f>
        <v>4</v>
      </c>
      <c r="L91" s="28">
        <f>VLOOKUP(D91,현재시즌_캐릭별전적!$M$4:$Y$50,3,FALSE)</f>
        <v>7</v>
      </c>
      <c r="M91" s="230">
        <f>VLOOKUP(D91,현재시즌_캐릭별전적!$M$4:$Y$50,4,FALSE)</f>
        <v>0.36363636363636365</v>
      </c>
      <c r="N91" s="231">
        <f>VLOOKUP(D91,현재시즌_캐릭별전적!$M$4:$Y$50,5,FALSE)</f>
        <v>7</v>
      </c>
      <c r="O91" s="28">
        <f>VLOOKUP(D91,현재시즌_캐릭별전적!$M$4:$Y$50,6,FALSE)</f>
        <v>3</v>
      </c>
      <c r="P91" s="232">
        <f>VLOOKUP(D91,현재시즌_캐릭별전적!$M$4:$Y$50,7,FALSE)</f>
        <v>0.7</v>
      </c>
      <c r="Q91" s="46">
        <f>VLOOKUP(D91,현재시즌_캐릭별전적!$M$4:$Y$50,8,FALSE)</f>
        <v>7</v>
      </c>
      <c r="R91" s="28">
        <f>VLOOKUP(D91,현재시즌_캐릭별전적!$M$4:$Y$50,9,FALSE)</f>
        <v>3</v>
      </c>
      <c r="S91" s="230">
        <f>VLOOKUP(D91,현재시즌_캐릭별전적!$M$4:$Y$50,10,FALSE)</f>
        <v>0.7</v>
      </c>
      <c r="T91" s="231">
        <f>VLOOKUP(D91,현재시즌_캐릭별전적!$M$4:$Y$50,11,FALSE)</f>
        <v>0</v>
      </c>
      <c r="U91" s="28">
        <f>VLOOKUP(D91,현재시즌_캐릭별전적!$M$4:$Y$50,12,FALSE)</f>
        <v>1</v>
      </c>
      <c r="V91" s="233">
        <f>VLOOKUP(D91,현재시즌_캐릭별전적!$M$4:$Y$50,13,FALSE)</f>
        <v>0</v>
      </c>
      <c r="W91" s="54"/>
      <c r="X91" s="54"/>
      <c r="Y91" s="54"/>
      <c r="Z91" s="54"/>
      <c r="AA91" s="54"/>
      <c r="AB91" s="54"/>
      <c r="AC91" s="54"/>
      <c r="AD91" s="54"/>
      <c r="AE91" s="54"/>
      <c r="AF91" s="54"/>
      <c r="AG91" s="54"/>
      <c r="AH91" s="54"/>
      <c r="AI91" s="54"/>
      <c r="AJ91" s="54"/>
      <c r="AK91" s="54"/>
    </row>
    <row r="92" spans="1:38">
      <c r="B92" s="52" t="s">
        <v>172</v>
      </c>
      <c r="C92" s="28" t="str">
        <f>$K$31</f>
        <v>골드</v>
      </c>
      <c r="D92" s="202" t="str">
        <f>$K$32</f>
        <v>블핑</v>
      </c>
      <c r="E92" s="210">
        <f t="shared" si="27"/>
        <v>191.51117755781763</v>
      </c>
      <c r="F92" s="273">
        <f>HLOOKUP(D92,조편성_MMR!$C$20:$AU$30,10,0)</f>
        <v>0</v>
      </c>
      <c r="G92" s="211">
        <f t="shared" si="28"/>
        <v>39</v>
      </c>
      <c r="H92" s="46">
        <f t="shared" si="29"/>
        <v>18</v>
      </c>
      <c r="I92" s="28">
        <f t="shared" si="30"/>
        <v>21</v>
      </c>
      <c r="J92" s="230">
        <f t="shared" si="31"/>
        <v>0.46153846153846156</v>
      </c>
      <c r="K92" s="46">
        <f>VLOOKUP(D92,현재시즌_캐릭별전적!$M$4:$Y$50,2,FALSE)</f>
        <v>0</v>
      </c>
      <c r="L92" s="28">
        <f>VLOOKUP(D92,현재시즌_캐릭별전적!$M$4:$Y$50,3,FALSE)</f>
        <v>0</v>
      </c>
      <c r="M92" s="230" t="str">
        <f>VLOOKUP(D92,현재시즌_캐릭별전적!$M$4:$Y$50,4,FALSE)</f>
        <v>-</v>
      </c>
      <c r="N92" s="231">
        <f>VLOOKUP(D92,현재시즌_캐릭별전적!$M$4:$Y$50,5,FALSE)</f>
        <v>14</v>
      </c>
      <c r="O92" s="28">
        <f>VLOOKUP(D92,현재시즌_캐릭별전적!$M$4:$Y$50,6,FALSE)</f>
        <v>16</v>
      </c>
      <c r="P92" s="232">
        <f>VLOOKUP(D92,현재시즌_캐릭별전적!$M$4:$Y$50,7,FALSE)</f>
        <v>0.46666666666666667</v>
      </c>
      <c r="Q92" s="46">
        <f>VLOOKUP(D92,현재시즌_캐릭별전적!$M$4:$Y$50,8,FALSE)</f>
        <v>2</v>
      </c>
      <c r="R92" s="28">
        <f>VLOOKUP(D92,현재시즌_캐릭별전적!$M$4:$Y$50,9,FALSE)</f>
        <v>4</v>
      </c>
      <c r="S92" s="230">
        <f>VLOOKUP(D92,현재시즌_캐릭별전적!$M$4:$Y$50,10,FALSE)</f>
        <v>0.33333333333333331</v>
      </c>
      <c r="T92" s="231">
        <f>VLOOKUP(D92,현재시즌_캐릭별전적!$M$4:$Y$50,11,FALSE)</f>
        <v>2</v>
      </c>
      <c r="U92" s="28">
        <f>VLOOKUP(D92,현재시즌_캐릭별전적!$M$4:$Y$50,12,FALSE)</f>
        <v>1</v>
      </c>
      <c r="V92" s="233">
        <f>VLOOKUP(D92,현재시즌_캐릭별전적!$M$4:$Y$50,13,FALSE)</f>
        <v>0.66666666666666663</v>
      </c>
      <c r="W92" s="325"/>
      <c r="X92" s="325"/>
      <c r="Y92" s="325"/>
      <c r="Z92" s="325"/>
      <c r="AA92" s="325"/>
      <c r="AB92" s="325"/>
      <c r="AC92" s="325"/>
      <c r="AD92" s="325"/>
      <c r="AE92" s="325"/>
      <c r="AF92" s="325"/>
      <c r="AG92" s="325"/>
      <c r="AH92" s="325"/>
      <c r="AI92" s="325"/>
      <c r="AJ92" s="325"/>
      <c r="AK92" s="325"/>
    </row>
    <row r="93" spans="1:38">
      <c r="B93" s="52" t="s">
        <v>173</v>
      </c>
      <c r="C93" s="50" t="str">
        <f>$L$31</f>
        <v>실버</v>
      </c>
      <c r="D93" s="203" t="str">
        <f>$L$32</f>
        <v>훈</v>
      </c>
      <c r="E93" s="212">
        <f t="shared" si="27"/>
        <v>190.93431023795657</v>
      </c>
      <c r="F93" s="274">
        <f>HLOOKUP(D93,조편성_MMR!$C$20:$AU$30,10,0)</f>
        <v>0</v>
      </c>
      <c r="G93" s="213">
        <f t="shared" si="28"/>
        <v>39</v>
      </c>
      <c r="H93" s="234">
        <f t="shared" si="29"/>
        <v>16</v>
      </c>
      <c r="I93" s="50">
        <f t="shared" si="30"/>
        <v>23</v>
      </c>
      <c r="J93" s="235">
        <f t="shared" si="31"/>
        <v>0.41025641025641024</v>
      </c>
      <c r="K93" s="234">
        <f>VLOOKUP(D93,현재시즌_캐릭별전적!$M$4:$Y$50,2,FALSE)</f>
        <v>2</v>
      </c>
      <c r="L93" s="50">
        <f>VLOOKUP(D93,현재시즌_캐릭별전적!$M$4:$Y$50,3,FALSE)</f>
        <v>8</v>
      </c>
      <c r="M93" s="235">
        <f>VLOOKUP(D93,현재시즌_캐릭별전적!$M$4:$Y$50,4,FALSE)</f>
        <v>0.2</v>
      </c>
      <c r="N93" s="236">
        <f>VLOOKUP(D93,현재시즌_캐릭별전적!$M$4:$Y$50,5,FALSE)</f>
        <v>3</v>
      </c>
      <c r="O93" s="50">
        <f>VLOOKUP(D93,현재시즌_캐릭별전적!$M$4:$Y$50,6,FALSE)</f>
        <v>4</v>
      </c>
      <c r="P93" s="237">
        <f>VLOOKUP(D93,현재시즌_캐릭별전적!$M$4:$Y$50,7,FALSE)</f>
        <v>0.42857142857142855</v>
      </c>
      <c r="Q93" s="234">
        <f>VLOOKUP(D93,현재시즌_캐릭별전적!$M$4:$Y$50,8,FALSE)</f>
        <v>0</v>
      </c>
      <c r="R93" s="50">
        <f>VLOOKUP(D93,현재시즌_캐릭별전적!$M$4:$Y$50,9,FALSE)</f>
        <v>0</v>
      </c>
      <c r="S93" s="235" t="str">
        <f>VLOOKUP(D93,현재시즌_캐릭별전적!$M$4:$Y$50,10,FALSE)</f>
        <v>-</v>
      </c>
      <c r="T93" s="236">
        <f>VLOOKUP(D93,현재시즌_캐릭별전적!$M$4:$Y$50,11,FALSE)</f>
        <v>11</v>
      </c>
      <c r="U93" s="50">
        <f>VLOOKUP(D93,현재시즌_캐릭별전적!$M$4:$Y$50,12,FALSE)</f>
        <v>11</v>
      </c>
      <c r="V93" s="238">
        <f>VLOOKUP(D93,현재시즌_캐릭별전적!$M$4:$Y$50,13,FALSE)</f>
        <v>0.5</v>
      </c>
      <c r="W93" s="55"/>
      <c r="X93" s="55"/>
      <c r="Y93" s="55"/>
      <c r="Z93" s="55"/>
      <c r="AA93" s="55"/>
      <c r="AB93" s="55"/>
      <c r="AC93" s="55"/>
      <c r="AD93" s="55"/>
      <c r="AE93" s="55"/>
      <c r="AF93" s="55"/>
      <c r="AG93" s="55"/>
      <c r="AH93" s="55"/>
      <c r="AI93" s="55"/>
      <c r="AJ93" s="55"/>
      <c r="AK93" s="55"/>
    </row>
    <row r="94" spans="1:38">
      <c r="B94" s="52" t="s">
        <v>174</v>
      </c>
      <c r="C94" s="50" t="str">
        <f>$M$31</f>
        <v>실버</v>
      </c>
      <c r="D94" s="203" t="str">
        <f>$M$32</f>
        <v>필찌</v>
      </c>
      <c r="E94" s="212">
        <f t="shared" si="27"/>
        <v>188.75307376485949</v>
      </c>
      <c r="F94" s="274">
        <f>HLOOKUP(D94,조편성_MMR!$C$20:$AU$30,10,0)</f>
        <v>0</v>
      </c>
      <c r="G94" s="213">
        <f t="shared" si="28"/>
        <v>23</v>
      </c>
      <c r="H94" s="234">
        <f t="shared" si="29"/>
        <v>11</v>
      </c>
      <c r="I94" s="50">
        <f t="shared" si="30"/>
        <v>12</v>
      </c>
      <c r="J94" s="235">
        <f t="shared" si="31"/>
        <v>0.47826086956521741</v>
      </c>
      <c r="K94" s="234">
        <f>VLOOKUP(D94,현재시즌_캐릭별전적!$M$4:$Y$50,2,FALSE)</f>
        <v>9</v>
      </c>
      <c r="L94" s="50">
        <f>VLOOKUP(D94,현재시즌_캐릭별전적!$M$4:$Y$50,3,FALSE)</f>
        <v>10</v>
      </c>
      <c r="M94" s="235">
        <f>VLOOKUP(D94,현재시즌_캐릭별전적!$M$4:$Y$50,4,FALSE)</f>
        <v>0.47368421052631576</v>
      </c>
      <c r="N94" s="236">
        <f>VLOOKUP(D94,현재시즌_캐릭별전적!$M$4:$Y$50,5,FALSE)</f>
        <v>1</v>
      </c>
      <c r="O94" s="50">
        <f>VLOOKUP(D94,현재시즌_캐릭별전적!$M$4:$Y$50,6,FALSE)</f>
        <v>0</v>
      </c>
      <c r="P94" s="237">
        <f>VLOOKUP(D94,현재시즌_캐릭별전적!$M$4:$Y$50,7,FALSE)</f>
        <v>1</v>
      </c>
      <c r="Q94" s="234">
        <f>VLOOKUP(D94,현재시즌_캐릭별전적!$M$4:$Y$50,8,FALSE)</f>
        <v>1</v>
      </c>
      <c r="R94" s="50">
        <f>VLOOKUP(D94,현재시즌_캐릭별전적!$M$4:$Y$50,9,FALSE)</f>
        <v>2</v>
      </c>
      <c r="S94" s="235">
        <f>VLOOKUP(D94,현재시즌_캐릭별전적!$M$4:$Y$50,10,FALSE)</f>
        <v>0.33333333333333331</v>
      </c>
      <c r="T94" s="236">
        <f>VLOOKUP(D94,현재시즌_캐릭별전적!$M$4:$Y$50,11,FALSE)</f>
        <v>0</v>
      </c>
      <c r="U94" s="50">
        <f>VLOOKUP(D94,현재시즌_캐릭별전적!$M$4:$Y$50,12,FALSE)</f>
        <v>0</v>
      </c>
      <c r="V94" s="238" t="str">
        <f>VLOOKUP(D94,현재시즌_캐릭별전적!$M$4:$Y$50,13,FALSE)</f>
        <v>-</v>
      </c>
      <c r="W94" s="196"/>
      <c r="X94" s="196"/>
      <c r="Y94" s="59"/>
      <c r="Z94" s="54"/>
      <c r="AA94" s="54"/>
      <c r="AB94" s="54"/>
      <c r="AC94" s="54"/>
      <c r="AD94" s="54"/>
      <c r="AE94" s="54"/>
      <c r="AF94" s="54"/>
      <c r="AG94" s="54"/>
      <c r="AH94" s="54"/>
      <c r="AI94" s="54"/>
      <c r="AJ94" s="54"/>
      <c r="AK94" s="54"/>
    </row>
    <row r="95" spans="1:38">
      <c r="B95" s="52" t="s">
        <v>175</v>
      </c>
      <c r="C95" s="50" t="str">
        <f>$N$31</f>
        <v>실버</v>
      </c>
      <c r="D95" s="203" t="str">
        <f>$N$32</f>
        <v>솔</v>
      </c>
      <c r="E95" s="212">
        <f t="shared" si="27"/>
        <v>177.44769344495487</v>
      </c>
      <c r="F95" s="274">
        <f>HLOOKUP(D95,조편성_MMR!$C$20:$AU$30,10,0)</f>
        <v>0</v>
      </c>
      <c r="G95" s="213">
        <f t="shared" si="28"/>
        <v>28</v>
      </c>
      <c r="H95" s="234">
        <f t="shared" si="29"/>
        <v>14</v>
      </c>
      <c r="I95" s="50">
        <f t="shared" si="30"/>
        <v>14</v>
      </c>
      <c r="J95" s="235">
        <f t="shared" si="31"/>
        <v>0.5</v>
      </c>
      <c r="K95" s="234">
        <f>VLOOKUP(D95,현재시즌_캐릭별전적!$M$4:$Y$50,2,FALSE)</f>
        <v>3</v>
      </c>
      <c r="L95" s="50">
        <f>VLOOKUP(D95,현재시즌_캐릭별전적!$M$4:$Y$50,3,FALSE)</f>
        <v>3</v>
      </c>
      <c r="M95" s="235">
        <f>VLOOKUP(D95,현재시즌_캐릭별전적!$M$4:$Y$50,4,FALSE)</f>
        <v>0.5</v>
      </c>
      <c r="N95" s="236">
        <f>VLOOKUP(D95,현재시즌_캐릭별전적!$M$4:$Y$50,5,FALSE)</f>
        <v>0</v>
      </c>
      <c r="O95" s="50">
        <f>VLOOKUP(D95,현재시즌_캐릭별전적!$M$4:$Y$50,6,FALSE)</f>
        <v>2</v>
      </c>
      <c r="P95" s="237">
        <f>VLOOKUP(D95,현재시즌_캐릭별전적!$M$4:$Y$50,7,FALSE)</f>
        <v>0</v>
      </c>
      <c r="Q95" s="234">
        <f>VLOOKUP(D95,현재시즌_캐릭별전적!$M$4:$Y$50,8,FALSE)</f>
        <v>3</v>
      </c>
      <c r="R95" s="50">
        <f>VLOOKUP(D95,현재시즌_캐릭별전적!$M$4:$Y$50,9,FALSE)</f>
        <v>3</v>
      </c>
      <c r="S95" s="235">
        <f>VLOOKUP(D95,현재시즌_캐릭별전적!$M$4:$Y$50,10,FALSE)</f>
        <v>0.5</v>
      </c>
      <c r="T95" s="236">
        <f>VLOOKUP(D95,현재시즌_캐릭별전적!$M$4:$Y$50,11,FALSE)</f>
        <v>8</v>
      </c>
      <c r="U95" s="50">
        <f>VLOOKUP(D95,현재시즌_캐릭별전적!$M$4:$Y$50,12,FALSE)</f>
        <v>6</v>
      </c>
      <c r="V95" s="238">
        <f>VLOOKUP(D95,현재시즌_캐릭별전적!$M$4:$Y$50,13,FALSE)</f>
        <v>0.5714285714285714</v>
      </c>
      <c r="W95" s="196"/>
      <c r="X95" s="196"/>
      <c r="Y95" s="59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</row>
    <row r="96" spans="1:38">
      <c r="B96" s="52" t="s">
        <v>178</v>
      </c>
      <c r="C96" s="50" t="str">
        <f>$O$31</f>
        <v>실버</v>
      </c>
      <c r="D96" s="203" t="str">
        <f>$O$32</f>
        <v>하리보</v>
      </c>
      <c r="E96" s="212">
        <f t="shared" si="27"/>
        <v>176.64919674773202</v>
      </c>
      <c r="F96" s="274">
        <f>HLOOKUP(D96,조편성_MMR!$C$20:$AU$30,10,0)</f>
        <v>0</v>
      </c>
      <c r="G96" s="213">
        <f t="shared" si="28"/>
        <v>34</v>
      </c>
      <c r="H96" s="234">
        <f t="shared" si="29"/>
        <v>15</v>
      </c>
      <c r="I96" s="50">
        <f t="shared" si="30"/>
        <v>19</v>
      </c>
      <c r="J96" s="235">
        <f t="shared" si="31"/>
        <v>0.44117647058823528</v>
      </c>
      <c r="K96" s="234">
        <f>VLOOKUP(D96,현재시즌_캐릭별전적!$M$4:$Y$50,2,FALSE)</f>
        <v>0</v>
      </c>
      <c r="L96" s="50">
        <f>VLOOKUP(D96,현재시즌_캐릭별전적!$M$4:$Y$50,3,FALSE)</f>
        <v>0</v>
      </c>
      <c r="M96" s="235" t="str">
        <f>VLOOKUP(D96,현재시즌_캐릭별전적!$M$4:$Y$50,4,FALSE)</f>
        <v>-</v>
      </c>
      <c r="N96" s="236">
        <f>VLOOKUP(D96,현재시즌_캐릭별전적!$M$4:$Y$50,5,FALSE)</f>
        <v>0</v>
      </c>
      <c r="O96" s="50">
        <f>VLOOKUP(D96,현재시즌_캐릭별전적!$M$4:$Y$50,6,FALSE)</f>
        <v>0</v>
      </c>
      <c r="P96" s="237" t="str">
        <f>VLOOKUP(D96,현재시즌_캐릭별전적!$M$4:$Y$50,7,FALSE)</f>
        <v>-</v>
      </c>
      <c r="Q96" s="234">
        <f>VLOOKUP(D96,현재시즌_캐릭별전적!$M$4:$Y$50,8,FALSE)</f>
        <v>12</v>
      </c>
      <c r="R96" s="50">
        <f>VLOOKUP(D96,현재시즌_캐릭별전적!$M$4:$Y$50,9,FALSE)</f>
        <v>14</v>
      </c>
      <c r="S96" s="235">
        <f>VLOOKUP(D96,현재시즌_캐릭별전적!$M$4:$Y$50,10,FALSE)</f>
        <v>0.46153846153846156</v>
      </c>
      <c r="T96" s="236">
        <f>VLOOKUP(D96,현재시즌_캐릭별전적!$M$4:$Y$50,11,FALSE)</f>
        <v>3</v>
      </c>
      <c r="U96" s="50">
        <f>VLOOKUP(D96,현재시즌_캐릭별전적!$M$4:$Y$50,12,FALSE)</f>
        <v>5</v>
      </c>
      <c r="V96" s="238">
        <f>VLOOKUP(D96,현재시즌_캐릭별전적!$M$4:$Y$50,13,FALSE)</f>
        <v>0.375</v>
      </c>
      <c r="W96" s="196"/>
      <c r="X96" s="196"/>
      <c r="Y96" s="59"/>
      <c r="Z96" s="54"/>
      <c r="AA96" s="54"/>
      <c r="AB96" s="54"/>
      <c r="AC96" s="54"/>
      <c r="AD96" s="54"/>
      <c r="AE96" s="54"/>
      <c r="AF96" s="54"/>
      <c r="AG96" s="54"/>
      <c r="AH96" s="54"/>
      <c r="AI96" s="54"/>
      <c r="AJ96" s="54"/>
      <c r="AK96" s="54"/>
    </row>
    <row r="97" spans="2:37">
      <c r="B97" s="52" t="s">
        <v>176</v>
      </c>
      <c r="C97" s="53" t="str">
        <f>$P$31</f>
        <v>브론즈</v>
      </c>
      <c r="D97" s="204" t="str">
        <f>$P$32</f>
        <v>플토</v>
      </c>
      <c r="E97" s="214">
        <f t="shared" si="27"/>
        <v>168.48257424187491</v>
      </c>
      <c r="F97" s="275">
        <f>HLOOKUP(D97,조편성_MMR!$C$20:$AU$30,10,0)</f>
        <v>0</v>
      </c>
      <c r="G97" s="215">
        <f t="shared" si="28"/>
        <v>33</v>
      </c>
      <c r="H97" s="239">
        <f t="shared" si="29"/>
        <v>14</v>
      </c>
      <c r="I97" s="53">
        <f t="shared" si="30"/>
        <v>19</v>
      </c>
      <c r="J97" s="240">
        <f t="shared" si="31"/>
        <v>0.42424242424242425</v>
      </c>
      <c r="K97" s="239">
        <f>VLOOKUP(D97,현재시즌_캐릭별전적!$M$4:$Y$50,2,FALSE)</f>
        <v>2</v>
      </c>
      <c r="L97" s="53">
        <f>VLOOKUP(D97,현재시즌_캐릭별전적!$M$4:$Y$50,3,FALSE)</f>
        <v>4</v>
      </c>
      <c r="M97" s="240">
        <f>VLOOKUP(D97,현재시즌_캐릭별전적!$M$4:$Y$50,4,FALSE)</f>
        <v>0.33333333333333331</v>
      </c>
      <c r="N97" s="241">
        <f>VLOOKUP(D97,현재시즌_캐릭별전적!$M$4:$Y$50,5,FALSE)</f>
        <v>4</v>
      </c>
      <c r="O97" s="53">
        <f>VLOOKUP(D97,현재시즌_캐릭별전적!$M$4:$Y$50,6,FALSE)</f>
        <v>8</v>
      </c>
      <c r="P97" s="242">
        <f>VLOOKUP(D97,현재시즌_캐릭별전적!$M$4:$Y$50,7,FALSE)</f>
        <v>0.33333333333333331</v>
      </c>
      <c r="Q97" s="239">
        <f>VLOOKUP(D97,현재시즌_캐릭별전적!$M$4:$Y$50,8,FALSE)</f>
        <v>8</v>
      </c>
      <c r="R97" s="53">
        <f>VLOOKUP(D97,현재시즌_캐릭별전적!$M$4:$Y$50,9,FALSE)</f>
        <v>7</v>
      </c>
      <c r="S97" s="240">
        <f>VLOOKUP(D97,현재시즌_캐릭별전적!$M$4:$Y$50,10,FALSE)</f>
        <v>0.53333333333333333</v>
      </c>
      <c r="T97" s="241">
        <f>VLOOKUP(D97,현재시즌_캐릭별전적!$M$4:$Y$50,11,FALSE)</f>
        <v>0</v>
      </c>
      <c r="U97" s="53">
        <f>VLOOKUP(D97,현재시즌_캐릭별전적!$M$4:$Y$50,12,FALSE)</f>
        <v>0</v>
      </c>
      <c r="V97" s="243" t="str">
        <f>VLOOKUP(D97,현재시즌_캐릭별전적!$M$4:$Y$50,13,FALSE)</f>
        <v>-</v>
      </c>
      <c r="W97" s="196"/>
      <c r="X97" s="196"/>
      <c r="Y97" s="59"/>
      <c r="Z97" s="54"/>
      <c r="AA97" s="54"/>
      <c r="AB97" s="54"/>
      <c r="AC97" s="54"/>
      <c r="AD97" s="54"/>
      <c r="AE97" s="54"/>
      <c r="AF97" s="54"/>
      <c r="AG97" s="54"/>
      <c r="AH97" s="54"/>
      <c r="AI97" s="54"/>
      <c r="AJ97" s="54"/>
      <c r="AK97" s="54"/>
    </row>
    <row r="98" spans="2:37">
      <c r="B98" s="52" t="s">
        <v>177</v>
      </c>
      <c r="C98" s="53" t="str">
        <f>$Q$31</f>
        <v>브론즈</v>
      </c>
      <c r="D98" s="204" t="str">
        <f>$Q$32</f>
        <v>민형</v>
      </c>
      <c r="E98" s="214">
        <f t="shared" si="27"/>
        <v>138.76831115122678</v>
      </c>
      <c r="F98" s="275">
        <f>HLOOKUP(D98,조편성_MMR!$C$20:$AU$30,10,0)</f>
        <v>0</v>
      </c>
      <c r="G98" s="215">
        <f t="shared" si="28"/>
        <v>22</v>
      </c>
      <c r="H98" s="239">
        <f t="shared" si="29"/>
        <v>11</v>
      </c>
      <c r="I98" s="53">
        <f t="shared" si="30"/>
        <v>11</v>
      </c>
      <c r="J98" s="240">
        <f t="shared" si="31"/>
        <v>0.5</v>
      </c>
      <c r="K98" s="239">
        <f>VLOOKUP(D98,현재시즌_캐릭별전적!$M$4:$Y$50,2,FALSE)</f>
        <v>0</v>
      </c>
      <c r="L98" s="53">
        <f>VLOOKUP(D98,현재시즌_캐릭별전적!$M$4:$Y$50,3,FALSE)</f>
        <v>0</v>
      </c>
      <c r="M98" s="240" t="str">
        <f>VLOOKUP(D98,현재시즌_캐릭별전적!$M$4:$Y$50,4,FALSE)</f>
        <v>-</v>
      </c>
      <c r="N98" s="241">
        <f>VLOOKUP(D98,현재시즌_캐릭별전적!$M$4:$Y$50,5,FALSE)</f>
        <v>2</v>
      </c>
      <c r="O98" s="53">
        <f>VLOOKUP(D98,현재시즌_캐릭별전적!$M$4:$Y$50,6,FALSE)</f>
        <v>2</v>
      </c>
      <c r="P98" s="242">
        <f>VLOOKUP(D98,현재시즌_캐릭별전적!$M$4:$Y$50,7,FALSE)</f>
        <v>0.5</v>
      </c>
      <c r="Q98" s="239">
        <f>VLOOKUP(D98,현재시즌_캐릭별전적!$M$4:$Y$50,8,FALSE)</f>
        <v>1</v>
      </c>
      <c r="R98" s="53">
        <f>VLOOKUP(D98,현재시즌_캐릭별전적!$M$4:$Y$50,9,FALSE)</f>
        <v>2</v>
      </c>
      <c r="S98" s="240">
        <f>VLOOKUP(D98,현재시즌_캐릭별전적!$M$4:$Y$50,10,FALSE)</f>
        <v>0.33333333333333331</v>
      </c>
      <c r="T98" s="241">
        <f>VLOOKUP(D98,현재시즌_캐릭별전적!$M$4:$Y$50,11,FALSE)</f>
        <v>8</v>
      </c>
      <c r="U98" s="53">
        <f>VLOOKUP(D98,현재시즌_캐릭별전적!$M$4:$Y$50,12,FALSE)</f>
        <v>7</v>
      </c>
      <c r="V98" s="243">
        <f>VLOOKUP(D98,현재시즌_캐릭별전적!$M$4:$Y$50,13,FALSE)</f>
        <v>0.53333333333333333</v>
      </c>
      <c r="W98" s="196"/>
      <c r="X98" s="196"/>
      <c r="Y98" s="59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</row>
    <row r="99" spans="2:37">
      <c r="B99" s="52" t="s">
        <v>180</v>
      </c>
      <c r="C99" s="53" t="str">
        <f>$R$31</f>
        <v>브론즈</v>
      </c>
      <c r="D99" s="204" t="str">
        <f>$R$32</f>
        <v>르기</v>
      </c>
      <c r="E99" s="214">
        <f t="shared" si="27"/>
        <v>109.69007293198155</v>
      </c>
      <c r="F99" s="275">
        <f>HLOOKUP(D99,조편성_MMR!$C$20:$AU$30,10,0)</f>
        <v>0</v>
      </c>
      <c r="G99" s="215">
        <f t="shared" si="28"/>
        <v>28</v>
      </c>
      <c r="H99" s="239">
        <f t="shared" si="29"/>
        <v>11</v>
      </c>
      <c r="I99" s="53">
        <f t="shared" si="30"/>
        <v>17</v>
      </c>
      <c r="J99" s="240">
        <f t="shared" si="31"/>
        <v>0.39285714285714285</v>
      </c>
      <c r="K99" s="239">
        <f>VLOOKUP(D99,현재시즌_캐릭별전적!$M$4:$Y$50,2,FALSE)</f>
        <v>2</v>
      </c>
      <c r="L99" s="53">
        <f>VLOOKUP(D99,현재시즌_캐릭별전적!$M$4:$Y$50,3,FALSE)</f>
        <v>5</v>
      </c>
      <c r="M99" s="240">
        <f>VLOOKUP(D99,현재시즌_캐릭별전적!$M$4:$Y$50,4,FALSE)</f>
        <v>0.2857142857142857</v>
      </c>
      <c r="N99" s="241">
        <f>VLOOKUP(D99,현재시즌_캐릭별전적!$M$4:$Y$50,5,FALSE)</f>
        <v>3</v>
      </c>
      <c r="O99" s="53">
        <f>VLOOKUP(D99,현재시즌_캐릭별전적!$M$4:$Y$50,6,FALSE)</f>
        <v>5</v>
      </c>
      <c r="P99" s="242">
        <f>VLOOKUP(D99,현재시즌_캐릭별전적!$M$4:$Y$50,7,FALSE)</f>
        <v>0.375</v>
      </c>
      <c r="Q99" s="239">
        <f>VLOOKUP(D99,현재시즌_캐릭별전적!$M$4:$Y$50,8,FALSE)</f>
        <v>3</v>
      </c>
      <c r="R99" s="53">
        <f>VLOOKUP(D99,현재시즌_캐릭별전적!$M$4:$Y$50,9,FALSE)</f>
        <v>3</v>
      </c>
      <c r="S99" s="240">
        <f>VLOOKUP(D99,현재시즌_캐릭별전적!$M$4:$Y$50,10,FALSE)</f>
        <v>0.5</v>
      </c>
      <c r="T99" s="241">
        <f>VLOOKUP(D99,현재시즌_캐릭별전적!$M$4:$Y$50,11,FALSE)</f>
        <v>3</v>
      </c>
      <c r="U99" s="53">
        <f>VLOOKUP(D99,현재시즌_캐릭별전적!$M$4:$Y$50,12,FALSE)</f>
        <v>4</v>
      </c>
      <c r="V99" s="243">
        <f>VLOOKUP(D99,현재시즌_캐릭별전적!$M$4:$Y$50,13,FALSE)</f>
        <v>0.42857142857142855</v>
      </c>
      <c r="W99" s="196"/>
      <c r="X99" s="196"/>
      <c r="Y99" s="59"/>
      <c r="Z99" s="54"/>
      <c r="AA99" s="54"/>
      <c r="AB99" s="54"/>
      <c r="AC99" s="54"/>
      <c r="AD99" s="54"/>
      <c r="AE99" s="54"/>
      <c r="AF99" s="54"/>
      <c r="AG99" s="54"/>
      <c r="AH99" s="54"/>
      <c r="AI99" s="54"/>
      <c r="AJ99" s="54"/>
      <c r="AK99" s="54"/>
    </row>
    <row r="100" spans="2:37">
      <c r="B100" s="52" t="s">
        <v>181</v>
      </c>
      <c r="C100" s="53" t="str">
        <f>$S$31</f>
        <v>브론즈</v>
      </c>
      <c r="D100" s="204" t="str">
        <f>$S$32</f>
        <v>조네</v>
      </c>
      <c r="E100" s="214">
        <f t="shared" si="27"/>
        <v>102.05098773393655</v>
      </c>
      <c r="F100" s="275">
        <f>HLOOKUP(D100,조편성_MMR!$C$20:$AU$30,10,0)</f>
        <v>0</v>
      </c>
      <c r="G100" s="215">
        <f t="shared" si="28"/>
        <v>23</v>
      </c>
      <c r="H100" s="239">
        <f t="shared" si="29"/>
        <v>9</v>
      </c>
      <c r="I100" s="53">
        <f t="shared" si="30"/>
        <v>14</v>
      </c>
      <c r="J100" s="240">
        <f t="shared" si="31"/>
        <v>0.39130434782608697</v>
      </c>
      <c r="K100" s="239">
        <f>VLOOKUP(D100,현재시즌_캐릭별전적!$M$4:$Y$50,2,FALSE)</f>
        <v>1</v>
      </c>
      <c r="L100" s="53">
        <f>VLOOKUP(D100,현재시즌_캐릭별전적!$M$4:$Y$50,3,FALSE)</f>
        <v>0</v>
      </c>
      <c r="M100" s="240">
        <f>VLOOKUP(D100,현재시즌_캐릭별전적!$M$4:$Y$50,4,FALSE)</f>
        <v>1</v>
      </c>
      <c r="N100" s="241">
        <f>VLOOKUP(D100,현재시즌_캐릭별전적!$M$4:$Y$50,5,FALSE)</f>
        <v>3</v>
      </c>
      <c r="O100" s="53">
        <f>VLOOKUP(D100,현재시즌_캐릭별전적!$M$4:$Y$50,6,FALSE)</f>
        <v>6</v>
      </c>
      <c r="P100" s="242">
        <f>VLOOKUP(D100,현재시즌_캐릭별전적!$M$4:$Y$50,7,FALSE)</f>
        <v>0.33333333333333331</v>
      </c>
      <c r="Q100" s="239">
        <f>VLOOKUP(D100,현재시즌_캐릭별전적!$M$4:$Y$50,8,FALSE)</f>
        <v>4</v>
      </c>
      <c r="R100" s="53">
        <f>VLOOKUP(D100,현재시즌_캐릭별전적!$M$4:$Y$50,9,FALSE)</f>
        <v>8</v>
      </c>
      <c r="S100" s="240">
        <f>VLOOKUP(D100,현재시즌_캐릭별전적!$M$4:$Y$50,10,FALSE)</f>
        <v>0.33333333333333331</v>
      </c>
      <c r="T100" s="241">
        <f>VLOOKUP(D100,현재시즌_캐릭별전적!$M$4:$Y$50,11,FALSE)</f>
        <v>1</v>
      </c>
      <c r="U100" s="53">
        <f>VLOOKUP(D100,현재시즌_캐릭별전적!$M$4:$Y$50,12,FALSE)</f>
        <v>0</v>
      </c>
      <c r="V100" s="243">
        <f>VLOOKUP(D100,현재시즌_캐릭별전적!$M$4:$Y$50,13,FALSE)</f>
        <v>1</v>
      </c>
      <c r="W100" s="196"/>
      <c r="X100" s="196"/>
      <c r="Y100" s="59"/>
      <c r="Z100" s="54"/>
      <c r="AA100" s="54"/>
      <c r="AB100" s="54"/>
      <c r="AC100" s="54"/>
      <c r="AD100" s="54"/>
      <c r="AE100" s="54"/>
      <c r="AF100" s="54"/>
      <c r="AG100" s="54"/>
      <c r="AH100" s="54"/>
      <c r="AI100" s="54"/>
      <c r="AJ100" s="54"/>
      <c r="AK100" s="54"/>
    </row>
    <row r="101" spans="2:37">
      <c r="B101" s="52" t="s">
        <v>333</v>
      </c>
      <c r="C101" s="179" t="str">
        <f>$T$31</f>
        <v>아이언</v>
      </c>
      <c r="D101" s="205" t="str">
        <f>$T$32</f>
        <v>사카시</v>
      </c>
      <c r="E101" s="216">
        <f t="shared" si="27"/>
        <v>76.144620811287481</v>
      </c>
      <c r="F101" s="276">
        <f>HLOOKUP(D101,조편성_MMR!$C$20:$AU$30,10,0)</f>
        <v>0</v>
      </c>
      <c r="G101" s="200">
        <f t="shared" si="28"/>
        <v>20</v>
      </c>
      <c r="H101" s="244">
        <f t="shared" si="29"/>
        <v>8</v>
      </c>
      <c r="I101" s="245">
        <f t="shared" si="30"/>
        <v>12</v>
      </c>
      <c r="J101" s="246">
        <f t="shared" si="31"/>
        <v>0.4</v>
      </c>
      <c r="K101" s="244">
        <f>VLOOKUP(D101,현재시즌_캐릭별전적!$M$4:$Y$50,2,FALSE)</f>
        <v>1</v>
      </c>
      <c r="L101" s="245">
        <f>VLOOKUP(D101,현재시즌_캐릭별전적!$M$4:$Y$50,3,FALSE)</f>
        <v>2</v>
      </c>
      <c r="M101" s="246">
        <f>VLOOKUP(D101,현재시즌_캐릭별전적!$M$4:$Y$50,4,FALSE)</f>
        <v>0.33333333333333331</v>
      </c>
      <c r="N101" s="247">
        <f>VLOOKUP(D101,현재시즌_캐릭별전적!$M$4:$Y$50,5,FALSE)</f>
        <v>4</v>
      </c>
      <c r="O101" s="245">
        <f>VLOOKUP(D101,현재시즌_캐릭별전적!$M$4:$Y$50,6,FALSE)</f>
        <v>4</v>
      </c>
      <c r="P101" s="248">
        <f>VLOOKUP(D101,현재시즌_캐릭별전적!$M$4:$Y$50,7,FALSE)</f>
        <v>0.5</v>
      </c>
      <c r="Q101" s="244">
        <f>VLOOKUP(D101,현재시즌_캐릭별전적!$M$4:$Y$50,8,FALSE)</f>
        <v>2</v>
      </c>
      <c r="R101" s="245">
        <f>VLOOKUP(D101,현재시즌_캐릭별전적!$M$4:$Y$50,9,FALSE)</f>
        <v>4</v>
      </c>
      <c r="S101" s="246">
        <f>VLOOKUP(D101,현재시즌_캐릭별전적!$M$4:$Y$50,10,FALSE)</f>
        <v>0.33333333333333331</v>
      </c>
      <c r="T101" s="247">
        <f>VLOOKUP(D101,현재시즌_캐릭별전적!$M$4:$Y$50,11,FALSE)</f>
        <v>1</v>
      </c>
      <c r="U101" s="245">
        <f>VLOOKUP(D101,현재시즌_캐릭별전적!$M$4:$Y$50,12,FALSE)</f>
        <v>2</v>
      </c>
      <c r="V101" s="249">
        <f>VLOOKUP(D101,현재시즌_캐릭별전적!$M$4:$Y$50,13,FALSE)</f>
        <v>0.33333333333333331</v>
      </c>
      <c r="W101" s="196"/>
      <c r="X101" s="196"/>
      <c r="Y101" s="59"/>
      <c r="Z101" s="54"/>
      <c r="AA101" s="54"/>
      <c r="AB101" s="54"/>
      <c r="AC101" s="54"/>
      <c r="AD101" s="54"/>
      <c r="AE101" s="54"/>
      <c r="AF101" s="54"/>
      <c r="AG101" s="54"/>
      <c r="AH101" s="54"/>
      <c r="AI101" s="54"/>
      <c r="AJ101" s="54"/>
      <c r="AK101" s="54"/>
    </row>
    <row r="102" spans="2:37">
      <c r="B102" s="52" t="s">
        <v>334</v>
      </c>
      <c r="C102" s="179" t="str">
        <f>$U$31</f>
        <v>아이언</v>
      </c>
      <c r="D102" s="205" t="str">
        <f>$U$32</f>
        <v>야로</v>
      </c>
      <c r="E102" s="216">
        <f t="shared" si="27"/>
        <v>44.551461940243996</v>
      </c>
      <c r="F102" s="276">
        <f>HLOOKUP(D102,조편성_MMR!$C$20:$AU$30,10,0)</f>
        <v>0</v>
      </c>
      <c r="G102" s="200">
        <f t="shared" si="28"/>
        <v>22</v>
      </c>
      <c r="H102" s="244">
        <f t="shared" si="29"/>
        <v>6</v>
      </c>
      <c r="I102" s="245">
        <f t="shared" si="30"/>
        <v>16</v>
      </c>
      <c r="J102" s="246">
        <f t="shared" si="31"/>
        <v>0.27272727272727271</v>
      </c>
      <c r="K102" s="244">
        <f>VLOOKUP(D102,현재시즌_캐릭별전적!$M$4:$Y$50,2,FALSE)</f>
        <v>2</v>
      </c>
      <c r="L102" s="245">
        <f>VLOOKUP(D102,현재시즌_캐릭별전적!$M$4:$Y$50,3,FALSE)</f>
        <v>6</v>
      </c>
      <c r="M102" s="246">
        <f>VLOOKUP(D102,현재시즌_캐릭별전적!$M$4:$Y$50,4,FALSE)</f>
        <v>0.25</v>
      </c>
      <c r="N102" s="247">
        <f>VLOOKUP(D102,현재시즌_캐릭별전적!$M$4:$Y$50,5,FALSE)</f>
        <v>1</v>
      </c>
      <c r="O102" s="245">
        <f>VLOOKUP(D102,현재시즌_캐릭별전적!$M$4:$Y$50,6,FALSE)</f>
        <v>4</v>
      </c>
      <c r="P102" s="248">
        <f>VLOOKUP(D102,현재시즌_캐릭별전적!$M$4:$Y$50,7,FALSE)</f>
        <v>0.2</v>
      </c>
      <c r="Q102" s="244">
        <f>VLOOKUP(D102,현재시즌_캐릭별전적!$M$4:$Y$50,8,FALSE)</f>
        <v>0</v>
      </c>
      <c r="R102" s="245">
        <f>VLOOKUP(D102,현재시즌_캐릭별전적!$M$4:$Y$50,9,FALSE)</f>
        <v>1</v>
      </c>
      <c r="S102" s="246">
        <f>VLOOKUP(D102,현재시즌_캐릭별전적!$M$4:$Y$50,10,FALSE)</f>
        <v>0</v>
      </c>
      <c r="T102" s="247">
        <f>VLOOKUP(D102,현재시즌_캐릭별전적!$M$4:$Y$50,11,FALSE)</f>
        <v>3</v>
      </c>
      <c r="U102" s="245">
        <f>VLOOKUP(D102,현재시즌_캐릭별전적!$M$4:$Y$50,12,FALSE)</f>
        <v>5</v>
      </c>
      <c r="V102" s="249">
        <f>VLOOKUP(D102,현재시즌_캐릭별전적!$M$4:$Y$50,13,FALSE)</f>
        <v>0.375</v>
      </c>
      <c r="W102" s="196"/>
      <c r="X102" s="196"/>
      <c r="Y102" s="59"/>
      <c r="Z102" s="54"/>
      <c r="AA102" s="54"/>
      <c r="AB102" s="54"/>
      <c r="AC102" s="54"/>
      <c r="AD102" s="54"/>
      <c r="AE102" s="54"/>
      <c r="AF102" s="54"/>
      <c r="AG102" s="54"/>
      <c r="AH102" s="54"/>
      <c r="AI102" s="54"/>
      <c r="AJ102" s="54"/>
      <c r="AK102" s="54"/>
    </row>
    <row r="103" spans="2:37">
      <c r="B103" s="52" t="s">
        <v>335</v>
      </c>
      <c r="C103" s="179" t="str">
        <f>$V$31</f>
        <v>아이언</v>
      </c>
      <c r="D103" s="205" t="str">
        <f>$V$32</f>
        <v>라위</v>
      </c>
      <c r="E103" s="216">
        <f t="shared" si="27"/>
        <v>35.646666666666668</v>
      </c>
      <c r="F103" s="276">
        <f>HLOOKUP(D103,조편성_MMR!$C$20:$AU$30,10,0)</f>
        <v>0</v>
      </c>
      <c r="G103" s="200">
        <f t="shared" si="28"/>
        <v>9</v>
      </c>
      <c r="H103" s="244">
        <f t="shared" si="29"/>
        <v>3</v>
      </c>
      <c r="I103" s="245">
        <f t="shared" si="30"/>
        <v>6</v>
      </c>
      <c r="J103" s="246">
        <f t="shared" si="31"/>
        <v>0.33333333333333331</v>
      </c>
      <c r="K103" s="244">
        <f>VLOOKUP(D103,현재시즌_캐릭별전적!$M$4:$Y$50,2,FALSE)</f>
        <v>0</v>
      </c>
      <c r="L103" s="245">
        <f>VLOOKUP(D103,현재시즌_캐릭별전적!$M$4:$Y$50,3,FALSE)</f>
        <v>0</v>
      </c>
      <c r="M103" s="246" t="str">
        <f>VLOOKUP(D103,현재시즌_캐릭별전적!$M$4:$Y$50,4,FALSE)</f>
        <v>-</v>
      </c>
      <c r="N103" s="247">
        <f>VLOOKUP(D103,현재시즌_캐릭별전적!$M$4:$Y$50,5,FALSE)</f>
        <v>3</v>
      </c>
      <c r="O103" s="245">
        <f>VLOOKUP(D103,현재시즌_캐릭별전적!$M$4:$Y$50,6,FALSE)</f>
        <v>4</v>
      </c>
      <c r="P103" s="248">
        <f>VLOOKUP(D103,현재시즌_캐릭별전적!$M$4:$Y$50,7,FALSE)</f>
        <v>0.42857142857142855</v>
      </c>
      <c r="Q103" s="244">
        <f>VLOOKUP(D103,현재시즌_캐릭별전적!$M$4:$Y$50,8,FALSE)</f>
        <v>0</v>
      </c>
      <c r="R103" s="245">
        <f>VLOOKUP(D103,현재시즌_캐릭별전적!$M$4:$Y$50,9,FALSE)</f>
        <v>0</v>
      </c>
      <c r="S103" s="246" t="str">
        <f>VLOOKUP(D103,현재시즌_캐릭별전적!$M$4:$Y$50,10,FALSE)</f>
        <v>-</v>
      </c>
      <c r="T103" s="247">
        <f>VLOOKUP(D103,현재시즌_캐릭별전적!$M$4:$Y$50,11,FALSE)</f>
        <v>0</v>
      </c>
      <c r="U103" s="245">
        <f>VLOOKUP(D103,현재시즌_캐릭별전적!$M$4:$Y$50,12,FALSE)</f>
        <v>2</v>
      </c>
      <c r="V103" s="249">
        <f>VLOOKUP(D103,현재시즌_캐릭별전적!$M$4:$Y$50,13,FALSE)</f>
        <v>0</v>
      </c>
      <c r="W103" s="196"/>
      <c r="X103" s="196"/>
      <c r="Y103" s="59"/>
      <c r="Z103" s="54"/>
      <c r="AA103" s="54"/>
      <c r="AB103" s="54"/>
      <c r="AC103" s="54"/>
      <c r="AD103" s="54"/>
      <c r="AE103" s="54"/>
      <c r="AF103" s="54"/>
      <c r="AG103" s="54"/>
      <c r="AH103" s="54"/>
      <c r="AI103" s="54"/>
      <c r="AJ103" s="54"/>
      <c r="AK103" s="54"/>
    </row>
    <row r="104" spans="2:37">
      <c r="B104" s="178"/>
      <c r="V104" s="58"/>
      <c r="W104" s="196"/>
      <c r="X104" s="196"/>
      <c r="Y104" s="59"/>
      <c r="Z104" s="54"/>
      <c r="AA104" s="54"/>
      <c r="AB104" s="54"/>
      <c r="AC104" s="54"/>
      <c r="AD104" s="54"/>
      <c r="AE104" s="54"/>
      <c r="AF104" s="54"/>
      <c r="AG104" s="54"/>
      <c r="AH104" s="54"/>
      <c r="AI104" s="54"/>
      <c r="AJ104" s="54"/>
      <c r="AK104" s="54"/>
    </row>
    <row r="105" spans="2:37">
      <c r="V105" s="58"/>
      <c r="W105" s="196"/>
      <c r="X105" s="196"/>
      <c r="Y105" s="59"/>
      <c r="Z105" s="54"/>
      <c r="AA105" s="54"/>
      <c r="AB105" s="54"/>
      <c r="AC105" s="54"/>
      <c r="AD105" s="54"/>
      <c r="AE105" s="54"/>
      <c r="AF105" s="54"/>
      <c r="AG105" s="54"/>
      <c r="AH105" s="54"/>
      <c r="AI105" s="54"/>
      <c r="AJ105" s="54"/>
      <c r="AK105" s="54"/>
    </row>
    <row r="106" spans="2:37">
      <c r="V106" s="58"/>
      <c r="W106" s="196"/>
      <c r="X106" s="196"/>
      <c r="Y106" s="59"/>
      <c r="Z106" s="54"/>
      <c r="AA106" s="54"/>
      <c r="AB106" s="54"/>
      <c r="AC106" s="54"/>
      <c r="AD106" s="54"/>
      <c r="AE106" s="54"/>
      <c r="AF106" s="54"/>
      <c r="AG106" s="54"/>
      <c r="AH106" s="54"/>
      <c r="AI106" s="54"/>
      <c r="AJ106" s="54"/>
      <c r="AK106" s="54"/>
    </row>
    <row r="107" spans="2:37">
      <c r="V107" s="58"/>
      <c r="W107" s="196"/>
      <c r="X107" s="196"/>
      <c r="Y107" s="59"/>
      <c r="Z107" s="54"/>
      <c r="AA107" s="54"/>
      <c r="AB107" s="54"/>
      <c r="AC107" s="54"/>
      <c r="AD107" s="54"/>
      <c r="AE107" s="54"/>
      <c r="AF107" s="54"/>
      <c r="AG107" s="54"/>
      <c r="AH107" s="54"/>
      <c r="AI107" s="54"/>
      <c r="AJ107" s="54"/>
      <c r="AK107" s="54"/>
    </row>
    <row r="108" spans="2:37">
      <c r="V108" s="58"/>
      <c r="W108" s="196"/>
      <c r="X108" s="196"/>
      <c r="Y108" s="59"/>
      <c r="Z108" s="54"/>
      <c r="AA108" s="54"/>
      <c r="AB108" s="54"/>
      <c r="AC108" s="54"/>
      <c r="AD108" s="54"/>
      <c r="AE108" s="54"/>
      <c r="AF108" s="54"/>
      <c r="AG108" s="54"/>
      <c r="AH108" s="54"/>
      <c r="AI108" s="54"/>
      <c r="AJ108" s="54"/>
      <c r="AK108" s="54"/>
    </row>
    <row r="109" spans="2:37">
      <c r="V109" s="195"/>
      <c r="W109" s="195"/>
      <c r="X109" s="195"/>
      <c r="Y109" s="195"/>
    </row>
    <row r="110" spans="2:37">
      <c r="B110" s="197"/>
      <c r="C110" s="307" t="s">
        <v>413</v>
      </c>
      <c r="D110" s="307"/>
      <c r="E110" s="307"/>
      <c r="V110" s="195"/>
      <c r="W110" s="195"/>
      <c r="X110" s="195"/>
      <c r="Y110" s="195"/>
    </row>
    <row r="111" spans="2:37">
      <c r="B111" s="197"/>
      <c r="C111" s="250" t="s">
        <v>322</v>
      </c>
      <c r="D111" s="251" t="s">
        <v>163</v>
      </c>
      <c r="E111" s="251" t="s">
        <v>412</v>
      </c>
      <c r="V111" s="195"/>
      <c r="W111" s="195"/>
      <c r="X111" s="195"/>
      <c r="Y111" s="195"/>
    </row>
    <row r="112" spans="2:37">
      <c r="B112" s="252">
        <v>1</v>
      </c>
      <c r="C112" s="254" t="s">
        <v>442</v>
      </c>
      <c r="D112" s="253">
        <f>IFERROR(HLOOKUP(C112,$C$3:$AU$10,5,FALSE),"")</f>
        <v>45</v>
      </c>
      <c r="E112" s="253">
        <f>IFERROR(_xlfn.RANK.EQ(D112,$D$112:$D$122,1),"")</f>
        <v>10</v>
      </c>
      <c r="V112" s="195"/>
      <c r="W112" s="195"/>
      <c r="X112" s="195"/>
      <c r="Y112" s="195"/>
    </row>
    <row r="113" spans="2:37">
      <c r="B113" s="252">
        <v>2</v>
      </c>
      <c r="C113" s="254" t="s">
        <v>436</v>
      </c>
      <c r="D113" s="253">
        <f t="shared" ref="D113:D127" si="32">IFERROR(HLOOKUP(C113,$C$3:$AU$10,5,FALSE),"")</f>
        <v>34</v>
      </c>
      <c r="E113" s="253">
        <f t="shared" ref="E113:E127" si="33">IFERROR(_xlfn.RANK.EQ(D113,$D$112:$D$122,1),"")</f>
        <v>5</v>
      </c>
      <c r="V113" s="195"/>
      <c r="W113" s="195"/>
      <c r="X113" s="195"/>
      <c r="Y113" s="195"/>
    </row>
    <row r="114" spans="2:37">
      <c r="B114" s="252">
        <v>3</v>
      </c>
      <c r="C114" s="254" t="s">
        <v>439</v>
      </c>
      <c r="D114" s="253">
        <f t="shared" si="32"/>
        <v>22</v>
      </c>
      <c r="E114" s="253">
        <f t="shared" si="33"/>
        <v>1</v>
      </c>
      <c r="V114" s="195"/>
      <c r="W114" s="195"/>
      <c r="X114" s="195"/>
      <c r="Y114" s="195"/>
    </row>
    <row r="115" spans="2:37">
      <c r="B115" s="252">
        <v>4</v>
      </c>
      <c r="C115" s="254" t="s">
        <v>437</v>
      </c>
      <c r="D115" s="253">
        <f t="shared" si="32"/>
        <v>40</v>
      </c>
      <c r="E115" s="253">
        <f t="shared" si="33"/>
        <v>7</v>
      </c>
      <c r="V115" s="195"/>
      <c r="W115" s="195"/>
      <c r="X115" s="195"/>
      <c r="Y115" s="195"/>
    </row>
    <row r="116" spans="2:37">
      <c r="B116" s="252">
        <v>5</v>
      </c>
      <c r="C116" s="254" t="s">
        <v>440</v>
      </c>
      <c r="D116" s="253">
        <f t="shared" si="32"/>
        <v>29</v>
      </c>
      <c r="E116" s="253">
        <f t="shared" si="33"/>
        <v>4</v>
      </c>
      <c r="V116" s="195"/>
      <c r="W116" s="195"/>
      <c r="X116" s="195"/>
      <c r="Y116" s="195"/>
    </row>
    <row r="117" spans="2:37">
      <c r="B117" s="252">
        <v>6</v>
      </c>
      <c r="C117" s="254" t="s">
        <v>441</v>
      </c>
      <c r="D117" s="253">
        <f t="shared" si="32"/>
        <v>42</v>
      </c>
      <c r="E117" s="253">
        <f t="shared" si="33"/>
        <v>8</v>
      </c>
      <c r="V117" s="54"/>
      <c r="W117" s="54"/>
      <c r="X117" s="54"/>
      <c r="Y117" s="54"/>
      <c r="Z117" s="54"/>
      <c r="AA117" s="54"/>
      <c r="AB117" s="54"/>
      <c r="AC117" s="54"/>
      <c r="AD117" s="54"/>
      <c r="AE117" s="54"/>
      <c r="AF117" s="54"/>
      <c r="AG117" s="54"/>
      <c r="AH117" s="54"/>
      <c r="AI117" s="54"/>
      <c r="AJ117" s="54"/>
      <c r="AK117" s="54"/>
    </row>
    <row r="118" spans="2:37">
      <c r="B118" s="252">
        <v>7</v>
      </c>
      <c r="C118" s="254" t="s">
        <v>443</v>
      </c>
      <c r="D118" s="253">
        <f t="shared" si="32"/>
        <v>42</v>
      </c>
      <c r="E118" s="253">
        <f t="shared" si="33"/>
        <v>8</v>
      </c>
      <c r="V118" s="54"/>
      <c r="W118" s="325"/>
      <c r="X118" s="325"/>
      <c r="Y118" s="325"/>
      <c r="Z118" s="325"/>
      <c r="AA118" s="325"/>
      <c r="AB118" s="325"/>
      <c r="AC118" s="325"/>
      <c r="AD118" s="325"/>
      <c r="AE118" s="325"/>
      <c r="AF118" s="325"/>
      <c r="AG118" s="325"/>
      <c r="AH118" s="325"/>
      <c r="AI118" s="325"/>
      <c r="AJ118" s="325"/>
      <c r="AK118" s="325"/>
    </row>
    <row r="119" spans="2:37">
      <c r="B119" s="252">
        <v>8</v>
      </c>
      <c r="C119" s="254" t="s">
        <v>444</v>
      </c>
      <c r="D119" s="253">
        <f t="shared" si="32"/>
        <v>23</v>
      </c>
      <c r="E119" s="253">
        <f t="shared" si="33"/>
        <v>3</v>
      </c>
      <c r="V119" s="55"/>
      <c r="W119" s="55"/>
      <c r="X119" s="55"/>
      <c r="Y119" s="55"/>
      <c r="Z119" s="55"/>
      <c r="AA119" s="55"/>
      <c r="AB119" s="55"/>
      <c r="AC119" s="55"/>
      <c r="AD119" s="55"/>
      <c r="AE119" s="55"/>
      <c r="AF119" s="55"/>
      <c r="AG119" s="55"/>
      <c r="AH119" s="55"/>
      <c r="AI119" s="55"/>
      <c r="AJ119" s="55"/>
      <c r="AK119" s="55"/>
    </row>
    <row r="120" spans="2:37">
      <c r="B120" s="252">
        <v>9</v>
      </c>
      <c r="C120" s="254" t="s">
        <v>82</v>
      </c>
      <c r="D120" s="253">
        <f t="shared" si="32"/>
        <v>22</v>
      </c>
      <c r="E120" s="253">
        <f t="shared" si="33"/>
        <v>1</v>
      </c>
      <c r="V120" s="58"/>
      <c r="W120" s="196"/>
      <c r="X120" s="196"/>
      <c r="Y120" s="59"/>
      <c r="Z120" s="54"/>
      <c r="AA120" s="54"/>
      <c r="AB120" s="54"/>
      <c r="AC120" s="54"/>
      <c r="AD120" s="54"/>
      <c r="AE120" s="54"/>
      <c r="AF120" s="54"/>
      <c r="AG120" s="54"/>
      <c r="AH120" s="54"/>
      <c r="AI120" s="54"/>
      <c r="AJ120" s="54"/>
      <c r="AK120" s="54"/>
    </row>
    <row r="121" spans="2:37">
      <c r="B121" s="252">
        <v>10</v>
      </c>
      <c r="C121" s="254" t="s">
        <v>99</v>
      </c>
      <c r="D121" s="253">
        <f t="shared" si="32"/>
        <v>34</v>
      </c>
      <c r="E121" s="253">
        <f t="shared" si="33"/>
        <v>5</v>
      </c>
      <c r="V121" s="58"/>
      <c r="W121" s="196"/>
      <c r="X121" s="196"/>
      <c r="Y121" s="59"/>
      <c r="Z121" s="54"/>
      <c r="AA121" s="54"/>
      <c r="AB121" s="54"/>
      <c r="AC121" s="54"/>
      <c r="AD121" s="54"/>
      <c r="AE121" s="54"/>
      <c r="AF121" s="54"/>
      <c r="AG121" s="54"/>
      <c r="AH121" s="54"/>
      <c r="AI121" s="54"/>
      <c r="AJ121" s="54"/>
      <c r="AK121" s="54"/>
    </row>
    <row r="122" spans="2:37">
      <c r="B122" s="252">
        <v>11</v>
      </c>
      <c r="C122" s="255"/>
      <c r="D122" s="253" t="str">
        <f t="shared" si="32"/>
        <v/>
      </c>
      <c r="E122" s="253" t="str">
        <f t="shared" si="33"/>
        <v/>
      </c>
      <c r="V122" s="58"/>
      <c r="W122" s="196"/>
      <c r="X122" s="196"/>
      <c r="Y122" s="59"/>
      <c r="Z122" s="54"/>
      <c r="AA122" s="54"/>
      <c r="AB122" s="54"/>
      <c r="AC122" s="54"/>
      <c r="AD122" s="54"/>
      <c r="AE122" s="54"/>
      <c r="AF122" s="54"/>
      <c r="AG122" s="54"/>
      <c r="AH122" s="54"/>
      <c r="AI122" s="54"/>
      <c r="AJ122" s="54"/>
      <c r="AK122" s="54"/>
    </row>
    <row r="123" spans="2:37">
      <c r="B123" s="252">
        <v>12</v>
      </c>
      <c r="C123" s="255"/>
      <c r="D123" s="253" t="str">
        <f t="shared" si="32"/>
        <v/>
      </c>
      <c r="E123" s="253" t="str">
        <f t="shared" si="33"/>
        <v/>
      </c>
      <c r="V123" s="58"/>
      <c r="W123" s="196"/>
      <c r="X123" s="196"/>
      <c r="Y123" s="59"/>
      <c r="Z123" s="54"/>
      <c r="AA123" s="54"/>
      <c r="AB123" s="54"/>
      <c r="AC123" s="54"/>
      <c r="AD123" s="54"/>
      <c r="AE123" s="54"/>
      <c r="AF123" s="54"/>
      <c r="AG123" s="54"/>
      <c r="AH123" s="54"/>
      <c r="AI123" s="54"/>
      <c r="AJ123" s="54"/>
      <c r="AK123" s="54"/>
    </row>
    <row r="124" spans="2:37">
      <c r="B124" s="252">
        <v>13</v>
      </c>
      <c r="C124" s="255"/>
      <c r="D124" s="253" t="str">
        <f t="shared" si="32"/>
        <v/>
      </c>
      <c r="E124" s="253" t="str">
        <f t="shared" si="33"/>
        <v/>
      </c>
      <c r="V124" s="58"/>
      <c r="W124" s="196"/>
      <c r="X124" s="196"/>
      <c r="Y124" s="59"/>
      <c r="Z124" s="54"/>
      <c r="AA124" s="54"/>
      <c r="AB124" s="54"/>
      <c r="AC124" s="54"/>
      <c r="AD124" s="54"/>
      <c r="AE124" s="54"/>
      <c r="AF124" s="54"/>
      <c r="AG124" s="54"/>
      <c r="AH124" s="54"/>
      <c r="AI124" s="54"/>
      <c r="AJ124" s="54"/>
      <c r="AK124" s="54"/>
    </row>
    <row r="125" spans="2:37">
      <c r="B125" s="252">
        <v>14</v>
      </c>
      <c r="C125" s="255"/>
      <c r="D125" s="253" t="str">
        <f t="shared" si="32"/>
        <v/>
      </c>
      <c r="E125" s="253" t="str">
        <f t="shared" si="33"/>
        <v/>
      </c>
      <c r="V125" s="58"/>
      <c r="W125" s="196"/>
      <c r="X125" s="196"/>
      <c r="Y125" s="59"/>
      <c r="Z125" s="54"/>
      <c r="AA125" s="54"/>
      <c r="AB125" s="54"/>
      <c r="AC125" s="54"/>
      <c r="AD125" s="54"/>
      <c r="AE125" s="54"/>
      <c r="AF125" s="54"/>
      <c r="AG125" s="54"/>
      <c r="AH125" s="54"/>
      <c r="AI125" s="54"/>
      <c r="AJ125" s="54"/>
      <c r="AK125" s="54"/>
    </row>
    <row r="126" spans="2:37">
      <c r="B126" s="252">
        <v>15</v>
      </c>
      <c r="C126" s="255"/>
      <c r="D126" s="253" t="str">
        <f t="shared" si="32"/>
        <v/>
      </c>
      <c r="E126" s="253" t="str">
        <f t="shared" si="33"/>
        <v/>
      </c>
      <c r="V126" s="58"/>
      <c r="W126" s="196"/>
      <c r="X126" s="196"/>
      <c r="Y126" s="59"/>
      <c r="Z126" s="54"/>
      <c r="AA126" s="54"/>
      <c r="AB126" s="54"/>
      <c r="AC126" s="54"/>
      <c r="AD126" s="54"/>
      <c r="AE126" s="54"/>
      <c r="AF126" s="54"/>
      <c r="AG126" s="54"/>
      <c r="AH126" s="54"/>
      <c r="AI126" s="54"/>
      <c r="AJ126" s="54"/>
      <c r="AK126" s="54"/>
    </row>
    <row r="127" spans="2:37">
      <c r="B127" s="252">
        <v>16</v>
      </c>
      <c r="C127" s="255"/>
      <c r="D127" s="253" t="str">
        <f t="shared" si="32"/>
        <v/>
      </c>
      <c r="E127" s="253" t="str">
        <f t="shared" si="33"/>
        <v/>
      </c>
      <c r="V127" s="58"/>
      <c r="W127" s="196"/>
      <c r="X127" s="196"/>
      <c r="Y127" s="59"/>
      <c r="Z127" s="54"/>
      <c r="AA127" s="54"/>
      <c r="AB127" s="54"/>
      <c r="AC127" s="54"/>
      <c r="AD127" s="54"/>
      <c r="AE127" s="54"/>
      <c r="AF127" s="54"/>
      <c r="AG127" s="54"/>
      <c r="AH127" s="54"/>
      <c r="AI127" s="54"/>
      <c r="AJ127" s="54"/>
      <c r="AK127" s="54"/>
    </row>
    <row r="128" spans="2:37">
      <c r="V128" s="58"/>
      <c r="W128" s="196"/>
      <c r="X128" s="196"/>
      <c r="Y128" s="59"/>
      <c r="Z128" s="54"/>
      <c r="AA128" s="54"/>
      <c r="AB128" s="54"/>
      <c r="AC128" s="54"/>
      <c r="AD128" s="54"/>
      <c r="AE128" s="54"/>
      <c r="AF128" s="54"/>
      <c r="AG128" s="54"/>
      <c r="AH128" s="54"/>
      <c r="AI128" s="54"/>
      <c r="AJ128" s="54"/>
      <c r="AK128" s="54"/>
    </row>
    <row r="129" spans="22:37">
      <c r="V129" s="58"/>
      <c r="W129" s="196"/>
      <c r="X129" s="196"/>
      <c r="Y129" s="59"/>
      <c r="Z129" s="54"/>
      <c r="AA129" s="54"/>
      <c r="AB129" s="54"/>
      <c r="AC129" s="54"/>
      <c r="AD129" s="54"/>
      <c r="AE129" s="54"/>
      <c r="AF129" s="54"/>
      <c r="AG129" s="54"/>
      <c r="AH129" s="54"/>
      <c r="AI129" s="54"/>
      <c r="AJ129" s="54"/>
      <c r="AK129" s="54"/>
    </row>
    <row r="130" spans="22:37">
      <c r="V130" s="58"/>
      <c r="W130" s="196"/>
      <c r="X130" s="196"/>
      <c r="Y130" s="59"/>
      <c r="Z130" s="54"/>
      <c r="AA130" s="54"/>
      <c r="AB130" s="54"/>
      <c r="AC130" s="54"/>
      <c r="AD130" s="54"/>
      <c r="AE130" s="54"/>
      <c r="AF130" s="54"/>
      <c r="AG130" s="54"/>
      <c r="AH130" s="54"/>
      <c r="AI130" s="54"/>
      <c r="AJ130" s="54"/>
      <c r="AK130" s="54"/>
    </row>
    <row r="131" spans="22:37">
      <c r="V131" s="58"/>
      <c r="W131" s="196"/>
      <c r="X131" s="196"/>
      <c r="Y131" s="59"/>
      <c r="Z131" s="54"/>
      <c r="AA131" s="54"/>
      <c r="AB131" s="54"/>
      <c r="AC131" s="54"/>
      <c r="AD131" s="54"/>
      <c r="AE131" s="54"/>
      <c r="AF131" s="54"/>
      <c r="AG131" s="54"/>
      <c r="AH131" s="54"/>
      <c r="AI131" s="54"/>
      <c r="AJ131" s="54"/>
      <c r="AK131" s="54"/>
    </row>
    <row r="132" spans="22:37">
      <c r="V132" s="58"/>
      <c r="W132" s="196"/>
      <c r="X132" s="196"/>
      <c r="Y132" s="59"/>
      <c r="Z132" s="54"/>
      <c r="AA132" s="54"/>
      <c r="AB132" s="54"/>
      <c r="AC132" s="54"/>
      <c r="AD132" s="54"/>
      <c r="AE132" s="54"/>
      <c r="AF132" s="54"/>
      <c r="AG132" s="54"/>
      <c r="AH132" s="54"/>
      <c r="AI132" s="54"/>
      <c r="AJ132" s="54"/>
      <c r="AK132" s="54"/>
    </row>
    <row r="133" spans="22:37">
      <c r="V133" s="58"/>
      <c r="W133" s="196"/>
      <c r="X133" s="196"/>
      <c r="Y133" s="59"/>
      <c r="Z133" s="54"/>
      <c r="AA133" s="54"/>
      <c r="AB133" s="54"/>
      <c r="AC133" s="54"/>
      <c r="AD133" s="54"/>
      <c r="AE133" s="54"/>
      <c r="AF133" s="54"/>
      <c r="AG133" s="54"/>
      <c r="AH133" s="54"/>
      <c r="AI133" s="54"/>
      <c r="AJ133" s="54"/>
      <c r="AK133" s="54"/>
    </row>
    <row r="134" spans="22:37">
      <c r="V134" s="58"/>
      <c r="W134" s="196"/>
      <c r="X134" s="196"/>
      <c r="Y134" s="59"/>
      <c r="Z134" s="54"/>
      <c r="AA134" s="54"/>
      <c r="AB134" s="54"/>
      <c r="AC134" s="54"/>
      <c r="AD134" s="54"/>
      <c r="AE134" s="54"/>
      <c r="AF134" s="54"/>
      <c r="AG134" s="54"/>
      <c r="AH134" s="54"/>
      <c r="AI134" s="54"/>
      <c r="AJ134" s="54"/>
      <c r="AK134" s="54"/>
    </row>
  </sheetData>
  <mergeCells count="50">
    <mergeCell ref="W118:Y118"/>
    <mergeCell ref="Z118:AB118"/>
    <mergeCell ref="AC118:AE118"/>
    <mergeCell ref="AF118:AH118"/>
    <mergeCell ref="AI118:AK118"/>
    <mergeCell ref="W92:Y92"/>
    <mergeCell ref="Z92:AB92"/>
    <mergeCell ref="AC92:AE92"/>
    <mergeCell ref="AF92:AH92"/>
    <mergeCell ref="AI92:AK92"/>
    <mergeCell ref="H75:M75"/>
    <mergeCell ref="G59:G63"/>
    <mergeCell ref="H59:H63"/>
    <mergeCell ref="Q36:S36"/>
    <mergeCell ref="H70:M70"/>
    <mergeCell ref="H71:M71"/>
    <mergeCell ref="H68:M68"/>
    <mergeCell ref="H67:M67"/>
    <mergeCell ref="H69:M69"/>
    <mergeCell ref="H66:M66"/>
    <mergeCell ref="I59:I63"/>
    <mergeCell ref="B58:I58"/>
    <mergeCell ref="B2:E2"/>
    <mergeCell ref="F41:I41"/>
    <mergeCell ref="F43:I43"/>
    <mergeCell ref="I53:I57"/>
    <mergeCell ref="C52:F52"/>
    <mergeCell ref="G53:G57"/>
    <mergeCell ref="H53:H57"/>
    <mergeCell ref="T82:V82"/>
    <mergeCell ref="B76:E76"/>
    <mergeCell ref="AJ65:AL65"/>
    <mergeCell ref="X65:Z65"/>
    <mergeCell ref="AA65:AC65"/>
    <mergeCell ref="AD65:AF65"/>
    <mergeCell ref="AG65:AI65"/>
    <mergeCell ref="H74:M74"/>
    <mergeCell ref="B75:E75"/>
    <mergeCell ref="B74:E74"/>
    <mergeCell ref="H77:M77"/>
    <mergeCell ref="H78:M78"/>
    <mergeCell ref="H79:M79"/>
    <mergeCell ref="H76:M76"/>
    <mergeCell ref="H72:M72"/>
    <mergeCell ref="H73:M73"/>
    <mergeCell ref="C110:E110"/>
    <mergeCell ref="H82:J82"/>
    <mergeCell ref="K82:M82"/>
    <mergeCell ref="N82:P82"/>
    <mergeCell ref="Q82:S82"/>
  </mergeCells>
  <phoneticPr fontId="1" type="noConversion"/>
  <conditionalFormatting sqref="I53:I57 I59:I63">
    <cfRule type="colorScale" priority="9">
      <colorScale>
        <cfvo type="min"/>
        <cfvo type="max"/>
        <color rgb="FFB2580E"/>
        <color rgb="FF2261DE"/>
      </colorScale>
    </cfRule>
  </conditionalFormatting>
  <conditionalFormatting sqref="F84:F103">
    <cfRule type="aboveAverage" dxfId="6" priority="3"/>
    <cfRule type="aboveAverage" dxfId="5" priority="4" aboveAverage="0" equalAverage="1"/>
  </conditionalFormatting>
  <conditionalFormatting sqref="E112:E127">
    <cfRule type="cellIs" dxfId="4" priority="1" operator="lessThan">
      <formula>9</formula>
    </cfRule>
  </conditionalFormatting>
  <pageMargins left="0.7" right="0.7" top="0.75" bottom="0.75" header="0.3" footer="0.3"/>
  <pageSetup paperSize="9" orientation="portrait" r:id="rId1"/>
  <ignoredErrors>
    <ignoredError sqref="B43:E43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합산">
                <anchor moveWithCells="1" sizeWithCells="1">
                  <from>
                    <xdr:col>9</xdr:col>
                    <xdr:colOff>47625</xdr:colOff>
                    <xdr:row>51</xdr:row>
                    <xdr:rowOff>57150</xdr:rowOff>
                  </from>
                  <to>
                    <xdr:col>9</xdr:col>
                    <xdr:colOff>685800</xdr:colOff>
                    <xdr:row>62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매크로2">
                <anchor moveWithCells="1" sizeWithCells="1">
                  <from>
                    <xdr:col>10</xdr:col>
                    <xdr:colOff>9525</xdr:colOff>
                    <xdr:row>51</xdr:row>
                    <xdr:rowOff>57150</xdr:rowOff>
                  </from>
                  <to>
                    <xdr:col>10</xdr:col>
                    <xdr:colOff>695325</xdr:colOff>
                    <xdr:row>62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49"/>
  <sheetViews>
    <sheetView workbookViewId="0">
      <selection activeCell="D51" sqref="D51"/>
    </sheetView>
  </sheetViews>
  <sheetFormatPr defaultRowHeight="16.5"/>
  <cols>
    <col min="1" max="1" width="14.875" customWidth="1"/>
    <col min="2" max="4" width="5.25" bestFit="1" customWidth="1"/>
    <col min="5" max="5" width="5.25" customWidth="1"/>
    <col min="6" max="6" width="58.25" customWidth="1"/>
    <col min="7" max="7" width="71.25" customWidth="1"/>
  </cols>
  <sheetData>
    <row r="1" spans="1:7">
      <c r="A1" s="355" t="s">
        <v>288</v>
      </c>
      <c r="B1" s="355"/>
      <c r="C1" s="355"/>
      <c r="D1" s="355"/>
      <c r="E1" s="355"/>
      <c r="F1" s="356" t="s">
        <v>289</v>
      </c>
      <c r="G1" s="356"/>
    </row>
    <row r="2" spans="1:7">
      <c r="A2" s="337"/>
      <c r="B2" s="353" t="s">
        <v>118</v>
      </c>
      <c r="C2" s="353"/>
      <c r="D2" s="353"/>
      <c r="E2" s="354"/>
      <c r="F2" s="20" t="s">
        <v>79</v>
      </c>
      <c r="G2" s="20" t="s">
        <v>82</v>
      </c>
    </row>
    <row r="3" spans="1:7">
      <c r="A3" s="339"/>
      <c r="B3" s="157" t="s">
        <v>76</v>
      </c>
      <c r="C3" s="157" t="s">
        <v>75</v>
      </c>
      <c r="D3" s="157" t="s">
        <v>74</v>
      </c>
      <c r="E3" s="158" t="s">
        <v>77</v>
      </c>
      <c r="F3" s="73"/>
      <c r="G3" s="159"/>
    </row>
    <row r="4" spans="1:7">
      <c r="A4" s="10" t="s">
        <v>55</v>
      </c>
      <c r="B4" s="23" t="s">
        <v>78</v>
      </c>
      <c r="C4" s="23" t="s">
        <v>78</v>
      </c>
      <c r="D4" s="23" t="s">
        <v>78</v>
      </c>
      <c r="E4" s="160" t="s">
        <v>78</v>
      </c>
      <c r="F4" s="73"/>
      <c r="G4" s="159"/>
    </row>
    <row r="5" spans="1:7">
      <c r="A5" s="10" t="s">
        <v>59</v>
      </c>
      <c r="B5" s="23" t="s">
        <v>114</v>
      </c>
      <c r="C5" s="23" t="s">
        <v>78</v>
      </c>
      <c r="D5" s="23" t="s">
        <v>114</v>
      </c>
      <c r="E5" s="160" t="s">
        <v>114</v>
      </c>
      <c r="F5" s="73"/>
      <c r="G5" s="159"/>
    </row>
    <row r="6" spans="1:7">
      <c r="A6" s="10" t="s">
        <v>60</v>
      </c>
      <c r="B6" s="23" t="s">
        <v>114</v>
      </c>
      <c r="C6" s="23" t="s">
        <v>114</v>
      </c>
      <c r="D6" s="23" t="s">
        <v>78</v>
      </c>
      <c r="E6" s="160" t="s">
        <v>78</v>
      </c>
      <c r="F6" s="161" t="s">
        <v>290</v>
      </c>
      <c r="G6" s="161" t="s">
        <v>291</v>
      </c>
    </row>
    <row r="7" spans="1:7">
      <c r="A7" s="10" t="s">
        <v>49</v>
      </c>
      <c r="B7" s="23" t="s">
        <v>114</v>
      </c>
      <c r="C7" s="23" t="s">
        <v>114</v>
      </c>
      <c r="D7" s="23" t="s">
        <v>78</v>
      </c>
      <c r="E7" s="160" t="s">
        <v>114</v>
      </c>
      <c r="F7" s="73"/>
      <c r="G7" s="159"/>
    </row>
    <row r="8" spans="1:7">
      <c r="A8" s="10" t="s">
        <v>73</v>
      </c>
      <c r="B8" s="23" t="s">
        <v>114</v>
      </c>
      <c r="C8" s="23" t="s">
        <v>114</v>
      </c>
      <c r="D8" s="23" t="s">
        <v>78</v>
      </c>
      <c r="E8" s="160" t="s">
        <v>114</v>
      </c>
      <c r="F8" s="162" t="s">
        <v>292</v>
      </c>
      <c r="G8" s="159"/>
    </row>
    <row r="9" spans="1:7">
      <c r="A9" s="10" t="s">
        <v>81</v>
      </c>
      <c r="B9" s="23" t="s">
        <v>114</v>
      </c>
      <c r="C9" s="23" t="s">
        <v>114</v>
      </c>
      <c r="D9" s="23" t="s">
        <v>78</v>
      </c>
      <c r="E9" s="160" t="s">
        <v>114</v>
      </c>
      <c r="F9" s="73"/>
      <c r="G9" s="159"/>
    </row>
    <row r="10" spans="1:7">
      <c r="A10" s="10" t="s">
        <v>72</v>
      </c>
      <c r="B10" s="23" t="s">
        <v>114</v>
      </c>
      <c r="C10" s="23" t="s">
        <v>78</v>
      </c>
      <c r="D10" s="23" t="s">
        <v>114</v>
      </c>
      <c r="E10" s="160" t="s">
        <v>114</v>
      </c>
      <c r="F10" s="162" t="s">
        <v>293</v>
      </c>
      <c r="G10" s="159"/>
    </row>
    <row r="11" spans="1:7">
      <c r="A11" s="10" t="s">
        <v>80</v>
      </c>
      <c r="B11" s="23" t="s">
        <v>114</v>
      </c>
      <c r="C11" s="23" t="s">
        <v>78</v>
      </c>
      <c r="D11" s="23" t="s">
        <v>78</v>
      </c>
      <c r="E11" s="160" t="s">
        <v>114</v>
      </c>
      <c r="F11" s="23" t="s">
        <v>292</v>
      </c>
      <c r="G11" s="159"/>
    </row>
    <row r="12" spans="1:7">
      <c r="A12" s="10" t="s">
        <v>79</v>
      </c>
      <c r="B12" s="23" t="s">
        <v>78</v>
      </c>
      <c r="C12" s="23" t="s">
        <v>78</v>
      </c>
      <c r="D12" s="23" t="s">
        <v>78</v>
      </c>
      <c r="E12" s="160" t="s">
        <v>78</v>
      </c>
      <c r="F12" s="23" t="s">
        <v>294</v>
      </c>
      <c r="G12" s="159"/>
    </row>
    <row r="13" spans="1:7">
      <c r="A13" s="10" t="s">
        <v>61</v>
      </c>
      <c r="B13" s="23" t="s">
        <v>114</v>
      </c>
      <c r="C13" s="23" t="s">
        <v>78</v>
      </c>
      <c r="D13" s="23" t="s">
        <v>114</v>
      </c>
      <c r="E13" s="160" t="s">
        <v>114</v>
      </c>
      <c r="F13" s="73"/>
      <c r="G13" s="159"/>
    </row>
    <row r="14" spans="1:7">
      <c r="A14" s="10" t="s">
        <v>62</v>
      </c>
      <c r="B14" s="23" t="s">
        <v>114</v>
      </c>
      <c r="C14" s="23" t="s">
        <v>114</v>
      </c>
      <c r="D14" s="23" t="s">
        <v>78</v>
      </c>
      <c r="E14" s="160" t="s">
        <v>114</v>
      </c>
      <c r="F14" s="73"/>
      <c r="G14" s="159"/>
    </row>
    <row r="15" spans="1:7">
      <c r="A15" s="10" t="s">
        <v>82</v>
      </c>
      <c r="B15" s="23" t="s">
        <v>114</v>
      </c>
      <c r="C15" s="23" t="s">
        <v>78</v>
      </c>
      <c r="D15" s="23" t="s">
        <v>78</v>
      </c>
      <c r="E15" s="160" t="s">
        <v>78</v>
      </c>
      <c r="F15" s="23" t="s">
        <v>292</v>
      </c>
      <c r="G15" s="159" t="s">
        <v>295</v>
      </c>
    </row>
    <row r="16" spans="1:7">
      <c r="A16" s="10" t="s">
        <v>83</v>
      </c>
      <c r="B16" s="23" t="s">
        <v>78</v>
      </c>
      <c r="C16" s="23" t="s">
        <v>78</v>
      </c>
      <c r="D16" s="23" t="s">
        <v>78</v>
      </c>
      <c r="E16" s="160" t="s">
        <v>78</v>
      </c>
      <c r="F16" s="161" t="s">
        <v>296</v>
      </c>
      <c r="G16" s="159"/>
    </row>
    <row r="17" spans="1:7">
      <c r="A17" s="10" t="s">
        <v>84</v>
      </c>
      <c r="B17" s="23" t="s">
        <v>78</v>
      </c>
      <c r="C17" s="23" t="s">
        <v>114</v>
      </c>
      <c r="D17" s="23" t="s">
        <v>114</v>
      </c>
      <c r="E17" s="160" t="s">
        <v>78</v>
      </c>
      <c r="F17" s="73"/>
      <c r="G17" s="159"/>
    </row>
    <row r="18" spans="1:7">
      <c r="A18" s="10" t="s">
        <v>85</v>
      </c>
      <c r="B18" s="23" t="s">
        <v>114</v>
      </c>
      <c r="C18" s="23" t="s">
        <v>114</v>
      </c>
      <c r="D18" s="23" t="s">
        <v>114</v>
      </c>
      <c r="E18" s="160" t="s">
        <v>78</v>
      </c>
      <c r="F18" s="73"/>
      <c r="G18" s="159"/>
    </row>
    <row r="19" spans="1:7">
      <c r="A19" s="10" t="s">
        <v>86</v>
      </c>
      <c r="B19" s="23" t="s">
        <v>114</v>
      </c>
      <c r="C19" s="23" t="s">
        <v>78</v>
      </c>
      <c r="D19" s="23" t="s">
        <v>78</v>
      </c>
      <c r="E19" s="160" t="s">
        <v>114</v>
      </c>
      <c r="F19" s="23" t="s">
        <v>292</v>
      </c>
      <c r="G19" s="159"/>
    </row>
    <row r="20" spans="1:7">
      <c r="A20" s="10" t="s">
        <v>69</v>
      </c>
      <c r="B20" s="23" t="s">
        <v>114</v>
      </c>
      <c r="C20" s="23" t="s">
        <v>114</v>
      </c>
      <c r="D20" s="23" t="s">
        <v>78</v>
      </c>
      <c r="E20" s="160" t="s">
        <v>114</v>
      </c>
      <c r="F20" s="161" t="s">
        <v>297</v>
      </c>
      <c r="G20" s="159"/>
    </row>
    <row r="21" spans="1:7">
      <c r="A21" s="10" t="s">
        <v>87</v>
      </c>
      <c r="B21" s="23" t="s">
        <v>114</v>
      </c>
      <c r="C21" s="23" t="s">
        <v>78</v>
      </c>
      <c r="D21" s="23" t="s">
        <v>114</v>
      </c>
      <c r="E21" s="160" t="s">
        <v>114</v>
      </c>
      <c r="F21" s="161" t="s">
        <v>298</v>
      </c>
      <c r="G21" s="159"/>
    </row>
    <row r="22" spans="1:7">
      <c r="A22" s="10" t="s">
        <v>88</v>
      </c>
      <c r="B22" s="23" t="s">
        <v>78</v>
      </c>
      <c r="C22" s="23" t="s">
        <v>78</v>
      </c>
      <c r="D22" s="23" t="s">
        <v>78</v>
      </c>
      <c r="E22" s="160" t="s">
        <v>78</v>
      </c>
      <c r="F22" s="23" t="s">
        <v>292</v>
      </c>
      <c r="G22" s="159"/>
    </row>
    <row r="23" spans="1:7">
      <c r="A23" s="10" t="s">
        <v>89</v>
      </c>
      <c r="B23" s="23" t="s">
        <v>78</v>
      </c>
      <c r="C23" s="23" t="s">
        <v>114</v>
      </c>
      <c r="D23" s="23" t="s">
        <v>78</v>
      </c>
      <c r="E23" s="160" t="s">
        <v>114</v>
      </c>
      <c r="F23" s="73"/>
      <c r="G23" s="159"/>
    </row>
    <row r="24" spans="1:7">
      <c r="A24" s="10" t="s">
        <v>90</v>
      </c>
      <c r="B24" s="23" t="s">
        <v>78</v>
      </c>
      <c r="C24" s="23" t="s">
        <v>78</v>
      </c>
      <c r="D24" s="23" t="s">
        <v>78</v>
      </c>
      <c r="E24" s="160" t="s">
        <v>78</v>
      </c>
      <c r="F24" s="73"/>
      <c r="G24" s="159"/>
    </row>
    <row r="25" spans="1:7">
      <c r="A25" s="10" t="s">
        <v>65</v>
      </c>
      <c r="B25" s="23" t="s">
        <v>114</v>
      </c>
      <c r="C25" s="23" t="s">
        <v>78</v>
      </c>
      <c r="D25" s="23" t="s">
        <v>114</v>
      </c>
      <c r="E25" s="160" t="s">
        <v>114</v>
      </c>
      <c r="F25" s="23" t="s">
        <v>292</v>
      </c>
      <c r="G25" s="159"/>
    </row>
    <row r="26" spans="1:7">
      <c r="A26" s="10" t="s">
        <v>91</v>
      </c>
      <c r="B26" s="23" t="s">
        <v>78</v>
      </c>
      <c r="C26" s="23" t="s">
        <v>78</v>
      </c>
      <c r="D26" s="23" t="s">
        <v>114</v>
      </c>
      <c r="E26" s="160" t="s">
        <v>78</v>
      </c>
      <c r="F26" s="161" t="s">
        <v>299</v>
      </c>
      <c r="G26" s="159"/>
    </row>
    <row r="27" spans="1:7">
      <c r="A27" s="10" t="s">
        <v>92</v>
      </c>
      <c r="B27" s="23" t="s">
        <v>78</v>
      </c>
      <c r="C27" s="23" t="s">
        <v>114</v>
      </c>
      <c r="D27" s="23" t="s">
        <v>78</v>
      </c>
      <c r="E27" s="160" t="s">
        <v>114</v>
      </c>
      <c r="F27" s="73" t="s">
        <v>300</v>
      </c>
      <c r="G27" s="159"/>
    </row>
    <row r="28" spans="1:7">
      <c r="A28" s="10" t="s">
        <v>50</v>
      </c>
      <c r="B28" s="23" t="s">
        <v>114</v>
      </c>
      <c r="C28" s="23" t="s">
        <v>114</v>
      </c>
      <c r="D28" s="160" t="s">
        <v>78</v>
      </c>
      <c r="E28" s="160" t="s">
        <v>78</v>
      </c>
      <c r="F28" s="161" t="s">
        <v>301</v>
      </c>
      <c r="G28" s="159"/>
    </row>
    <row r="29" spans="1:7">
      <c r="A29" s="10" t="s">
        <v>93</v>
      </c>
      <c r="B29" s="23" t="s">
        <v>114</v>
      </c>
      <c r="C29" s="23" t="s">
        <v>78</v>
      </c>
      <c r="D29" s="23" t="s">
        <v>78</v>
      </c>
      <c r="E29" s="160" t="s">
        <v>114</v>
      </c>
      <c r="F29" s="23" t="s">
        <v>292</v>
      </c>
      <c r="G29" s="159"/>
    </row>
    <row r="30" spans="1:7">
      <c r="A30" s="10" t="s">
        <v>94</v>
      </c>
      <c r="B30" s="23" t="s">
        <v>114</v>
      </c>
      <c r="C30" s="23" t="s">
        <v>78</v>
      </c>
      <c r="D30" s="23" t="s">
        <v>78</v>
      </c>
      <c r="E30" s="160" t="s">
        <v>78</v>
      </c>
      <c r="F30" s="73"/>
      <c r="G30" s="159"/>
    </row>
    <row r="31" spans="1:7">
      <c r="A31" s="10" t="s">
        <v>95</v>
      </c>
      <c r="B31" s="23" t="s">
        <v>78</v>
      </c>
      <c r="C31" s="23" t="s">
        <v>78</v>
      </c>
      <c r="D31" s="23" t="s">
        <v>78</v>
      </c>
      <c r="E31" s="160" t="s">
        <v>78</v>
      </c>
      <c r="F31" s="73"/>
      <c r="G31" s="159"/>
    </row>
    <row r="32" spans="1:7">
      <c r="A32" s="10" t="s">
        <v>96</v>
      </c>
      <c r="B32" s="23" t="s">
        <v>114</v>
      </c>
      <c r="C32" s="23" t="s">
        <v>78</v>
      </c>
      <c r="D32" s="23" t="s">
        <v>114</v>
      </c>
      <c r="E32" s="160" t="s">
        <v>114</v>
      </c>
      <c r="F32" s="73"/>
      <c r="G32" s="159"/>
    </row>
    <row r="33" spans="1:7">
      <c r="A33" s="10" t="s">
        <v>97</v>
      </c>
      <c r="B33" s="23" t="s">
        <v>114</v>
      </c>
      <c r="C33" s="23" t="s">
        <v>78</v>
      </c>
      <c r="D33" s="23" t="s">
        <v>78</v>
      </c>
      <c r="E33" s="160" t="s">
        <v>114</v>
      </c>
      <c r="F33" s="161" t="s">
        <v>302</v>
      </c>
      <c r="G33" s="159"/>
    </row>
    <row r="34" spans="1:7">
      <c r="A34" s="10" t="s">
        <v>98</v>
      </c>
      <c r="B34" s="23" t="s">
        <v>78</v>
      </c>
      <c r="C34" s="23" t="s">
        <v>78</v>
      </c>
      <c r="D34" s="23" t="s">
        <v>114</v>
      </c>
      <c r="E34" s="160" t="s">
        <v>78</v>
      </c>
      <c r="F34" s="161" t="s">
        <v>303</v>
      </c>
      <c r="G34" s="159"/>
    </row>
    <row r="35" spans="1:7">
      <c r="A35" s="10" t="s">
        <v>99</v>
      </c>
      <c r="B35" s="23" t="s">
        <v>114</v>
      </c>
      <c r="C35" s="23" t="s">
        <v>114</v>
      </c>
      <c r="D35" s="23" t="s">
        <v>78</v>
      </c>
      <c r="E35" s="23" t="s">
        <v>78</v>
      </c>
      <c r="F35" s="161" t="s">
        <v>304</v>
      </c>
      <c r="G35" s="159" t="s">
        <v>305</v>
      </c>
    </row>
    <row r="36" spans="1:7">
      <c r="A36" s="10" t="s">
        <v>100</v>
      </c>
      <c r="B36" s="23" t="s">
        <v>114</v>
      </c>
      <c r="C36" s="23" t="s">
        <v>78</v>
      </c>
      <c r="D36" s="23" t="s">
        <v>114</v>
      </c>
      <c r="E36" s="160" t="s">
        <v>114</v>
      </c>
      <c r="F36" s="73"/>
      <c r="G36" s="159"/>
    </row>
    <row r="37" spans="1:7">
      <c r="A37" s="10" t="s">
        <v>101</v>
      </c>
      <c r="B37" s="23" t="s">
        <v>114</v>
      </c>
      <c r="C37" s="23" t="s">
        <v>114</v>
      </c>
      <c r="D37" s="23" t="s">
        <v>78</v>
      </c>
      <c r="E37" s="160" t="s">
        <v>114</v>
      </c>
      <c r="F37" s="73"/>
      <c r="G37" s="159"/>
    </row>
    <row r="38" spans="1:7">
      <c r="A38" s="10" t="s">
        <v>102</v>
      </c>
      <c r="B38" s="23" t="s">
        <v>78</v>
      </c>
      <c r="C38" s="23" t="s">
        <v>114</v>
      </c>
      <c r="D38" s="23" t="s">
        <v>114</v>
      </c>
      <c r="E38" s="160" t="s">
        <v>114</v>
      </c>
      <c r="F38" s="23" t="s">
        <v>292</v>
      </c>
      <c r="G38" s="159"/>
    </row>
    <row r="39" spans="1:7">
      <c r="A39" s="10" t="s">
        <v>320</v>
      </c>
      <c r="B39" s="23" t="s">
        <v>114</v>
      </c>
      <c r="C39" s="23" t="s">
        <v>114</v>
      </c>
      <c r="D39" s="23" t="s">
        <v>78</v>
      </c>
      <c r="E39" s="160" t="s">
        <v>114</v>
      </c>
      <c r="F39" s="23"/>
      <c r="G39" s="159"/>
    </row>
    <row r="40" spans="1:7">
      <c r="A40" s="171"/>
      <c r="B40" s="171"/>
      <c r="C40" s="171"/>
      <c r="D40" s="171"/>
      <c r="E40" s="171"/>
      <c r="F40" s="171"/>
      <c r="G40" s="171"/>
    </row>
    <row r="41" spans="1:7">
      <c r="A41" s="171"/>
      <c r="B41" s="171"/>
      <c r="C41" s="171"/>
      <c r="D41" s="171"/>
      <c r="E41" s="171"/>
      <c r="F41" s="171"/>
      <c r="G41" s="171"/>
    </row>
    <row r="42" spans="1:7">
      <c r="A42" s="171"/>
      <c r="B42" s="171"/>
      <c r="C42" s="171"/>
      <c r="D42" s="171"/>
      <c r="E42" s="171"/>
      <c r="F42" s="171"/>
      <c r="G42" s="171"/>
    </row>
    <row r="43" spans="1:7">
      <c r="A43" s="171"/>
      <c r="B43" s="171"/>
      <c r="C43" s="171"/>
      <c r="D43" s="171"/>
      <c r="E43" s="171"/>
      <c r="F43" s="171"/>
      <c r="G43" s="171"/>
    </row>
    <row r="44" spans="1:7">
      <c r="A44" s="171"/>
      <c r="B44" s="171"/>
      <c r="C44" s="171"/>
      <c r="D44" s="171"/>
      <c r="E44" s="171"/>
      <c r="F44" s="171"/>
      <c r="G44" s="171"/>
    </row>
    <row r="45" spans="1:7">
      <c r="A45" s="171"/>
      <c r="B45" s="171"/>
      <c r="C45" s="171"/>
      <c r="D45" s="171"/>
      <c r="E45" s="171"/>
      <c r="F45" s="171"/>
      <c r="G45" s="171"/>
    </row>
    <row r="46" spans="1:7">
      <c r="A46" s="171"/>
      <c r="B46" s="171"/>
      <c r="C46" s="171"/>
      <c r="D46" s="171"/>
      <c r="E46" s="171"/>
      <c r="F46" s="171"/>
      <c r="G46" s="171"/>
    </row>
    <row r="47" spans="1:7">
      <c r="A47" s="171"/>
      <c r="B47" s="171"/>
      <c r="C47" s="171"/>
      <c r="D47" s="171"/>
      <c r="E47" s="171"/>
      <c r="F47" s="171"/>
      <c r="G47" s="171"/>
    </row>
    <row r="48" spans="1:7">
      <c r="A48" s="171"/>
      <c r="B48" s="171"/>
      <c r="C48" s="171"/>
      <c r="D48" s="171"/>
      <c r="E48" s="171"/>
      <c r="F48" s="171"/>
      <c r="G48" s="171"/>
    </row>
    <row r="49" spans="1:7">
      <c r="A49" s="171"/>
      <c r="B49" s="171"/>
      <c r="C49" s="171"/>
      <c r="D49" s="171"/>
      <c r="E49" s="171"/>
      <c r="F49" s="171"/>
      <c r="G49" s="171"/>
    </row>
  </sheetData>
  <mergeCells count="4">
    <mergeCell ref="B2:E2"/>
    <mergeCell ref="A2:A3"/>
    <mergeCell ref="A1:E1"/>
    <mergeCell ref="F1:G1"/>
  </mergeCells>
  <phoneticPr fontId="1" type="noConversion"/>
  <conditionalFormatting sqref="B4:E38">
    <cfRule type="containsBlanks" dxfId="3" priority="4">
      <formula>LEN(TRIM(B4))=0</formula>
    </cfRule>
  </conditionalFormatting>
  <conditionalFormatting sqref="B4:E38">
    <cfRule type="cellIs" dxfId="2" priority="3" operator="equal">
      <formula>"X"</formula>
    </cfRule>
  </conditionalFormatting>
  <conditionalFormatting sqref="B39:E39">
    <cfRule type="containsBlanks" dxfId="1" priority="2">
      <formula>LEN(TRIM(B39))=0</formula>
    </cfRule>
  </conditionalFormatting>
  <conditionalFormatting sqref="B39:E39">
    <cfRule type="cellIs" dxfId="0" priority="1" operator="equal">
      <formula>"X"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R213"/>
  <sheetViews>
    <sheetView topLeftCell="A46" zoomScale="85" zoomScaleNormal="85" workbookViewId="0">
      <selection activeCell="Q56" sqref="M54:Q56"/>
    </sheetView>
  </sheetViews>
  <sheetFormatPr defaultRowHeight="16.5"/>
  <cols>
    <col min="1" max="1" width="7.375" customWidth="1"/>
    <col min="6" max="6" width="2.625" customWidth="1"/>
    <col min="16" max="16" width="10.625" customWidth="1"/>
    <col min="21" max="21" width="10.375" customWidth="1"/>
    <col min="22" max="22" width="10.875" customWidth="1"/>
    <col min="23" max="23" width="11.25" customWidth="1"/>
    <col min="24" max="24" width="11.75" customWidth="1"/>
    <col min="26" max="26" width="11.375" customWidth="1"/>
    <col min="33" max="33" width="9.25" customWidth="1"/>
    <col min="34" max="34" width="7.75" hidden="1" customWidth="1"/>
    <col min="35" max="133" width="9" hidden="1" customWidth="1"/>
  </cols>
  <sheetData>
    <row r="1" spans="1:148">
      <c r="A1" s="30"/>
      <c r="B1" s="32" t="s">
        <v>155</v>
      </c>
      <c r="C1" s="32" t="s">
        <v>156</v>
      </c>
      <c r="D1" s="32" t="s">
        <v>157</v>
      </c>
      <c r="E1" s="32" t="s">
        <v>158</v>
      </c>
      <c r="F1" s="30"/>
      <c r="G1" s="33" t="s">
        <v>159</v>
      </c>
      <c r="H1" s="33" t="s">
        <v>160</v>
      </c>
      <c r="I1" s="33" t="s">
        <v>161</v>
      </c>
      <c r="J1" s="33" t="s">
        <v>162</v>
      </c>
      <c r="AG1" s="71" t="s">
        <v>188</v>
      </c>
      <c r="AH1" s="72" t="s">
        <v>189</v>
      </c>
      <c r="AI1" s="72" t="s">
        <v>190</v>
      </c>
      <c r="AJ1" s="72" t="s">
        <v>191</v>
      </c>
      <c r="AK1" s="72" t="s">
        <v>192</v>
      </c>
      <c r="AL1" s="72" t="s">
        <v>193</v>
      </c>
      <c r="AM1" s="72" t="s">
        <v>194</v>
      </c>
      <c r="AN1" s="72" t="s">
        <v>195</v>
      </c>
      <c r="AO1" s="72" t="s">
        <v>196</v>
      </c>
      <c r="AP1" s="72" t="s">
        <v>197</v>
      </c>
      <c r="AQ1" s="72" t="s">
        <v>198</v>
      </c>
      <c r="AR1" s="72" t="s">
        <v>199</v>
      </c>
      <c r="AS1" s="72" t="s">
        <v>200</v>
      </c>
      <c r="AT1" s="72" t="s">
        <v>201</v>
      </c>
      <c r="AU1" s="72" t="s">
        <v>202</v>
      </c>
      <c r="AV1" s="72" t="s">
        <v>203</v>
      </c>
      <c r="AW1" s="72" t="s">
        <v>204</v>
      </c>
      <c r="AX1" s="72" t="s">
        <v>205</v>
      </c>
      <c r="AY1" s="72" t="s">
        <v>206</v>
      </c>
      <c r="AZ1" s="72" t="s">
        <v>207</v>
      </c>
      <c r="BA1" s="72" t="s">
        <v>208</v>
      </c>
      <c r="BB1" s="72" t="s">
        <v>209</v>
      </c>
      <c r="BC1" s="72" t="s">
        <v>210</v>
      </c>
      <c r="BD1" s="72" t="s">
        <v>211</v>
      </c>
      <c r="BE1" s="72" t="s">
        <v>212</v>
      </c>
      <c r="BF1" s="72" t="s">
        <v>213</v>
      </c>
      <c r="BG1" s="72" t="s">
        <v>214</v>
      </c>
      <c r="BH1" s="72" t="s">
        <v>215</v>
      </c>
      <c r="BI1" s="72" t="s">
        <v>216</v>
      </c>
      <c r="BJ1" s="72" t="s">
        <v>217</v>
      </c>
      <c r="BK1" s="72" t="s">
        <v>218</v>
      </c>
      <c r="BL1" s="72" t="s">
        <v>219</v>
      </c>
      <c r="BM1" s="72" t="s">
        <v>220</v>
      </c>
      <c r="BN1" s="72" t="s">
        <v>221</v>
      </c>
      <c r="BO1" s="72" t="s">
        <v>222</v>
      </c>
      <c r="BP1" s="72" t="s">
        <v>223</v>
      </c>
      <c r="BQ1" s="72" t="s">
        <v>224</v>
      </c>
      <c r="BR1" s="72" t="s">
        <v>225</v>
      </c>
      <c r="BS1" s="72" t="s">
        <v>226</v>
      </c>
      <c r="BT1" s="72" t="s">
        <v>227</v>
      </c>
      <c r="BU1" s="72" t="s">
        <v>228</v>
      </c>
      <c r="BW1" s="76" t="s">
        <v>231</v>
      </c>
      <c r="BX1" s="76" t="s">
        <v>230</v>
      </c>
      <c r="BY1" s="76" t="s">
        <v>232</v>
      </c>
      <c r="BZ1" s="76" t="s">
        <v>233</v>
      </c>
      <c r="CA1" s="76" t="s">
        <v>234</v>
      </c>
      <c r="CB1" s="76" t="s">
        <v>235</v>
      </c>
      <c r="CC1" s="77"/>
      <c r="CD1" s="76" t="s">
        <v>231</v>
      </c>
      <c r="CE1" s="76" t="s">
        <v>230</v>
      </c>
      <c r="CF1" s="76" t="s">
        <v>232</v>
      </c>
      <c r="CG1" s="76" t="s">
        <v>233</v>
      </c>
      <c r="CH1" s="76" t="s">
        <v>234</v>
      </c>
      <c r="CI1" s="76" t="s">
        <v>235</v>
      </c>
      <c r="CJ1" s="77"/>
      <c r="CK1" s="76" t="s">
        <v>231</v>
      </c>
      <c r="CL1" s="76" t="s">
        <v>230</v>
      </c>
      <c r="CM1" s="76" t="s">
        <v>232</v>
      </c>
      <c r="CN1" s="76" t="s">
        <v>233</v>
      </c>
      <c r="CO1" s="76" t="s">
        <v>234</v>
      </c>
      <c r="CP1" s="76" t="s">
        <v>235</v>
      </c>
      <c r="CQ1" s="77"/>
      <c r="CR1" s="76" t="s">
        <v>231</v>
      </c>
      <c r="CS1" s="76" t="s">
        <v>230</v>
      </c>
      <c r="CT1" s="76" t="s">
        <v>232</v>
      </c>
      <c r="CU1" s="76" t="s">
        <v>233</v>
      </c>
      <c r="CV1" s="76" t="s">
        <v>234</v>
      </c>
      <c r="CW1" s="76" t="s">
        <v>235</v>
      </c>
      <c r="CX1" s="77"/>
      <c r="CY1" s="76" t="s">
        <v>231</v>
      </c>
      <c r="CZ1" s="76" t="s">
        <v>230</v>
      </c>
      <c r="DA1" s="76" t="s">
        <v>232</v>
      </c>
      <c r="DB1" s="76" t="s">
        <v>233</v>
      </c>
      <c r="DC1" s="76" t="s">
        <v>234</v>
      </c>
      <c r="DD1" s="76" t="s">
        <v>235</v>
      </c>
      <c r="DF1" s="78" t="s">
        <v>231</v>
      </c>
      <c r="DG1" s="78" t="s">
        <v>232</v>
      </c>
      <c r="DK1" s="78" t="s">
        <v>230</v>
      </c>
      <c r="DL1" s="78" t="s">
        <v>233</v>
      </c>
      <c r="DP1" s="78" t="s">
        <v>240</v>
      </c>
      <c r="DQ1" s="78" t="s">
        <v>241</v>
      </c>
      <c r="DU1" s="78" t="s">
        <v>242</v>
      </c>
      <c r="DV1" s="78" t="s">
        <v>243</v>
      </c>
      <c r="DZ1" s="78" t="s">
        <v>244</v>
      </c>
      <c r="EA1" s="78" t="s">
        <v>245</v>
      </c>
    </row>
    <row r="2" spans="1:148">
      <c r="A2" s="29">
        <v>1</v>
      </c>
      <c r="B2" s="177" t="s">
        <v>38</v>
      </c>
      <c r="C2" s="177" t="s">
        <v>46</v>
      </c>
      <c r="D2" s="177" t="s">
        <v>17</v>
      </c>
      <c r="E2" s="177" t="s">
        <v>33</v>
      </c>
      <c r="F2" s="176"/>
      <c r="G2" s="177" t="s">
        <v>28</v>
      </c>
      <c r="H2" s="177" t="s">
        <v>19</v>
      </c>
      <c r="I2" s="177" t="s">
        <v>44</v>
      </c>
      <c r="J2" s="177" t="s">
        <v>32</v>
      </c>
      <c r="L2" s="30"/>
      <c r="M2" s="364"/>
      <c r="N2" s="365" t="s">
        <v>76</v>
      </c>
      <c r="O2" s="366"/>
      <c r="P2" s="367"/>
      <c r="Q2" s="365" t="s">
        <v>75</v>
      </c>
      <c r="R2" s="366"/>
      <c r="S2" s="367"/>
      <c r="T2" s="365" t="s">
        <v>74</v>
      </c>
      <c r="U2" s="366"/>
      <c r="V2" s="367"/>
      <c r="W2" s="365" t="s">
        <v>77</v>
      </c>
      <c r="X2" s="366"/>
      <c r="Y2" s="368"/>
      <c r="Z2" s="361" t="s">
        <v>163</v>
      </c>
      <c r="AA2" s="362"/>
      <c r="AB2" s="363"/>
      <c r="AH2" s="72">
        <f>COUNTIF($B$2:$E$2,$M$56)+COUNTIF($B$2:$E$2,$N$56)</f>
        <v>0</v>
      </c>
      <c r="AI2" s="72">
        <f>COUNTIF($G$2:$J$2,$M$56)+COUNTIF($G$2:$J$2,$N$56)</f>
        <v>1</v>
      </c>
      <c r="AJ2" s="72">
        <f t="shared" ref="AJ2:AJ40" si="0">COUNTIF(B2:E2,$M$57)+COUNTIF(B2:E2,$N$57)</f>
        <v>0</v>
      </c>
      <c r="AK2" s="72">
        <f t="shared" ref="AK2:AK40" si="1">COUNTIF(G2:J2,$M$57)+COUNTIF(G2:J2,$N$57)</f>
        <v>1</v>
      </c>
      <c r="AL2" s="72">
        <f t="shared" ref="AL2:AL40" si="2">COUNTIF(B2:E2,$M$58)+COUNTIF(B2:E2,$N$58)</f>
        <v>0</v>
      </c>
      <c r="AM2" s="72">
        <f t="shared" ref="AM2:AM40" si="3">COUNTIF(G2:J2,$M$58)+COUNTIF(G2:J2,$N$58)</f>
        <v>1</v>
      </c>
      <c r="AN2" s="72">
        <f t="shared" ref="AN2:AN40" si="4">COUNTIF(B2:E2,$M$59)+COUNTIF(B2:E2,$N$59)</f>
        <v>1</v>
      </c>
      <c r="AO2" s="72">
        <f t="shared" ref="AO2:AO40" si="5">COUNTIF(G2:J2,$M$59)+COUNTIF(G2:J2,$N$59)</f>
        <v>0</v>
      </c>
      <c r="AP2" s="72">
        <f t="shared" ref="AP2:AP40" si="6">COUNTIF(B2:E2,$M$60)+COUNTIF(B2:E2,$N$60)</f>
        <v>0</v>
      </c>
      <c r="AQ2" s="72">
        <f t="shared" ref="AQ2:AQ40" si="7">COUNTIF(G2:J2,$M$60)+COUNTIF(G2:J2,$N$60)</f>
        <v>0</v>
      </c>
      <c r="AR2" s="72">
        <f t="shared" ref="AR2:AR40" si="8">COUNTIF(B2:E2,$M$61)+COUNTIF(B2:E2,$N$61)</f>
        <v>0</v>
      </c>
      <c r="AS2" s="72">
        <f t="shared" ref="AS2:AS40" si="9">COUNTIF(G2:J2,$M$61)+COUNTIF(G2:J2,$N$61)</f>
        <v>1</v>
      </c>
      <c r="AT2" s="72">
        <f t="shared" ref="AT2:AT40" si="10">COUNTIF(B2:E2,$M$62)+COUNTIF(B2:E2,$N$62)</f>
        <v>1</v>
      </c>
      <c r="AU2" s="72">
        <f t="shared" ref="AU2:AU40" si="11">COUNTIF(G2:J2,$M$62)+COUNTIF(G2:J2,$N$62)</f>
        <v>0</v>
      </c>
      <c r="AV2" s="72">
        <f t="shared" ref="AV2:AV40" si="12">COUNTIF(B2:E2,$M$63)+COUNTIF(B2:E2,$N$63)</f>
        <v>1</v>
      </c>
      <c r="AW2" s="72">
        <f t="shared" ref="AW2:AW40" si="13">COUNTIF(G2:J2,$M$63)+COUNTIF(G2:J2,$N$63)</f>
        <v>0</v>
      </c>
      <c r="AX2" s="72">
        <f t="shared" ref="AX2:AX40" si="14">COUNTIF(B2:E2,$M$64)+COUNTIF(B2:E2,$N$64)</f>
        <v>0</v>
      </c>
      <c r="AY2" s="72">
        <f t="shared" ref="AY2:AY40" si="15">COUNTIF(G2:J2,$M$64)+COUNTIF(G2:J2,$N$64)</f>
        <v>1</v>
      </c>
      <c r="AZ2" s="72">
        <f t="shared" ref="AZ2:AZ40" si="16">COUNTIF(B2:E2,$M$65)+COUNTIF(B2:E2,$N$65)</f>
        <v>0</v>
      </c>
      <c r="BA2" s="72">
        <f t="shared" ref="BA2:BA40" si="17">COUNTIF(G2:J2,$M$65)+COUNTIF(G2:J2,$N$65)</f>
        <v>0</v>
      </c>
      <c r="BB2" s="72">
        <f t="shared" ref="BB2:BB40" si="18">COUNTIF(B2:E2,$M$66)+COUNTIF(B2:E2,$N$66)</f>
        <v>0</v>
      </c>
      <c r="BC2" s="72">
        <f t="shared" ref="BC2:BC40" si="19">COUNTIF(G2:J2,$M$66)+COUNTIF(G2:J2,$N$66)</f>
        <v>1</v>
      </c>
      <c r="BD2" s="72">
        <f t="shared" ref="BD2:BD40" si="20">COUNTIF(B2:E2,$M$67)+COUNTIF(B2:E2,$N$67)</f>
        <v>0</v>
      </c>
      <c r="BE2" s="72">
        <f t="shared" ref="BE2:BE40" si="21">COUNTIF(G2:J2,$M$67)+COUNTIF(G2:J2,$N$67)</f>
        <v>0</v>
      </c>
      <c r="BF2" s="72">
        <f t="shared" ref="BF2:BF40" si="22">COUNTIF(B2:E2,$M$68)+COUNTIF(B2:E2,$N$68)</f>
        <v>0</v>
      </c>
      <c r="BG2" s="72">
        <f t="shared" ref="BG2:BG40" si="23">COUNTIF(G2:J2,$M$68)+COUNTIF(G2:J2,$N$68)</f>
        <v>0</v>
      </c>
      <c r="BH2" s="72">
        <f t="shared" ref="BH2:BH40" si="24">COUNTIF(B2:E2,$M$69)+COUNTIF(B2:E2,$N$69)</f>
        <v>0</v>
      </c>
      <c r="BI2" s="72">
        <f t="shared" ref="BI2:BI40" si="25">COUNTIF(G2:J2,$M$69)+COUNTIF(G2:J2,$N$69)</f>
        <v>0</v>
      </c>
      <c r="BJ2" s="72">
        <f t="shared" ref="BJ2:BJ40" si="26">COUNTIF(B2:E2,$M$70)+COUNTIF(B2:E2,$N$70)</f>
        <v>0</v>
      </c>
      <c r="BK2" s="72">
        <f t="shared" ref="BK2:BK40" si="27">COUNTIF(G2:J2,$M$70)+COUNTIF(G2:J2,$N$70)</f>
        <v>0</v>
      </c>
      <c r="BL2" s="72">
        <f t="shared" ref="BL2:BL40" si="28">COUNTIF(B2:E2,$M$71)+COUNTIF(B2:E2,$N$71)</f>
        <v>1</v>
      </c>
      <c r="BM2" s="72">
        <f t="shared" ref="BM2:BM40" si="29">COUNTIF(G2:J2,$M$71)+COUNTIF(G2:J2,$N$71)</f>
        <v>0</v>
      </c>
      <c r="BN2" s="72">
        <f t="shared" ref="BN2:BN40" si="30">COUNTIF(B2:E2,$M$72)+COUNTIF(B2:E2,$N$72)</f>
        <v>0</v>
      </c>
      <c r="BO2" s="72">
        <f t="shared" ref="BO2:BO40" si="31">COUNTIF(G2:J2,$M$72)+COUNTIF(G2:J2,$N$72)</f>
        <v>0</v>
      </c>
      <c r="BP2" s="72">
        <f t="shared" ref="BP2:BP40" si="32">COUNTIF(B2:E2,$M$73)+COUNTIF(B2:E2,$N$73)</f>
        <v>0</v>
      </c>
      <c r="BQ2" s="72">
        <f t="shared" ref="BQ2:BQ40" si="33">COUNTIF(G2:J2,$M$73)+COUNTIF(G2:J2,$N$73)</f>
        <v>0</v>
      </c>
      <c r="BR2" s="72">
        <f t="shared" ref="BR2:BR40" si="34">COUNTIF(B2:E2,$M$74)+COUNTIF(B2:E2,$N$74)</f>
        <v>0</v>
      </c>
      <c r="BS2" s="72">
        <f t="shared" ref="BS2:BS40" si="35">COUNTIF(G2:J2,$M$74)+COUNTIF(G2:J2,$N$74)</f>
        <v>0</v>
      </c>
      <c r="BT2" s="72">
        <f t="shared" ref="BT2:BT40" si="36">COUNTIF(B2:E2,$M$75)+COUNTIF(B2:E2,$N$75)</f>
        <v>0</v>
      </c>
      <c r="BU2" s="72">
        <f t="shared" ref="BU2:BU40" si="37">COUNTIF(G2:J2,$M$75)+COUNTIF(G2:J2,$N$75)</f>
        <v>0</v>
      </c>
      <c r="BW2">
        <f t="shared" ref="BW2:BW40" si="38">COUNTIF(B2:E2,$U$56)</f>
        <v>0</v>
      </c>
      <c r="BX2">
        <f t="shared" ref="BX2:BX40" si="39">COUNTIF(B2:E2,$X$56)</f>
        <v>0</v>
      </c>
      <c r="BY2">
        <f t="shared" ref="BY2:BY40" si="40">COUNTIF(G2:J2,$U$56)</f>
        <v>0</v>
      </c>
      <c r="BZ2">
        <f t="shared" ref="BZ2:BZ40" si="41">COUNTIF(G2:J2,$X$56)</f>
        <v>1</v>
      </c>
      <c r="CA2">
        <f>IF(BW2+BX2+BY2+BZ2=1,0,IF(BW2+BX2=1,IF(BY2+BZ2=1,IF(BW2=0,0,1)),0))</f>
        <v>0</v>
      </c>
      <c r="CB2">
        <f>IF(BW2+BX2+BY2+BZ2=1,0,IF(BW2+BX2=1,IF(BY2+BZ2=1,IF(BX2=0,0,1)),0))</f>
        <v>0</v>
      </c>
      <c r="CD2">
        <f t="shared" ref="CD2:CD40" si="42">COUNTIF(B2:E2,$U$57)</f>
        <v>0</v>
      </c>
      <c r="CE2">
        <f t="shared" ref="CE2:CE40" si="43">COUNTIF(B2:E2,$X$57)</f>
        <v>0</v>
      </c>
      <c r="CF2">
        <f t="shared" ref="CF2:CF40" si="44">COUNTIF(G2:J2,$U$57)</f>
        <v>0</v>
      </c>
      <c r="CG2">
        <f t="shared" ref="CG2:CG40" si="45">COUNTIF(G2:J2,$X$57)</f>
        <v>1</v>
      </c>
      <c r="CH2">
        <f>IF(CD2+CE2+CF2+CG2=1,0,IF(CD2+CE2=1,IF(CF2+CG2=1,IF(CD2=0,0,1)),0))</f>
        <v>0</v>
      </c>
      <c r="CI2">
        <f>IF(CD2+CE2+CF2+CG2=1,0,IF(CD2+CE2=1,IF(CF2+CG2=1,IF(CE2=0,0,1)),0))</f>
        <v>0</v>
      </c>
      <c r="CK2">
        <f t="shared" ref="CK2:CK40" si="46">COUNTIF(B2:E2,$U$58)</f>
        <v>0</v>
      </c>
      <c r="CL2">
        <f t="shared" ref="CL2:CL40" si="47">COUNTIF(B2:E2,$X$58)</f>
        <v>0</v>
      </c>
      <c r="CM2">
        <f t="shared" ref="CM2:CM40" si="48">COUNTIF(G2:J2,$U$58)</f>
        <v>0</v>
      </c>
      <c r="CN2">
        <f t="shared" ref="CN2:CN40" si="49">COUNTIF(G2:J2,$X$58)</f>
        <v>0</v>
      </c>
      <c r="CO2">
        <f>IF(CK2+CL2+CM2+CN2=1,0,IF(CK2+CL2=1,IF(CM2+CN2=1,IF(CK2=0,0,1)),0))</f>
        <v>0</v>
      </c>
      <c r="CP2">
        <f>IF(CK2+CL2+CM2+CN2=1,0,IF(CK2+CL2=1,IF(CM2+CN2=1,IF(CL2=0,0,1)),0))</f>
        <v>0</v>
      </c>
      <c r="CR2">
        <f t="shared" ref="CR2:CR40" si="50">COUNTIF(B2:E2,$U$59)</f>
        <v>1</v>
      </c>
      <c r="CS2">
        <f t="shared" ref="CS2:CS40" si="51">COUNTIF(B2:E2,$X$59)</f>
        <v>0</v>
      </c>
      <c r="CT2">
        <f t="shared" ref="CT2:CT40" si="52">COUNTIF(G2:J2,$U$59)</f>
        <v>0</v>
      </c>
      <c r="CU2">
        <f t="shared" ref="CU2:CU40" si="53">COUNTIF(G2:J2,$X$59)</f>
        <v>0</v>
      </c>
      <c r="CV2">
        <f>IF(CR2+CS2+CT2+CU2=1,0,IF(CR2+CS2=1,IF(CT2+CU2=1,IF(CR2=0,0,1)),0))</f>
        <v>0</v>
      </c>
      <c r="CW2">
        <f>IF(CR2+CS2+CT2+CU2=1,0,IF(CR2+CS2=1,IF(CT2+CU2=1,IF(CS2=0,0,1)),0))</f>
        <v>0</v>
      </c>
      <c r="CY2">
        <f t="shared" ref="CY2:CY40" si="54">COUNTIF(B2:E2,$U$60)</f>
        <v>1</v>
      </c>
      <c r="CZ2">
        <f t="shared" ref="CZ2:CZ40" si="55">COUNTIF(B2:E2,$X$60)</f>
        <v>0</v>
      </c>
      <c r="DA2">
        <f t="shared" ref="DA2:DA40" si="56">COUNTIF(G2:J2,$U$60)</f>
        <v>0</v>
      </c>
      <c r="DB2">
        <f t="shared" ref="DB2:DB40" si="57">COUNTIF(G2:J2,$X$60)</f>
        <v>1</v>
      </c>
      <c r="DC2">
        <f>IF(CY2+CZ2+DA2+DB2=1,0,IF(CY2+CZ2=1,IF(DA2+DB2=1,IF(CY2=0,0,1)),0))</f>
        <v>1</v>
      </c>
      <c r="DD2">
        <f>IF(CY2+CZ2+DA2+DB2=1,0,IF(CY2+CZ2=1,IF(DA2+DB2=1,IF(CZ2=0,0,1)),0))</f>
        <v>0</v>
      </c>
      <c r="DF2" s="79">
        <f>COUNTIF($B$2:$E$2,$Z$56)</f>
        <v>0</v>
      </c>
      <c r="DG2" s="79">
        <f>COUNTIF($G$2:$J$2,$Z$56)</f>
        <v>0</v>
      </c>
      <c r="DH2">
        <f>IF(DF2+DG2=1,DF2,0)</f>
        <v>0</v>
      </c>
      <c r="DI2">
        <f>IF(DF2+DG2=1,DG2,0)</f>
        <v>0</v>
      </c>
      <c r="DK2" s="79">
        <f t="shared" ref="DK2:DK40" si="58">COUNTIF(B2:E2,$Z$57)</f>
        <v>0</v>
      </c>
      <c r="DL2" s="79">
        <f t="shared" ref="DL2:DL40" si="59">COUNTIF(G2:J2,$Z$57)</f>
        <v>0</v>
      </c>
      <c r="DM2">
        <f>IF(DK2+DL2=1,DK2,0)</f>
        <v>0</v>
      </c>
      <c r="DN2">
        <f>IF(DK2+DL2=1,DL2,0)</f>
        <v>0</v>
      </c>
      <c r="DP2" s="79">
        <f t="shared" ref="DP2:DP40" si="60">COUNTIF(B2:E2,$Z$58)</f>
        <v>0</v>
      </c>
      <c r="DQ2" s="79">
        <f t="shared" ref="DQ2:DQ40" si="61">COUNTIF(G2:J2,$Z$58)</f>
        <v>0</v>
      </c>
      <c r="DR2">
        <f>IF(DP2+DQ2=1,DP2,0)</f>
        <v>0</v>
      </c>
      <c r="DS2">
        <f>IF(DP2+DQ2=1,DQ2,0)</f>
        <v>0</v>
      </c>
      <c r="DU2" s="79">
        <f t="shared" ref="DU2:DU40" si="62">COUNTIF(B2:E2,$Z$59)</f>
        <v>0</v>
      </c>
      <c r="DV2" s="79">
        <f t="shared" ref="DV2:DV40" si="63">COUNTIF(G2:J2,$Z$59)</f>
        <v>0</v>
      </c>
      <c r="DW2">
        <f>IF(DU2+DV2=1,DU2,0)</f>
        <v>0</v>
      </c>
      <c r="DX2">
        <f>IF(DU2+DV2=1,DV2,0)</f>
        <v>0</v>
      </c>
      <c r="DZ2" s="79">
        <f t="shared" ref="DZ2:DZ40" si="64">COUNTIF(B2:E2,$Z$60)</f>
        <v>0</v>
      </c>
      <c r="EA2" s="79">
        <f t="shared" ref="EA2:EA40" si="65">COUNTIF(G2:J2,$Z$60)</f>
        <v>0</v>
      </c>
      <c r="EB2">
        <f>IF(DZ2+EA2=1,DZ2,0)</f>
        <v>0</v>
      </c>
      <c r="EC2">
        <f>IF(DZ2+EA2=1,EA2,0)</f>
        <v>0</v>
      </c>
    </row>
    <row r="3" spans="1:148">
      <c r="A3" s="29">
        <v>2</v>
      </c>
      <c r="B3" s="177" t="s">
        <v>17</v>
      </c>
      <c r="C3" s="177" t="s">
        <v>38</v>
      </c>
      <c r="D3" s="177" t="s">
        <v>33</v>
      </c>
      <c r="E3" s="177" t="s">
        <v>44</v>
      </c>
      <c r="F3" s="176"/>
      <c r="G3" s="177" t="s">
        <v>32</v>
      </c>
      <c r="H3" s="177" t="s">
        <v>46</v>
      </c>
      <c r="I3" s="177" t="s">
        <v>28</v>
      </c>
      <c r="J3" s="177" t="s">
        <v>19</v>
      </c>
      <c r="L3" s="30"/>
      <c r="M3" s="364"/>
      <c r="N3" s="34" t="s">
        <v>0</v>
      </c>
      <c r="O3" s="35" t="s">
        <v>1</v>
      </c>
      <c r="P3" s="36" t="s">
        <v>2</v>
      </c>
      <c r="Q3" s="34" t="s">
        <v>0</v>
      </c>
      <c r="R3" s="35" t="s">
        <v>1</v>
      </c>
      <c r="S3" s="36" t="s">
        <v>2</v>
      </c>
      <c r="T3" s="34" t="s">
        <v>0</v>
      </c>
      <c r="U3" s="35" t="s">
        <v>1</v>
      </c>
      <c r="V3" s="36" t="s">
        <v>2</v>
      </c>
      <c r="W3" s="34" t="s">
        <v>0</v>
      </c>
      <c r="X3" s="35" t="s">
        <v>1</v>
      </c>
      <c r="Y3" s="37" t="s">
        <v>2</v>
      </c>
      <c r="Z3" s="38" t="s">
        <v>0</v>
      </c>
      <c r="AA3" s="39" t="s">
        <v>1</v>
      </c>
      <c r="AB3" s="40" t="s">
        <v>2</v>
      </c>
      <c r="AH3" s="72">
        <f t="shared" ref="AH3:AH40" si="66">COUNTIF(B3:E3,$M$56)+COUNTIF(B3:E3,$N$56)</f>
        <v>1</v>
      </c>
      <c r="AI3" s="72">
        <f t="shared" ref="AI3:AI40" si="67">COUNTIF(G3:J3,$M$56)+COUNTIF(G3:J3,$N$56)</f>
        <v>0</v>
      </c>
      <c r="AJ3" s="72">
        <f t="shared" si="0"/>
        <v>1</v>
      </c>
      <c r="AK3" s="72">
        <f t="shared" si="1"/>
        <v>0</v>
      </c>
      <c r="AL3" s="72">
        <f t="shared" si="2"/>
        <v>1</v>
      </c>
      <c r="AM3" s="72">
        <f t="shared" si="3"/>
        <v>0</v>
      </c>
      <c r="AN3" s="72">
        <f t="shared" si="4"/>
        <v>1</v>
      </c>
      <c r="AO3" s="72">
        <f t="shared" si="5"/>
        <v>0</v>
      </c>
      <c r="AP3" s="72">
        <f t="shared" si="6"/>
        <v>0</v>
      </c>
      <c r="AQ3" s="72">
        <f t="shared" si="7"/>
        <v>0</v>
      </c>
      <c r="AR3" s="72">
        <f t="shared" si="8"/>
        <v>0</v>
      </c>
      <c r="AS3" s="72">
        <f t="shared" si="9"/>
        <v>1</v>
      </c>
      <c r="AT3" s="72">
        <f t="shared" si="10"/>
        <v>0</v>
      </c>
      <c r="AU3" s="72">
        <f t="shared" si="11"/>
        <v>1</v>
      </c>
      <c r="AV3" s="72">
        <f t="shared" si="12"/>
        <v>1</v>
      </c>
      <c r="AW3" s="72">
        <f t="shared" si="13"/>
        <v>0</v>
      </c>
      <c r="AX3" s="72">
        <f t="shared" si="14"/>
        <v>0</v>
      </c>
      <c r="AY3" s="72">
        <f t="shared" si="15"/>
        <v>1</v>
      </c>
      <c r="AZ3" s="72">
        <f t="shared" si="16"/>
        <v>0</v>
      </c>
      <c r="BA3" s="72">
        <f t="shared" si="17"/>
        <v>0</v>
      </c>
      <c r="BB3" s="72">
        <f t="shared" si="18"/>
        <v>1</v>
      </c>
      <c r="BC3" s="72">
        <f t="shared" si="19"/>
        <v>0</v>
      </c>
      <c r="BD3" s="72">
        <f t="shared" si="20"/>
        <v>0</v>
      </c>
      <c r="BE3" s="72">
        <f t="shared" si="21"/>
        <v>0</v>
      </c>
      <c r="BF3" s="72">
        <f t="shared" si="22"/>
        <v>0</v>
      </c>
      <c r="BG3" s="72">
        <f t="shared" si="23"/>
        <v>0</v>
      </c>
      <c r="BH3" s="72">
        <f t="shared" si="24"/>
        <v>0</v>
      </c>
      <c r="BI3" s="72">
        <f t="shared" si="25"/>
        <v>0</v>
      </c>
      <c r="BJ3" s="72">
        <f t="shared" si="26"/>
        <v>0</v>
      </c>
      <c r="BK3" s="72">
        <f t="shared" si="27"/>
        <v>0</v>
      </c>
      <c r="BL3" s="72">
        <f t="shared" si="28"/>
        <v>1</v>
      </c>
      <c r="BM3" s="72">
        <f t="shared" si="29"/>
        <v>0</v>
      </c>
      <c r="BN3" s="72">
        <f t="shared" si="30"/>
        <v>0</v>
      </c>
      <c r="BO3" s="72">
        <f t="shared" si="31"/>
        <v>0</v>
      </c>
      <c r="BP3" s="72">
        <f t="shared" si="32"/>
        <v>0</v>
      </c>
      <c r="BQ3" s="72">
        <f t="shared" si="33"/>
        <v>0</v>
      </c>
      <c r="BR3" s="72">
        <f t="shared" si="34"/>
        <v>0</v>
      </c>
      <c r="BS3" s="72">
        <f t="shared" si="35"/>
        <v>0</v>
      </c>
      <c r="BT3" s="72">
        <f t="shared" si="36"/>
        <v>0</v>
      </c>
      <c r="BU3" s="72">
        <f t="shared" si="37"/>
        <v>0</v>
      </c>
      <c r="BW3">
        <f t="shared" si="38"/>
        <v>0</v>
      </c>
      <c r="BX3">
        <f t="shared" si="39"/>
        <v>0</v>
      </c>
      <c r="BY3">
        <f t="shared" si="40"/>
        <v>0</v>
      </c>
      <c r="BZ3">
        <f t="shared" si="41"/>
        <v>1</v>
      </c>
      <c r="CA3">
        <f t="shared" ref="CA3:CA78" si="68">IF(BW3+BX3+BY3+BZ3=1,0,IF(BW3+BX3=1,IF(BY3+BZ3=1,IF(BW3=0,0,1)),0))</f>
        <v>0</v>
      </c>
      <c r="CB3">
        <f t="shared" ref="CB3:CB78" si="69">IF(BW3+BX3+BY3+BZ3=1,0,IF(BW3+BX3=1,IF(BY3+BZ3=1,IF(BX3=0,0,1)),0))</f>
        <v>0</v>
      </c>
      <c r="CD3">
        <f t="shared" si="42"/>
        <v>0</v>
      </c>
      <c r="CE3">
        <f t="shared" si="43"/>
        <v>1</v>
      </c>
      <c r="CF3">
        <f t="shared" si="44"/>
        <v>0</v>
      </c>
      <c r="CG3">
        <f t="shared" si="45"/>
        <v>0</v>
      </c>
      <c r="CH3">
        <f t="shared" ref="CH3:CH78" si="70">IF(CD3+CE3+CF3+CG3=1,0,IF(CD3+CE3=1,IF(CF3+CG3=1,IF(CD3=0,0,1)),0))</f>
        <v>0</v>
      </c>
      <c r="CI3">
        <f t="shared" ref="CI3:CI78" si="71">IF(CD3+CE3+CF3+CG3=1,0,IF(CD3+CE3=1,IF(CF3+CG3=1,IF(CE3=0,0,1)),0))</f>
        <v>0</v>
      </c>
      <c r="CK3">
        <f t="shared" si="46"/>
        <v>0</v>
      </c>
      <c r="CL3">
        <f t="shared" si="47"/>
        <v>0</v>
      </c>
      <c r="CM3">
        <f t="shared" si="48"/>
        <v>0</v>
      </c>
      <c r="CN3">
        <f t="shared" si="49"/>
        <v>0</v>
      </c>
      <c r="CO3">
        <f t="shared" ref="CO3:CO78" si="72">IF(CK3+CL3+CM3+CN3=1,0,IF(CK3+CL3=1,IF(CM3+CN3=1,IF(CK3=0,0,1)),0))</f>
        <v>0</v>
      </c>
      <c r="CP3">
        <f t="shared" ref="CP3:CP78" si="73">IF(CK3+CL3+CM3+CN3=1,0,IF(CK3+CL3=1,IF(CM3+CN3=1,IF(CL3=0,0,1)),0))</f>
        <v>0</v>
      </c>
      <c r="CR3">
        <f t="shared" si="50"/>
        <v>1</v>
      </c>
      <c r="CS3">
        <f t="shared" si="51"/>
        <v>0</v>
      </c>
      <c r="CT3">
        <f t="shared" si="52"/>
        <v>0</v>
      </c>
      <c r="CU3">
        <f t="shared" si="53"/>
        <v>0</v>
      </c>
      <c r="CV3">
        <f t="shared" ref="CV3:CV78" si="74">IF(CR3+CS3+CT3+CU3=1,0,IF(CR3+CS3=1,IF(CT3+CU3=1,IF(CR3=0,0,1)),0))</f>
        <v>0</v>
      </c>
      <c r="CW3">
        <f t="shared" ref="CW3:CW78" si="75">IF(CR3+CS3+CT3+CU3=1,0,IF(CR3+CS3=1,IF(CT3+CU3=1,IF(CS3=0,0,1)),0))</f>
        <v>0</v>
      </c>
      <c r="CY3">
        <f t="shared" si="54"/>
        <v>1</v>
      </c>
      <c r="CZ3">
        <f t="shared" si="55"/>
        <v>0</v>
      </c>
      <c r="DA3">
        <f t="shared" si="56"/>
        <v>0</v>
      </c>
      <c r="DB3">
        <f t="shared" si="57"/>
        <v>1</v>
      </c>
      <c r="DC3">
        <f t="shared" ref="DC3:DC78" si="76">IF(CY3+CZ3+DA3+DB3=1,0,IF(CY3+CZ3=1,IF(DA3+DB3=1,IF(CY3=0,0,1)),0))</f>
        <v>1</v>
      </c>
      <c r="DD3">
        <f t="shared" ref="DD3:DD78" si="77">IF(CY3+CZ3+DA3+DB3=1,0,IF(CY3+CZ3=1,IF(DA3+DB3=1,IF(CZ3=0,0,1)),0))</f>
        <v>0</v>
      </c>
      <c r="DF3" s="79">
        <f t="shared" ref="DF3:DF40" si="78">COUNTIF(B3:E3,$Z$56)</f>
        <v>0</v>
      </c>
      <c r="DG3" s="79">
        <f t="shared" ref="DG3:DG40" si="79">COUNTIF(G3:J3,$Z$56)</f>
        <v>0</v>
      </c>
      <c r="DH3">
        <f>IF(DF3+DG3=0,DH2,(DH2+DF3)*DF3)</f>
        <v>0</v>
      </c>
      <c r="DI3">
        <f>IF(DG3+DH3=0,DI2,(DI2+DG3)*DG3)</f>
        <v>0</v>
      </c>
      <c r="DK3" s="79">
        <f t="shared" si="58"/>
        <v>0</v>
      </c>
      <c r="DL3" s="79">
        <f t="shared" si="59"/>
        <v>0</v>
      </c>
      <c r="DM3">
        <f>IF(DK3+DL3=0,DM2,(DM2+DK3)*DK3)</f>
        <v>0</v>
      </c>
      <c r="DN3">
        <f>IF(DL3+DM3=0,DN2,(DN2+DL3)*DL3)</f>
        <v>0</v>
      </c>
      <c r="DP3" s="79">
        <f t="shared" si="60"/>
        <v>0</v>
      </c>
      <c r="DQ3" s="79">
        <f t="shared" si="61"/>
        <v>0</v>
      </c>
      <c r="DR3">
        <f>IF(DP3+DQ3=0,DR2,(DR2+DP3)*DP3)</f>
        <v>0</v>
      </c>
      <c r="DS3">
        <f>IF(DQ3+DR3=0,DS2,(DS2+DQ3)*DQ3)</f>
        <v>0</v>
      </c>
      <c r="DU3" s="79">
        <f t="shared" si="62"/>
        <v>0</v>
      </c>
      <c r="DV3" s="79">
        <f t="shared" si="63"/>
        <v>0</v>
      </c>
      <c r="DW3">
        <f>IF(DU3+DV3=0,DW2,(DW2+DU3)*DU3)</f>
        <v>0</v>
      </c>
      <c r="DX3">
        <f>IF(DV3+DW3=0,DX2,(DX2+DV3)*DV3)</f>
        <v>0</v>
      </c>
      <c r="DZ3" s="79">
        <f t="shared" si="64"/>
        <v>0</v>
      </c>
      <c r="EA3" s="79">
        <f t="shared" si="65"/>
        <v>0</v>
      </c>
      <c r="EB3">
        <f>IF(DZ3+EA3=0,EB2,(EB2+DZ3)*DZ3)</f>
        <v>0</v>
      </c>
      <c r="EC3">
        <f>IF(EA3+EB3=0,EC2,(EC2+EA3)*EA3)</f>
        <v>0</v>
      </c>
      <c r="EH3" s="69"/>
      <c r="EI3" s="69"/>
      <c r="EJ3" s="69"/>
      <c r="EK3" s="69"/>
      <c r="EL3" s="69"/>
      <c r="EM3" s="69"/>
      <c r="EN3" s="69"/>
      <c r="EO3" s="69"/>
      <c r="EP3" s="69"/>
      <c r="EQ3" s="69"/>
      <c r="ER3" s="69"/>
    </row>
    <row r="4" spans="1:148">
      <c r="A4" s="29">
        <v>3</v>
      </c>
      <c r="B4" s="177" t="s">
        <v>32</v>
      </c>
      <c r="C4" s="177" t="s">
        <v>31</v>
      </c>
      <c r="D4" s="177" t="s">
        <v>19</v>
      </c>
      <c r="E4" s="177" t="s">
        <v>46</v>
      </c>
      <c r="F4" s="176"/>
      <c r="G4" s="177" t="s">
        <v>28</v>
      </c>
      <c r="H4" s="177" t="s">
        <v>38</v>
      </c>
      <c r="I4" s="177" t="s">
        <v>44</v>
      </c>
      <c r="J4" s="177" t="s">
        <v>47</v>
      </c>
      <c r="L4" s="30"/>
      <c r="M4" s="41" t="s">
        <v>60</v>
      </c>
      <c r="N4" s="42">
        <f t="shared" ref="N4:N39" si="80">COUNTIF($B$2:$B$212,M4)</f>
        <v>10</v>
      </c>
      <c r="O4" s="43">
        <f t="shared" ref="O4:O39" si="81">COUNTIF($G$2:$G$212,M4)</f>
        <v>5</v>
      </c>
      <c r="P4" s="44">
        <f>IF(N4+O4=0,"-",N4/(N4+O4))</f>
        <v>0.66666666666666663</v>
      </c>
      <c r="Q4" s="42">
        <f t="shared" ref="Q4:Q39" si="82">COUNTIF($C$2:$C$212,M4)</f>
        <v>0</v>
      </c>
      <c r="R4" s="43">
        <f t="shared" ref="R4:R39" si="83">COUNTIF($H$2:$H$212,M4)</f>
        <v>0</v>
      </c>
      <c r="S4" s="44" t="str">
        <f>IF(Q4+R4=0,"-",Q4/(Q4+R4))</f>
        <v>-</v>
      </c>
      <c r="T4" s="42">
        <f t="shared" ref="T4:T39" si="84">COUNTIF($D$2:$D$212,M4)</f>
        <v>3</v>
      </c>
      <c r="U4" s="43">
        <f t="shared" ref="U4:U39" si="85">COUNTIF($I$2:$I$212,M4)</f>
        <v>6</v>
      </c>
      <c r="V4" s="44">
        <f>IF(T4+U4=0,"-",T4/(T4+U4))</f>
        <v>0.33333333333333331</v>
      </c>
      <c r="W4" s="42">
        <f t="shared" ref="W4:W39" si="86">COUNTIF($E$2:$E$212,M4)</f>
        <v>11</v>
      </c>
      <c r="X4" s="43">
        <f t="shared" ref="X4:X39" si="87">COUNTIF($J$2:$J$212,M4)</f>
        <v>10</v>
      </c>
      <c r="Y4" s="45">
        <f>IF(W4+X4=0,"-",W4/(W4+X4))</f>
        <v>0.52380952380952384</v>
      </c>
      <c r="Z4" s="46">
        <f>N4+Q4+T4+W4</f>
        <v>24</v>
      </c>
      <c r="AA4" s="28">
        <f>O4+R4+U4+X4</f>
        <v>21</v>
      </c>
      <c r="AB4" s="47">
        <f>IF(Z4+AA4=0,"-",Z4/(Z4+AA4))</f>
        <v>0.53333333333333333</v>
      </c>
      <c r="AH4" s="72">
        <f t="shared" si="66"/>
        <v>0</v>
      </c>
      <c r="AI4" s="72">
        <f t="shared" si="67"/>
        <v>2</v>
      </c>
      <c r="AJ4" s="72">
        <f t="shared" si="0"/>
        <v>0</v>
      </c>
      <c r="AK4" s="72">
        <f t="shared" si="1"/>
        <v>2</v>
      </c>
      <c r="AL4" s="72">
        <f t="shared" si="2"/>
        <v>0</v>
      </c>
      <c r="AM4" s="72">
        <f t="shared" si="3"/>
        <v>1</v>
      </c>
      <c r="AN4" s="72">
        <f t="shared" si="4"/>
        <v>0</v>
      </c>
      <c r="AO4" s="72">
        <f t="shared" si="5"/>
        <v>0</v>
      </c>
      <c r="AP4" s="72">
        <f t="shared" si="6"/>
        <v>1</v>
      </c>
      <c r="AQ4" s="72">
        <f t="shared" si="7"/>
        <v>0</v>
      </c>
      <c r="AR4" s="72">
        <f t="shared" si="8"/>
        <v>1</v>
      </c>
      <c r="AS4" s="72">
        <f t="shared" si="9"/>
        <v>0</v>
      </c>
      <c r="AT4" s="72">
        <f t="shared" si="10"/>
        <v>1</v>
      </c>
      <c r="AU4" s="72">
        <f t="shared" si="11"/>
        <v>0</v>
      </c>
      <c r="AV4" s="72">
        <f t="shared" si="12"/>
        <v>0</v>
      </c>
      <c r="AW4" s="72">
        <f t="shared" si="13"/>
        <v>0</v>
      </c>
      <c r="AX4" s="72">
        <f t="shared" si="14"/>
        <v>1</v>
      </c>
      <c r="AY4" s="72">
        <f t="shared" si="15"/>
        <v>0</v>
      </c>
      <c r="AZ4" s="72">
        <f t="shared" si="16"/>
        <v>0</v>
      </c>
      <c r="BA4" s="72">
        <f t="shared" si="17"/>
        <v>0</v>
      </c>
      <c r="BB4" s="72">
        <f t="shared" si="18"/>
        <v>0</v>
      </c>
      <c r="BC4" s="72">
        <f t="shared" si="19"/>
        <v>1</v>
      </c>
      <c r="BD4" s="72">
        <f t="shared" si="20"/>
        <v>0</v>
      </c>
      <c r="BE4" s="72">
        <f t="shared" si="21"/>
        <v>0</v>
      </c>
      <c r="BF4" s="72">
        <f t="shared" si="22"/>
        <v>0</v>
      </c>
      <c r="BG4" s="72">
        <f t="shared" si="23"/>
        <v>0</v>
      </c>
      <c r="BH4" s="72">
        <f t="shared" si="24"/>
        <v>0</v>
      </c>
      <c r="BI4" s="72">
        <f t="shared" si="25"/>
        <v>0</v>
      </c>
      <c r="BJ4" s="72">
        <f t="shared" si="26"/>
        <v>0</v>
      </c>
      <c r="BK4" s="72">
        <f t="shared" si="27"/>
        <v>1</v>
      </c>
      <c r="BL4" s="72">
        <f t="shared" si="28"/>
        <v>0</v>
      </c>
      <c r="BM4" s="72">
        <f t="shared" si="29"/>
        <v>1</v>
      </c>
      <c r="BN4" s="72">
        <f t="shared" si="30"/>
        <v>0</v>
      </c>
      <c r="BO4" s="72">
        <f t="shared" si="31"/>
        <v>0</v>
      </c>
      <c r="BP4" s="72">
        <f t="shared" si="32"/>
        <v>0</v>
      </c>
      <c r="BQ4" s="72">
        <f t="shared" si="33"/>
        <v>0</v>
      </c>
      <c r="BR4" s="72">
        <f t="shared" si="34"/>
        <v>0</v>
      </c>
      <c r="BS4" s="72">
        <f t="shared" si="35"/>
        <v>0</v>
      </c>
      <c r="BT4" s="72">
        <f t="shared" si="36"/>
        <v>0</v>
      </c>
      <c r="BU4" s="72">
        <f t="shared" si="37"/>
        <v>0</v>
      </c>
      <c r="BW4">
        <f t="shared" si="38"/>
        <v>0</v>
      </c>
      <c r="BX4">
        <f t="shared" si="39"/>
        <v>1</v>
      </c>
      <c r="BY4">
        <f t="shared" si="40"/>
        <v>1</v>
      </c>
      <c r="BZ4">
        <f t="shared" si="41"/>
        <v>0</v>
      </c>
      <c r="CA4">
        <f t="shared" si="68"/>
        <v>0</v>
      </c>
      <c r="CB4">
        <f t="shared" si="69"/>
        <v>1</v>
      </c>
      <c r="CD4">
        <f t="shared" si="42"/>
        <v>0</v>
      </c>
      <c r="CE4">
        <f t="shared" si="43"/>
        <v>0</v>
      </c>
      <c r="CF4">
        <f t="shared" si="44"/>
        <v>1</v>
      </c>
      <c r="CG4">
        <f t="shared" si="45"/>
        <v>1</v>
      </c>
      <c r="CH4">
        <f t="shared" si="70"/>
        <v>0</v>
      </c>
      <c r="CI4">
        <f t="shared" si="71"/>
        <v>0</v>
      </c>
      <c r="CK4">
        <f t="shared" si="46"/>
        <v>0</v>
      </c>
      <c r="CL4">
        <f t="shared" si="47"/>
        <v>1</v>
      </c>
      <c r="CM4">
        <f t="shared" si="48"/>
        <v>1</v>
      </c>
      <c r="CN4">
        <f t="shared" si="49"/>
        <v>0</v>
      </c>
      <c r="CO4">
        <f t="shared" si="72"/>
        <v>0</v>
      </c>
      <c r="CP4">
        <f t="shared" si="73"/>
        <v>1</v>
      </c>
      <c r="CR4">
        <f t="shared" si="50"/>
        <v>0</v>
      </c>
      <c r="CS4">
        <f t="shared" si="51"/>
        <v>0</v>
      </c>
      <c r="CT4">
        <f t="shared" si="52"/>
        <v>0</v>
      </c>
      <c r="CU4">
        <f t="shared" si="53"/>
        <v>0</v>
      </c>
      <c r="CV4">
        <f t="shared" si="74"/>
        <v>0</v>
      </c>
      <c r="CW4">
        <f t="shared" si="75"/>
        <v>0</v>
      </c>
      <c r="CY4">
        <f t="shared" si="54"/>
        <v>0</v>
      </c>
      <c r="CZ4">
        <f t="shared" si="55"/>
        <v>1</v>
      </c>
      <c r="DA4">
        <f t="shared" si="56"/>
        <v>0</v>
      </c>
      <c r="DB4">
        <f t="shared" si="57"/>
        <v>0</v>
      </c>
      <c r="DC4">
        <f t="shared" si="76"/>
        <v>0</v>
      </c>
      <c r="DD4">
        <f t="shared" si="77"/>
        <v>0</v>
      </c>
      <c r="DF4" s="79">
        <f t="shared" si="78"/>
        <v>0</v>
      </c>
      <c r="DG4" s="79">
        <f t="shared" si="79"/>
        <v>0</v>
      </c>
      <c r="DH4">
        <f t="shared" ref="DH4:DH8" si="88">IF(DF4+DG4=0,DH3,(DH3+DF4)*DF4)</f>
        <v>0</v>
      </c>
      <c r="DI4">
        <f t="shared" ref="DI4:DI79" si="89">IF(DG4+DH4=0,DI3,(DI3+DG4)*DG4)</f>
        <v>0</v>
      </c>
      <c r="DK4" s="79">
        <f t="shared" si="58"/>
        <v>0</v>
      </c>
      <c r="DL4" s="79">
        <f t="shared" si="59"/>
        <v>0</v>
      </c>
      <c r="DM4">
        <f t="shared" ref="DM4:DN4" si="90">IF(DK4+DL4=0,DM3,(DM3+DK4)*DK4)</f>
        <v>0</v>
      </c>
      <c r="DN4">
        <f t="shared" si="90"/>
        <v>0</v>
      </c>
      <c r="DP4" s="79">
        <f t="shared" si="60"/>
        <v>0</v>
      </c>
      <c r="DQ4" s="79">
        <f t="shared" si="61"/>
        <v>0</v>
      </c>
      <c r="DR4">
        <f t="shared" ref="DR4:DS4" si="91">IF(DP4+DQ4=0,DR3,(DR3+DP4)*DP4)</f>
        <v>0</v>
      </c>
      <c r="DS4">
        <f t="shared" si="91"/>
        <v>0</v>
      </c>
      <c r="DU4" s="79">
        <f t="shared" si="62"/>
        <v>0</v>
      </c>
      <c r="DV4" s="79">
        <f t="shared" si="63"/>
        <v>0</v>
      </c>
      <c r="DW4">
        <f t="shared" ref="DW4:DX4" si="92">IF(DU4+DV4=0,DW3,(DW3+DU4)*DU4)</f>
        <v>0</v>
      </c>
      <c r="DX4">
        <f t="shared" si="92"/>
        <v>0</v>
      </c>
      <c r="DZ4" s="79">
        <f t="shared" si="64"/>
        <v>0</v>
      </c>
      <c r="EA4" s="79">
        <f t="shared" si="65"/>
        <v>0</v>
      </c>
      <c r="EB4">
        <f t="shared" ref="EB4:EC4" si="93">IF(DZ4+EA4=0,EB3,(EB3+DZ4)*DZ4)</f>
        <v>0</v>
      </c>
      <c r="EC4">
        <f t="shared" si="93"/>
        <v>0</v>
      </c>
      <c r="EH4" s="80"/>
      <c r="EI4" s="69"/>
      <c r="EK4" s="80"/>
      <c r="EL4" s="69"/>
      <c r="EN4" s="80"/>
      <c r="EO4" s="69"/>
      <c r="EQ4" s="80"/>
      <c r="ER4" s="69"/>
    </row>
    <row r="5" spans="1:148">
      <c r="A5" s="29">
        <v>4</v>
      </c>
      <c r="B5" s="177" t="s">
        <v>28</v>
      </c>
      <c r="C5" s="177" t="s">
        <v>32</v>
      </c>
      <c r="D5" s="177" t="s">
        <v>38</v>
      </c>
      <c r="E5" s="177" t="s">
        <v>17</v>
      </c>
      <c r="F5" s="176"/>
      <c r="G5" s="177" t="s">
        <v>19</v>
      </c>
      <c r="H5" s="177" t="s">
        <v>46</v>
      </c>
      <c r="I5" s="177" t="s">
        <v>23</v>
      </c>
      <c r="J5" s="177" t="s">
        <v>47</v>
      </c>
      <c r="L5" s="30"/>
      <c r="M5" s="41" t="s">
        <v>49</v>
      </c>
      <c r="N5" s="42">
        <f t="shared" si="80"/>
        <v>0</v>
      </c>
      <c r="O5" s="43">
        <f t="shared" si="81"/>
        <v>0</v>
      </c>
      <c r="P5" s="44" t="str">
        <f t="shared" ref="P5:P21" si="94">IF(N5+O5=0,"-",N5/(N5+O5))</f>
        <v>-</v>
      </c>
      <c r="Q5" s="42">
        <f t="shared" si="82"/>
        <v>0</v>
      </c>
      <c r="R5" s="43">
        <f t="shared" si="83"/>
        <v>0</v>
      </c>
      <c r="S5" s="44" t="str">
        <f t="shared" ref="S5:S21" si="95">IF(Q5+R5=0,"-",Q5/(Q5+R5))</f>
        <v>-</v>
      </c>
      <c r="T5" s="42">
        <f t="shared" si="84"/>
        <v>0</v>
      </c>
      <c r="U5" s="43">
        <f t="shared" si="85"/>
        <v>0</v>
      </c>
      <c r="V5" s="44" t="str">
        <f t="shared" ref="V5:V21" si="96">IF(T5+U5=0,"-",T5/(T5+U5))</f>
        <v>-</v>
      </c>
      <c r="W5" s="42">
        <f t="shared" si="86"/>
        <v>0</v>
      </c>
      <c r="X5" s="43">
        <f t="shared" si="87"/>
        <v>0</v>
      </c>
      <c r="Y5" s="45" t="str">
        <f t="shared" ref="Y5:Y21" si="97">IF(W5+X5=0,"-",W5/(W5+X5))</f>
        <v>-</v>
      </c>
      <c r="Z5" s="46">
        <f t="shared" ref="Z5:AA20" si="98">N5+Q5+T5+W5</f>
        <v>0</v>
      </c>
      <c r="AA5" s="28">
        <f t="shared" si="98"/>
        <v>0</v>
      </c>
      <c r="AB5" s="47" t="str">
        <f t="shared" ref="AB5:AB21" si="99">IF(Z5+AA5=0,"-",Z5/(Z5+AA5))</f>
        <v>-</v>
      </c>
      <c r="AH5" s="72">
        <f t="shared" si="66"/>
        <v>0</v>
      </c>
      <c r="AI5" s="72">
        <f t="shared" si="67"/>
        <v>1</v>
      </c>
      <c r="AJ5" s="72">
        <f t="shared" si="0"/>
        <v>0</v>
      </c>
      <c r="AK5" s="72">
        <f t="shared" si="1"/>
        <v>1</v>
      </c>
      <c r="AL5" s="72">
        <f t="shared" si="2"/>
        <v>0</v>
      </c>
      <c r="AM5" s="72">
        <f t="shared" si="3"/>
        <v>0</v>
      </c>
      <c r="AN5" s="72">
        <f t="shared" si="4"/>
        <v>1</v>
      </c>
      <c r="AO5" s="72">
        <f t="shared" si="5"/>
        <v>0</v>
      </c>
      <c r="AP5" s="72">
        <f t="shared" si="6"/>
        <v>0</v>
      </c>
      <c r="AQ5" s="72">
        <f t="shared" si="7"/>
        <v>0</v>
      </c>
      <c r="AR5" s="72">
        <f t="shared" si="8"/>
        <v>1</v>
      </c>
      <c r="AS5" s="72">
        <f t="shared" si="9"/>
        <v>0</v>
      </c>
      <c r="AT5" s="72">
        <f t="shared" si="10"/>
        <v>0</v>
      </c>
      <c r="AU5" s="72">
        <f t="shared" si="11"/>
        <v>1</v>
      </c>
      <c r="AV5" s="72">
        <f t="shared" si="12"/>
        <v>0</v>
      </c>
      <c r="AW5" s="72">
        <f t="shared" si="13"/>
        <v>0</v>
      </c>
      <c r="AX5" s="72">
        <f t="shared" si="14"/>
        <v>0</v>
      </c>
      <c r="AY5" s="72">
        <f t="shared" si="15"/>
        <v>1</v>
      </c>
      <c r="AZ5" s="72">
        <f t="shared" si="16"/>
        <v>0</v>
      </c>
      <c r="BA5" s="72">
        <f t="shared" si="17"/>
        <v>0</v>
      </c>
      <c r="BB5" s="72">
        <f t="shared" si="18"/>
        <v>0</v>
      </c>
      <c r="BC5" s="72">
        <f t="shared" si="19"/>
        <v>0</v>
      </c>
      <c r="BD5" s="72">
        <f t="shared" si="20"/>
        <v>0</v>
      </c>
      <c r="BE5" s="72">
        <f t="shared" si="21"/>
        <v>0</v>
      </c>
      <c r="BF5" s="72">
        <f t="shared" si="22"/>
        <v>0</v>
      </c>
      <c r="BG5" s="72">
        <f t="shared" si="23"/>
        <v>0</v>
      </c>
      <c r="BH5" s="72">
        <f t="shared" si="24"/>
        <v>0</v>
      </c>
      <c r="BI5" s="72">
        <f t="shared" si="25"/>
        <v>0</v>
      </c>
      <c r="BJ5" s="72">
        <f t="shared" si="26"/>
        <v>0</v>
      </c>
      <c r="BK5" s="72">
        <f t="shared" si="27"/>
        <v>1</v>
      </c>
      <c r="BL5" s="72">
        <f t="shared" si="28"/>
        <v>1</v>
      </c>
      <c r="BM5" s="72">
        <f t="shared" si="29"/>
        <v>0</v>
      </c>
      <c r="BN5" s="72">
        <f t="shared" si="30"/>
        <v>0</v>
      </c>
      <c r="BO5" s="72">
        <f t="shared" si="31"/>
        <v>0</v>
      </c>
      <c r="BP5" s="72">
        <f t="shared" si="32"/>
        <v>0</v>
      </c>
      <c r="BQ5" s="72">
        <f t="shared" si="33"/>
        <v>0</v>
      </c>
      <c r="BR5" s="72">
        <f t="shared" si="34"/>
        <v>0</v>
      </c>
      <c r="BS5" s="72">
        <f t="shared" si="35"/>
        <v>0</v>
      </c>
      <c r="BT5" s="72">
        <f t="shared" si="36"/>
        <v>0</v>
      </c>
      <c r="BU5" s="72">
        <f t="shared" si="37"/>
        <v>0</v>
      </c>
      <c r="BW5">
        <f t="shared" si="38"/>
        <v>0</v>
      </c>
      <c r="BX5">
        <f t="shared" si="39"/>
        <v>1</v>
      </c>
      <c r="BY5">
        <f t="shared" si="40"/>
        <v>1</v>
      </c>
      <c r="BZ5">
        <f t="shared" si="41"/>
        <v>0</v>
      </c>
      <c r="CA5">
        <f t="shared" si="68"/>
        <v>0</v>
      </c>
      <c r="CB5">
        <f t="shared" si="69"/>
        <v>1</v>
      </c>
      <c r="CD5">
        <f t="shared" si="42"/>
        <v>0</v>
      </c>
      <c r="CE5">
        <f t="shared" si="43"/>
        <v>0</v>
      </c>
      <c r="CF5">
        <f t="shared" si="44"/>
        <v>1</v>
      </c>
      <c r="CG5">
        <f t="shared" si="45"/>
        <v>0</v>
      </c>
      <c r="CH5">
        <f t="shared" si="70"/>
        <v>0</v>
      </c>
      <c r="CI5">
        <f t="shared" si="71"/>
        <v>0</v>
      </c>
      <c r="CK5">
        <f t="shared" si="46"/>
        <v>0</v>
      </c>
      <c r="CL5">
        <f t="shared" si="47"/>
        <v>0</v>
      </c>
      <c r="CM5">
        <f t="shared" si="48"/>
        <v>1</v>
      </c>
      <c r="CN5">
        <f t="shared" si="49"/>
        <v>0</v>
      </c>
      <c r="CO5">
        <f t="shared" si="72"/>
        <v>0</v>
      </c>
      <c r="CP5">
        <f t="shared" si="73"/>
        <v>0</v>
      </c>
      <c r="CR5">
        <f t="shared" si="50"/>
        <v>1</v>
      </c>
      <c r="CS5">
        <f t="shared" si="51"/>
        <v>0</v>
      </c>
      <c r="CT5">
        <f t="shared" si="52"/>
        <v>0</v>
      </c>
      <c r="CU5">
        <f t="shared" si="53"/>
        <v>0</v>
      </c>
      <c r="CV5">
        <f t="shared" si="74"/>
        <v>0</v>
      </c>
      <c r="CW5">
        <f t="shared" si="75"/>
        <v>0</v>
      </c>
      <c r="CY5">
        <f t="shared" si="54"/>
        <v>1</v>
      </c>
      <c r="CZ5">
        <f t="shared" si="55"/>
        <v>1</v>
      </c>
      <c r="DA5">
        <f t="shared" si="56"/>
        <v>0</v>
      </c>
      <c r="DB5">
        <f t="shared" si="57"/>
        <v>0</v>
      </c>
      <c r="DC5">
        <f t="shared" si="76"/>
        <v>0</v>
      </c>
      <c r="DD5">
        <f t="shared" si="77"/>
        <v>0</v>
      </c>
      <c r="DF5" s="79">
        <f t="shared" si="78"/>
        <v>0</v>
      </c>
      <c r="DG5" s="79">
        <f t="shared" si="79"/>
        <v>1</v>
      </c>
      <c r="DH5">
        <f t="shared" si="88"/>
        <v>0</v>
      </c>
      <c r="DI5">
        <f t="shared" si="89"/>
        <v>1</v>
      </c>
      <c r="DK5" s="79">
        <f t="shared" si="58"/>
        <v>0</v>
      </c>
      <c r="DL5" s="79">
        <f t="shared" si="59"/>
        <v>0</v>
      </c>
      <c r="DM5">
        <f t="shared" ref="DM5:DN5" si="100">IF(DK5+DL5=0,DM4,(DM4+DK5)*DK5)</f>
        <v>0</v>
      </c>
      <c r="DN5">
        <f t="shared" si="100"/>
        <v>0</v>
      </c>
      <c r="DP5" s="79">
        <f t="shared" si="60"/>
        <v>0</v>
      </c>
      <c r="DQ5" s="79">
        <f t="shared" si="61"/>
        <v>0</v>
      </c>
      <c r="DR5">
        <f t="shared" ref="DR5:DS5" si="101">IF(DP5+DQ5=0,DR4,(DR4+DP5)*DP5)</f>
        <v>0</v>
      </c>
      <c r="DS5">
        <f t="shared" si="101"/>
        <v>0</v>
      </c>
      <c r="DU5" s="79">
        <f t="shared" si="62"/>
        <v>0</v>
      </c>
      <c r="DV5" s="79">
        <f t="shared" si="63"/>
        <v>0</v>
      </c>
      <c r="DW5">
        <f t="shared" ref="DW5:DX5" si="102">IF(DU5+DV5=0,DW4,(DW4+DU5)*DU5)</f>
        <v>0</v>
      </c>
      <c r="DX5">
        <f t="shared" si="102"/>
        <v>0</v>
      </c>
      <c r="DZ5" s="79">
        <f t="shared" si="64"/>
        <v>0</v>
      </c>
      <c r="EA5" s="79">
        <f t="shared" si="65"/>
        <v>0</v>
      </c>
      <c r="EB5">
        <f t="shared" ref="EB5:EC5" si="103">IF(DZ5+EA5=0,EB4,(EB4+DZ5)*DZ5)</f>
        <v>0</v>
      </c>
      <c r="EC5">
        <f t="shared" si="103"/>
        <v>0</v>
      </c>
      <c r="EH5" s="80"/>
      <c r="EI5" s="69"/>
      <c r="EK5" s="80"/>
      <c r="EL5" s="69"/>
      <c r="EN5" s="80"/>
      <c r="EO5" s="69"/>
      <c r="EQ5" s="80"/>
      <c r="ER5" s="69"/>
    </row>
    <row r="6" spans="1:148">
      <c r="A6" s="29">
        <v>5</v>
      </c>
      <c r="B6" s="64" t="s">
        <v>19</v>
      </c>
      <c r="C6" s="64" t="s">
        <v>32</v>
      </c>
      <c r="D6" s="64" t="s">
        <v>36</v>
      </c>
      <c r="E6" s="64" t="s">
        <v>47</v>
      </c>
      <c r="F6" s="63"/>
      <c r="G6" s="64" t="s">
        <v>26</v>
      </c>
      <c r="H6" s="64" t="s">
        <v>23</v>
      </c>
      <c r="I6" s="64" t="s">
        <v>33</v>
      </c>
      <c r="J6" s="64" t="s">
        <v>46</v>
      </c>
      <c r="L6" s="30"/>
      <c r="M6" s="41" t="s">
        <v>73</v>
      </c>
      <c r="N6" s="42">
        <f t="shared" si="80"/>
        <v>0</v>
      </c>
      <c r="O6" s="43">
        <f t="shared" si="81"/>
        <v>0</v>
      </c>
      <c r="P6" s="44" t="str">
        <f t="shared" si="94"/>
        <v>-</v>
      </c>
      <c r="Q6" s="42">
        <f t="shared" si="82"/>
        <v>0</v>
      </c>
      <c r="R6" s="43">
        <f t="shared" si="83"/>
        <v>0</v>
      </c>
      <c r="S6" s="44" t="str">
        <f t="shared" si="95"/>
        <v>-</v>
      </c>
      <c r="T6" s="42">
        <f t="shared" si="84"/>
        <v>0</v>
      </c>
      <c r="U6" s="43">
        <f t="shared" si="85"/>
        <v>0</v>
      </c>
      <c r="V6" s="44" t="str">
        <f t="shared" si="96"/>
        <v>-</v>
      </c>
      <c r="W6" s="42">
        <f t="shared" si="86"/>
        <v>0</v>
      </c>
      <c r="X6" s="43">
        <f t="shared" si="87"/>
        <v>0</v>
      </c>
      <c r="Y6" s="45" t="str">
        <f t="shared" si="97"/>
        <v>-</v>
      </c>
      <c r="Z6" s="46">
        <f t="shared" si="98"/>
        <v>0</v>
      </c>
      <c r="AA6" s="28">
        <f t="shared" si="98"/>
        <v>0</v>
      </c>
      <c r="AB6" s="47" t="str">
        <f t="shared" si="99"/>
        <v>-</v>
      </c>
      <c r="AH6" s="72">
        <f t="shared" si="66"/>
        <v>1</v>
      </c>
      <c r="AI6" s="72">
        <f t="shared" si="67"/>
        <v>0</v>
      </c>
      <c r="AJ6" s="72">
        <f t="shared" si="0"/>
        <v>1</v>
      </c>
      <c r="AK6" s="72">
        <f t="shared" si="1"/>
        <v>0</v>
      </c>
      <c r="AL6" s="72">
        <f t="shared" si="2"/>
        <v>0</v>
      </c>
      <c r="AM6" s="72">
        <f t="shared" si="3"/>
        <v>1</v>
      </c>
      <c r="AN6" s="72">
        <f t="shared" si="4"/>
        <v>0</v>
      </c>
      <c r="AO6" s="72">
        <f t="shared" si="5"/>
        <v>1</v>
      </c>
      <c r="AP6" s="72">
        <f t="shared" si="6"/>
        <v>0</v>
      </c>
      <c r="AQ6" s="72">
        <f t="shared" si="7"/>
        <v>1</v>
      </c>
      <c r="AR6" s="72">
        <f t="shared" si="8"/>
        <v>1</v>
      </c>
      <c r="AS6" s="72">
        <f t="shared" si="9"/>
        <v>1</v>
      </c>
      <c r="AT6" s="72">
        <f t="shared" si="10"/>
        <v>0</v>
      </c>
      <c r="AU6" s="72">
        <f t="shared" si="11"/>
        <v>2</v>
      </c>
      <c r="AV6" s="72">
        <f t="shared" si="12"/>
        <v>0</v>
      </c>
      <c r="AW6" s="72">
        <f t="shared" si="13"/>
        <v>2</v>
      </c>
      <c r="AX6" s="72">
        <f t="shared" si="14"/>
        <v>1</v>
      </c>
      <c r="AY6" s="72">
        <f t="shared" si="15"/>
        <v>1</v>
      </c>
      <c r="AZ6" s="72">
        <f t="shared" si="16"/>
        <v>0</v>
      </c>
      <c r="BA6" s="72">
        <f t="shared" si="17"/>
        <v>1</v>
      </c>
      <c r="BB6" s="72">
        <f t="shared" si="18"/>
        <v>0</v>
      </c>
      <c r="BC6" s="72">
        <f t="shared" si="19"/>
        <v>1</v>
      </c>
      <c r="BD6" s="72">
        <f t="shared" si="20"/>
        <v>0</v>
      </c>
      <c r="BE6" s="72">
        <f t="shared" si="21"/>
        <v>1</v>
      </c>
      <c r="BF6" s="72">
        <f t="shared" si="22"/>
        <v>0</v>
      </c>
      <c r="BG6" s="72">
        <f t="shared" si="23"/>
        <v>1</v>
      </c>
      <c r="BH6" s="72">
        <f t="shared" si="24"/>
        <v>0</v>
      </c>
      <c r="BI6" s="72">
        <f t="shared" si="25"/>
        <v>1</v>
      </c>
      <c r="BJ6" s="72">
        <f t="shared" si="26"/>
        <v>1</v>
      </c>
      <c r="BK6" s="72">
        <f t="shared" si="27"/>
        <v>1</v>
      </c>
      <c r="BL6" s="72">
        <f t="shared" si="28"/>
        <v>0</v>
      </c>
      <c r="BM6" s="72">
        <f t="shared" si="29"/>
        <v>1</v>
      </c>
      <c r="BN6" s="72">
        <f t="shared" si="30"/>
        <v>1</v>
      </c>
      <c r="BO6" s="72">
        <f t="shared" si="31"/>
        <v>1</v>
      </c>
      <c r="BP6" s="72">
        <f t="shared" si="32"/>
        <v>0</v>
      </c>
      <c r="BQ6" s="72">
        <f t="shared" si="33"/>
        <v>1</v>
      </c>
      <c r="BR6" s="72">
        <f t="shared" si="34"/>
        <v>0</v>
      </c>
      <c r="BS6" s="72">
        <f t="shared" si="35"/>
        <v>1</v>
      </c>
      <c r="BT6" s="72">
        <f t="shared" si="36"/>
        <v>0</v>
      </c>
      <c r="BU6" s="72">
        <f t="shared" si="37"/>
        <v>0</v>
      </c>
      <c r="BW6">
        <f t="shared" si="38"/>
        <v>1</v>
      </c>
      <c r="BX6">
        <f t="shared" si="39"/>
        <v>1</v>
      </c>
      <c r="BY6">
        <f t="shared" si="40"/>
        <v>0</v>
      </c>
      <c r="BZ6">
        <f t="shared" si="41"/>
        <v>0</v>
      </c>
      <c r="CA6">
        <f t="shared" si="68"/>
        <v>0</v>
      </c>
      <c r="CB6">
        <f t="shared" si="69"/>
        <v>0</v>
      </c>
      <c r="CD6">
        <f t="shared" si="42"/>
        <v>1</v>
      </c>
      <c r="CE6">
        <f t="shared" si="43"/>
        <v>0</v>
      </c>
      <c r="CF6">
        <f t="shared" si="44"/>
        <v>0</v>
      </c>
      <c r="CG6">
        <f t="shared" si="45"/>
        <v>0</v>
      </c>
      <c r="CH6">
        <f t="shared" si="70"/>
        <v>0</v>
      </c>
      <c r="CI6">
        <f t="shared" si="71"/>
        <v>0</v>
      </c>
      <c r="CK6">
        <f t="shared" si="46"/>
        <v>1</v>
      </c>
      <c r="CL6">
        <f t="shared" si="47"/>
        <v>0</v>
      </c>
      <c r="CM6">
        <f t="shared" si="48"/>
        <v>0</v>
      </c>
      <c r="CN6">
        <f t="shared" si="49"/>
        <v>0</v>
      </c>
      <c r="CO6">
        <f t="shared" si="72"/>
        <v>0</v>
      </c>
      <c r="CP6">
        <f t="shared" si="73"/>
        <v>0</v>
      </c>
      <c r="CR6">
        <f t="shared" si="50"/>
        <v>0</v>
      </c>
      <c r="CS6">
        <f t="shared" si="51"/>
        <v>0</v>
      </c>
      <c r="CT6">
        <f t="shared" si="52"/>
        <v>0</v>
      </c>
      <c r="CU6">
        <f t="shared" si="53"/>
        <v>0</v>
      </c>
      <c r="CV6">
        <f t="shared" si="74"/>
        <v>0</v>
      </c>
      <c r="CW6">
        <f t="shared" si="75"/>
        <v>0</v>
      </c>
      <c r="CY6">
        <f t="shared" si="54"/>
        <v>0</v>
      </c>
      <c r="CZ6">
        <f t="shared" si="55"/>
        <v>1</v>
      </c>
      <c r="DA6">
        <f t="shared" si="56"/>
        <v>0</v>
      </c>
      <c r="DB6">
        <f t="shared" si="57"/>
        <v>0</v>
      </c>
      <c r="DC6">
        <f t="shared" si="76"/>
        <v>0</v>
      </c>
      <c r="DD6">
        <f t="shared" si="77"/>
        <v>0</v>
      </c>
      <c r="DF6" s="79">
        <f t="shared" si="78"/>
        <v>0</v>
      </c>
      <c r="DG6" s="79">
        <f t="shared" si="79"/>
        <v>1</v>
      </c>
      <c r="DH6">
        <f t="shared" si="88"/>
        <v>0</v>
      </c>
      <c r="DI6">
        <f t="shared" si="89"/>
        <v>2</v>
      </c>
      <c r="DK6" s="79">
        <f t="shared" si="58"/>
        <v>0</v>
      </c>
      <c r="DL6" s="79">
        <f t="shared" si="59"/>
        <v>0</v>
      </c>
      <c r="DM6">
        <f t="shared" ref="DM6:DN6" si="104">IF(DK6+DL6=0,DM5,(DM5+DK6)*DK6)</f>
        <v>0</v>
      </c>
      <c r="DN6">
        <f t="shared" si="104"/>
        <v>0</v>
      </c>
      <c r="DP6" s="79">
        <f t="shared" si="60"/>
        <v>0</v>
      </c>
      <c r="DQ6" s="79">
        <f t="shared" si="61"/>
        <v>0</v>
      </c>
      <c r="DR6">
        <f t="shared" ref="DR6:DS6" si="105">IF(DP6+DQ6=0,DR5,(DR5+DP6)*DP6)</f>
        <v>0</v>
      </c>
      <c r="DS6">
        <f t="shared" si="105"/>
        <v>0</v>
      </c>
      <c r="DU6" s="79">
        <f t="shared" si="62"/>
        <v>0</v>
      </c>
      <c r="DV6" s="79">
        <f t="shared" si="63"/>
        <v>1</v>
      </c>
      <c r="DW6">
        <f t="shared" ref="DW6:DX6" si="106">IF(DU6+DV6=0,DW5,(DW5+DU6)*DU6)</f>
        <v>0</v>
      </c>
      <c r="DX6">
        <f t="shared" si="106"/>
        <v>1</v>
      </c>
      <c r="DZ6" s="79">
        <f t="shared" si="64"/>
        <v>0</v>
      </c>
      <c r="EA6" s="79">
        <f t="shared" si="65"/>
        <v>0</v>
      </c>
      <c r="EB6">
        <f t="shared" ref="EB6:EC6" si="107">IF(DZ6+EA6=0,EB5,(EB5+DZ6)*DZ6)</f>
        <v>0</v>
      </c>
      <c r="EC6">
        <f t="shared" si="107"/>
        <v>0</v>
      </c>
      <c r="EH6" s="80"/>
      <c r="EI6" s="69"/>
      <c r="EK6" s="80"/>
      <c r="EL6" s="69"/>
      <c r="EN6" s="80"/>
      <c r="EO6" s="69"/>
      <c r="EQ6" s="80"/>
      <c r="ER6" s="69"/>
    </row>
    <row r="7" spans="1:148">
      <c r="A7" s="29">
        <v>6</v>
      </c>
      <c r="B7" s="64" t="s">
        <v>28</v>
      </c>
      <c r="C7" s="64" t="s">
        <v>32</v>
      </c>
      <c r="D7" s="64" t="s">
        <v>36</v>
      </c>
      <c r="E7" s="64" t="s">
        <v>26</v>
      </c>
      <c r="F7" s="63"/>
      <c r="G7" s="64" t="s">
        <v>19</v>
      </c>
      <c r="H7" s="64" t="s">
        <v>23</v>
      </c>
      <c r="I7" s="64" t="s">
        <v>33</v>
      </c>
      <c r="J7" s="64" t="s">
        <v>47</v>
      </c>
      <c r="L7" s="30"/>
      <c r="M7" s="41" t="s">
        <v>80</v>
      </c>
      <c r="N7" s="42">
        <f t="shared" si="80"/>
        <v>2</v>
      </c>
      <c r="O7" s="43">
        <f t="shared" si="81"/>
        <v>5</v>
      </c>
      <c r="P7" s="44">
        <f t="shared" si="94"/>
        <v>0.2857142857142857</v>
      </c>
      <c r="Q7" s="42">
        <f t="shared" si="82"/>
        <v>3</v>
      </c>
      <c r="R7" s="43">
        <f t="shared" si="83"/>
        <v>5</v>
      </c>
      <c r="S7" s="44">
        <f t="shared" si="95"/>
        <v>0.375</v>
      </c>
      <c r="T7" s="42">
        <f t="shared" si="84"/>
        <v>3</v>
      </c>
      <c r="U7" s="43">
        <f t="shared" si="85"/>
        <v>3</v>
      </c>
      <c r="V7" s="44">
        <f t="shared" si="96"/>
        <v>0.5</v>
      </c>
      <c r="W7" s="42">
        <f t="shared" si="86"/>
        <v>3</v>
      </c>
      <c r="X7" s="43">
        <f t="shared" si="87"/>
        <v>4</v>
      </c>
      <c r="Y7" s="45">
        <f t="shared" si="97"/>
        <v>0.42857142857142855</v>
      </c>
      <c r="Z7" s="46">
        <f t="shared" si="98"/>
        <v>11</v>
      </c>
      <c r="AA7" s="28">
        <f t="shared" si="98"/>
        <v>17</v>
      </c>
      <c r="AB7" s="47">
        <f t="shared" si="99"/>
        <v>0.39285714285714285</v>
      </c>
      <c r="AH7" s="72">
        <f t="shared" si="66"/>
        <v>0</v>
      </c>
      <c r="AI7" s="72">
        <f t="shared" si="67"/>
        <v>1</v>
      </c>
      <c r="AJ7" s="72">
        <f t="shared" si="0"/>
        <v>0</v>
      </c>
      <c r="AK7" s="72">
        <f t="shared" si="1"/>
        <v>1</v>
      </c>
      <c r="AL7" s="72">
        <f t="shared" si="2"/>
        <v>1</v>
      </c>
      <c r="AM7" s="72">
        <f t="shared" si="3"/>
        <v>0</v>
      </c>
      <c r="AN7" s="72">
        <f t="shared" si="4"/>
        <v>1</v>
      </c>
      <c r="AO7" s="72">
        <f t="shared" si="5"/>
        <v>0</v>
      </c>
      <c r="AP7" s="72">
        <f t="shared" si="6"/>
        <v>1</v>
      </c>
      <c r="AQ7" s="72">
        <f t="shared" si="7"/>
        <v>0</v>
      </c>
      <c r="AR7" s="72">
        <f t="shared" si="8"/>
        <v>2</v>
      </c>
      <c r="AS7" s="72">
        <f t="shared" si="9"/>
        <v>0</v>
      </c>
      <c r="AT7" s="72">
        <f t="shared" si="10"/>
        <v>1</v>
      </c>
      <c r="AU7" s="72">
        <f t="shared" si="11"/>
        <v>0</v>
      </c>
      <c r="AV7" s="72">
        <f t="shared" si="12"/>
        <v>1</v>
      </c>
      <c r="AW7" s="72">
        <f t="shared" si="13"/>
        <v>1</v>
      </c>
      <c r="AX7" s="72">
        <f t="shared" si="14"/>
        <v>1</v>
      </c>
      <c r="AY7" s="72">
        <f t="shared" si="15"/>
        <v>1</v>
      </c>
      <c r="AZ7" s="72">
        <f t="shared" si="16"/>
        <v>1</v>
      </c>
      <c r="BA7" s="72">
        <f t="shared" si="17"/>
        <v>0</v>
      </c>
      <c r="BB7" s="72">
        <f t="shared" si="18"/>
        <v>1</v>
      </c>
      <c r="BC7" s="72">
        <f t="shared" si="19"/>
        <v>0</v>
      </c>
      <c r="BD7" s="72">
        <f t="shared" si="20"/>
        <v>1</v>
      </c>
      <c r="BE7" s="72">
        <f t="shared" si="21"/>
        <v>0</v>
      </c>
      <c r="BF7" s="72">
        <f t="shared" si="22"/>
        <v>1</v>
      </c>
      <c r="BG7" s="72">
        <f t="shared" si="23"/>
        <v>0</v>
      </c>
      <c r="BH7" s="72">
        <f t="shared" si="24"/>
        <v>1</v>
      </c>
      <c r="BI7" s="72">
        <f t="shared" si="25"/>
        <v>0</v>
      </c>
      <c r="BJ7" s="72">
        <f t="shared" si="26"/>
        <v>1</v>
      </c>
      <c r="BK7" s="72">
        <f t="shared" si="27"/>
        <v>1</v>
      </c>
      <c r="BL7" s="72">
        <f t="shared" si="28"/>
        <v>1</v>
      </c>
      <c r="BM7" s="72">
        <f t="shared" si="29"/>
        <v>0</v>
      </c>
      <c r="BN7" s="72">
        <f t="shared" si="30"/>
        <v>2</v>
      </c>
      <c r="BO7" s="72">
        <f t="shared" si="31"/>
        <v>0</v>
      </c>
      <c r="BP7" s="72">
        <f t="shared" si="32"/>
        <v>1</v>
      </c>
      <c r="BQ7" s="72">
        <f t="shared" si="33"/>
        <v>0</v>
      </c>
      <c r="BR7" s="72">
        <f t="shared" si="34"/>
        <v>1</v>
      </c>
      <c r="BS7" s="72">
        <f t="shared" si="35"/>
        <v>0</v>
      </c>
      <c r="BT7" s="72">
        <f t="shared" si="36"/>
        <v>0</v>
      </c>
      <c r="BU7" s="72">
        <f t="shared" si="37"/>
        <v>0</v>
      </c>
      <c r="BW7">
        <f t="shared" si="38"/>
        <v>0</v>
      </c>
      <c r="BX7">
        <f t="shared" si="39"/>
        <v>1</v>
      </c>
      <c r="BY7">
        <f t="shared" si="40"/>
        <v>1</v>
      </c>
      <c r="BZ7">
        <f t="shared" si="41"/>
        <v>0</v>
      </c>
      <c r="CA7">
        <f t="shared" si="68"/>
        <v>0</v>
      </c>
      <c r="CB7">
        <f t="shared" si="69"/>
        <v>1</v>
      </c>
      <c r="CD7">
        <f t="shared" si="42"/>
        <v>0</v>
      </c>
      <c r="CE7">
        <f t="shared" si="43"/>
        <v>0</v>
      </c>
      <c r="CF7">
        <f t="shared" si="44"/>
        <v>1</v>
      </c>
      <c r="CG7">
        <f t="shared" si="45"/>
        <v>0</v>
      </c>
      <c r="CH7">
        <f t="shared" si="70"/>
        <v>0</v>
      </c>
      <c r="CI7">
        <f t="shared" si="71"/>
        <v>0</v>
      </c>
      <c r="CK7">
        <f t="shared" si="46"/>
        <v>0</v>
      </c>
      <c r="CL7">
        <f t="shared" si="47"/>
        <v>0</v>
      </c>
      <c r="CM7">
        <f t="shared" si="48"/>
        <v>1</v>
      </c>
      <c r="CN7">
        <f t="shared" si="49"/>
        <v>0</v>
      </c>
      <c r="CO7">
        <f t="shared" si="72"/>
        <v>0</v>
      </c>
      <c r="CP7">
        <f t="shared" si="73"/>
        <v>0</v>
      </c>
      <c r="CR7">
        <f t="shared" si="50"/>
        <v>0</v>
      </c>
      <c r="CS7">
        <f t="shared" si="51"/>
        <v>0</v>
      </c>
      <c r="CT7">
        <f t="shared" si="52"/>
        <v>0</v>
      </c>
      <c r="CU7">
        <f t="shared" si="53"/>
        <v>0</v>
      </c>
      <c r="CV7">
        <f t="shared" si="74"/>
        <v>0</v>
      </c>
      <c r="CW7">
        <f t="shared" si="75"/>
        <v>0</v>
      </c>
      <c r="CY7">
        <f t="shared" si="54"/>
        <v>0</v>
      </c>
      <c r="CZ7">
        <f t="shared" si="55"/>
        <v>1</v>
      </c>
      <c r="DA7">
        <f t="shared" si="56"/>
        <v>0</v>
      </c>
      <c r="DB7">
        <f t="shared" si="57"/>
        <v>0</v>
      </c>
      <c r="DC7">
        <f t="shared" si="76"/>
        <v>0</v>
      </c>
      <c r="DD7">
        <f t="shared" si="77"/>
        <v>0</v>
      </c>
      <c r="DF7" s="79">
        <f t="shared" si="78"/>
        <v>0</v>
      </c>
      <c r="DG7" s="79">
        <f t="shared" si="79"/>
        <v>1</v>
      </c>
      <c r="DH7">
        <f t="shared" si="88"/>
        <v>0</v>
      </c>
      <c r="DI7">
        <f t="shared" si="89"/>
        <v>3</v>
      </c>
      <c r="DK7" s="79">
        <f t="shared" si="58"/>
        <v>0</v>
      </c>
      <c r="DL7" s="79">
        <f t="shared" si="59"/>
        <v>0</v>
      </c>
      <c r="DM7">
        <f t="shared" ref="DM7:DN7" si="108">IF(DK7+DL7=0,DM6,(DM6+DK7)*DK7)</f>
        <v>0</v>
      </c>
      <c r="DN7">
        <f t="shared" si="108"/>
        <v>0</v>
      </c>
      <c r="DP7" s="79">
        <f t="shared" si="60"/>
        <v>0</v>
      </c>
      <c r="DQ7" s="79">
        <f t="shared" si="61"/>
        <v>0</v>
      </c>
      <c r="DR7">
        <f t="shared" ref="DR7:DS7" si="109">IF(DP7+DQ7=0,DR6,(DR6+DP7)*DP7)</f>
        <v>0</v>
      </c>
      <c r="DS7">
        <f t="shared" si="109"/>
        <v>0</v>
      </c>
      <c r="DU7" s="79">
        <f t="shared" si="62"/>
        <v>1</v>
      </c>
      <c r="DV7" s="79">
        <f t="shared" si="63"/>
        <v>0</v>
      </c>
      <c r="DW7">
        <f t="shared" ref="DW7:DX7" si="110">IF(DU7+DV7=0,DW6,(DW6+DU7)*DU7)</f>
        <v>1</v>
      </c>
      <c r="DX7">
        <f t="shared" si="110"/>
        <v>0</v>
      </c>
      <c r="DZ7" s="79">
        <f t="shared" si="64"/>
        <v>0</v>
      </c>
      <c r="EA7" s="79">
        <f t="shared" si="65"/>
        <v>0</v>
      </c>
      <c r="EB7">
        <f t="shared" ref="EB7:EC7" si="111">IF(DZ7+EA7=0,EB6,(EB6+DZ7)*DZ7)</f>
        <v>0</v>
      </c>
      <c r="EC7">
        <f t="shared" si="111"/>
        <v>0</v>
      </c>
      <c r="EH7" s="80"/>
      <c r="EI7" s="69"/>
      <c r="EK7" s="80"/>
      <c r="EL7" s="69"/>
      <c r="EN7" s="80"/>
      <c r="EO7" s="69"/>
      <c r="EQ7" s="80"/>
      <c r="ER7" s="69"/>
    </row>
    <row r="8" spans="1:148">
      <c r="A8" s="29">
        <v>7</v>
      </c>
      <c r="B8" s="64" t="s">
        <v>28</v>
      </c>
      <c r="C8" s="64" t="s">
        <v>38</v>
      </c>
      <c r="D8" s="64" t="s">
        <v>19</v>
      </c>
      <c r="E8" s="64" t="s">
        <v>33</v>
      </c>
      <c r="F8" s="63"/>
      <c r="G8" s="64" t="s">
        <v>20</v>
      </c>
      <c r="H8" s="64" t="s">
        <v>46</v>
      </c>
      <c r="I8" s="64" t="s">
        <v>18</v>
      </c>
      <c r="J8" s="64" t="s">
        <v>32</v>
      </c>
      <c r="L8" s="30"/>
      <c r="M8" s="41" t="s">
        <v>79</v>
      </c>
      <c r="N8" s="42">
        <f t="shared" si="80"/>
        <v>9</v>
      </c>
      <c r="O8" s="43">
        <f t="shared" si="81"/>
        <v>4</v>
      </c>
      <c r="P8" s="44">
        <f t="shared" si="94"/>
        <v>0.69230769230769229</v>
      </c>
      <c r="Q8" s="42">
        <f t="shared" si="82"/>
        <v>2</v>
      </c>
      <c r="R8" s="43">
        <f t="shared" si="83"/>
        <v>2</v>
      </c>
      <c r="S8" s="44">
        <f t="shared" si="95"/>
        <v>0.5</v>
      </c>
      <c r="T8" s="42">
        <f t="shared" si="84"/>
        <v>11</v>
      </c>
      <c r="U8" s="43">
        <f t="shared" si="85"/>
        <v>6</v>
      </c>
      <c r="V8" s="44">
        <f t="shared" si="96"/>
        <v>0.6470588235294118</v>
      </c>
      <c r="W8" s="42">
        <f t="shared" si="86"/>
        <v>5</v>
      </c>
      <c r="X8" s="43">
        <f t="shared" si="87"/>
        <v>3</v>
      </c>
      <c r="Y8" s="45">
        <f t="shared" si="97"/>
        <v>0.625</v>
      </c>
      <c r="Z8" s="46">
        <f t="shared" si="98"/>
        <v>27</v>
      </c>
      <c r="AA8" s="28">
        <f t="shared" si="98"/>
        <v>15</v>
      </c>
      <c r="AB8" s="47">
        <f t="shared" si="99"/>
        <v>0.6428571428571429</v>
      </c>
      <c r="AH8" s="72">
        <f t="shared" si="66"/>
        <v>0</v>
      </c>
      <c r="AI8" s="72">
        <f t="shared" si="67"/>
        <v>0</v>
      </c>
      <c r="AJ8" s="72">
        <f t="shared" si="0"/>
        <v>0</v>
      </c>
      <c r="AK8" s="72">
        <f t="shared" si="1"/>
        <v>0</v>
      </c>
      <c r="AL8" s="72">
        <f t="shared" si="2"/>
        <v>0</v>
      </c>
      <c r="AM8" s="72">
        <f t="shared" si="3"/>
        <v>0</v>
      </c>
      <c r="AN8" s="72">
        <f t="shared" si="4"/>
        <v>0</v>
      </c>
      <c r="AO8" s="72">
        <f t="shared" si="5"/>
        <v>0</v>
      </c>
      <c r="AP8" s="72">
        <f t="shared" si="6"/>
        <v>0</v>
      </c>
      <c r="AQ8" s="72">
        <f t="shared" si="7"/>
        <v>0</v>
      </c>
      <c r="AR8" s="72">
        <f t="shared" si="8"/>
        <v>0</v>
      </c>
      <c r="AS8" s="72">
        <f t="shared" si="9"/>
        <v>1</v>
      </c>
      <c r="AT8" s="72">
        <f t="shared" si="10"/>
        <v>0</v>
      </c>
      <c r="AU8" s="72">
        <f t="shared" si="11"/>
        <v>1</v>
      </c>
      <c r="AV8" s="72">
        <f t="shared" si="12"/>
        <v>1</v>
      </c>
      <c r="AW8" s="72">
        <f t="shared" si="13"/>
        <v>0</v>
      </c>
      <c r="AX8" s="72">
        <f t="shared" si="14"/>
        <v>1</v>
      </c>
      <c r="AY8" s="72">
        <f t="shared" si="15"/>
        <v>0</v>
      </c>
      <c r="AZ8" s="72">
        <f t="shared" si="16"/>
        <v>0</v>
      </c>
      <c r="BA8" s="72">
        <f t="shared" si="17"/>
        <v>1</v>
      </c>
      <c r="BB8" s="72">
        <f t="shared" si="18"/>
        <v>0</v>
      </c>
      <c r="BC8" s="72">
        <f t="shared" si="19"/>
        <v>0</v>
      </c>
      <c r="BD8" s="72">
        <f t="shared" si="20"/>
        <v>0</v>
      </c>
      <c r="BE8" s="72">
        <f t="shared" si="21"/>
        <v>0</v>
      </c>
      <c r="BF8" s="72">
        <f t="shared" si="22"/>
        <v>0</v>
      </c>
      <c r="BG8" s="72">
        <f t="shared" si="23"/>
        <v>0</v>
      </c>
      <c r="BH8" s="72">
        <f t="shared" si="24"/>
        <v>0</v>
      </c>
      <c r="BI8" s="72">
        <f t="shared" si="25"/>
        <v>0</v>
      </c>
      <c r="BJ8" s="72">
        <f t="shared" si="26"/>
        <v>0</v>
      </c>
      <c r="BK8" s="72">
        <f t="shared" si="27"/>
        <v>0</v>
      </c>
      <c r="BL8" s="72">
        <f t="shared" si="28"/>
        <v>1</v>
      </c>
      <c r="BM8" s="72">
        <f t="shared" si="29"/>
        <v>0</v>
      </c>
      <c r="BN8" s="72">
        <f t="shared" si="30"/>
        <v>0</v>
      </c>
      <c r="BO8" s="72">
        <f t="shared" si="31"/>
        <v>0</v>
      </c>
      <c r="BP8" s="72">
        <f t="shared" si="32"/>
        <v>0</v>
      </c>
      <c r="BQ8" s="72">
        <f t="shared" si="33"/>
        <v>1</v>
      </c>
      <c r="BR8" s="72">
        <f t="shared" si="34"/>
        <v>0</v>
      </c>
      <c r="BS8" s="72">
        <f t="shared" si="35"/>
        <v>0</v>
      </c>
      <c r="BT8" s="72">
        <f t="shared" si="36"/>
        <v>0</v>
      </c>
      <c r="BU8" s="72">
        <f t="shared" si="37"/>
        <v>0</v>
      </c>
      <c r="BW8">
        <f t="shared" si="38"/>
        <v>0</v>
      </c>
      <c r="BX8">
        <f t="shared" si="39"/>
        <v>0</v>
      </c>
      <c r="BY8">
        <f t="shared" si="40"/>
        <v>0</v>
      </c>
      <c r="BZ8">
        <f t="shared" si="41"/>
        <v>1</v>
      </c>
      <c r="CA8">
        <f t="shared" si="68"/>
        <v>0</v>
      </c>
      <c r="CB8">
        <f t="shared" si="69"/>
        <v>0</v>
      </c>
      <c r="CD8">
        <f t="shared" si="42"/>
        <v>0</v>
      </c>
      <c r="CE8">
        <f t="shared" si="43"/>
        <v>0</v>
      </c>
      <c r="CF8">
        <f t="shared" si="44"/>
        <v>0</v>
      </c>
      <c r="CG8">
        <f t="shared" si="45"/>
        <v>0</v>
      </c>
      <c r="CH8">
        <f t="shared" si="70"/>
        <v>0</v>
      </c>
      <c r="CI8">
        <f t="shared" si="71"/>
        <v>0</v>
      </c>
      <c r="CK8">
        <f t="shared" si="46"/>
        <v>0</v>
      </c>
      <c r="CL8">
        <f t="shared" si="47"/>
        <v>0</v>
      </c>
      <c r="CM8">
        <f t="shared" si="48"/>
        <v>0</v>
      </c>
      <c r="CN8">
        <f t="shared" si="49"/>
        <v>0</v>
      </c>
      <c r="CO8">
        <f t="shared" si="72"/>
        <v>0</v>
      </c>
      <c r="CP8">
        <f t="shared" si="73"/>
        <v>0</v>
      </c>
      <c r="CR8">
        <f t="shared" si="50"/>
        <v>0</v>
      </c>
      <c r="CS8">
        <f t="shared" si="51"/>
        <v>0</v>
      </c>
      <c r="CT8">
        <f t="shared" si="52"/>
        <v>0</v>
      </c>
      <c r="CU8">
        <f t="shared" si="53"/>
        <v>0</v>
      </c>
      <c r="CV8">
        <f t="shared" si="74"/>
        <v>0</v>
      </c>
      <c r="CW8">
        <f t="shared" si="75"/>
        <v>0</v>
      </c>
      <c r="CY8">
        <f t="shared" si="54"/>
        <v>0</v>
      </c>
      <c r="CZ8">
        <f t="shared" si="55"/>
        <v>0</v>
      </c>
      <c r="DA8">
        <f t="shared" si="56"/>
        <v>0</v>
      </c>
      <c r="DB8">
        <f t="shared" si="57"/>
        <v>1</v>
      </c>
      <c r="DC8">
        <f t="shared" si="76"/>
        <v>0</v>
      </c>
      <c r="DD8">
        <f t="shared" si="77"/>
        <v>0</v>
      </c>
      <c r="DF8" s="79">
        <f t="shared" si="78"/>
        <v>0</v>
      </c>
      <c r="DG8" s="79">
        <f t="shared" si="79"/>
        <v>0</v>
      </c>
      <c r="DH8">
        <f t="shared" si="88"/>
        <v>0</v>
      </c>
      <c r="DI8">
        <f t="shared" si="89"/>
        <v>3</v>
      </c>
      <c r="DK8" s="79">
        <f t="shared" si="58"/>
        <v>0</v>
      </c>
      <c r="DL8" s="79">
        <f t="shared" si="59"/>
        <v>1</v>
      </c>
      <c r="DM8">
        <f t="shared" ref="DM8:DN8" si="112">IF(DK8+DL8=0,DM7,(DM7+DK8)*DK8)</f>
        <v>0</v>
      </c>
      <c r="DN8">
        <f t="shared" si="112"/>
        <v>1</v>
      </c>
      <c r="DP8" s="79">
        <f t="shared" si="60"/>
        <v>0</v>
      </c>
      <c r="DQ8" s="79">
        <f t="shared" si="61"/>
        <v>1</v>
      </c>
      <c r="DR8">
        <f t="shared" ref="DR8:DS8" si="113">IF(DP8+DQ8=0,DR7,(DR7+DP8)*DP8)</f>
        <v>0</v>
      </c>
      <c r="DS8">
        <f t="shared" si="113"/>
        <v>1</v>
      </c>
      <c r="DU8" s="79">
        <f t="shared" si="62"/>
        <v>0</v>
      </c>
      <c r="DV8" s="79">
        <f t="shared" si="63"/>
        <v>0</v>
      </c>
      <c r="DW8">
        <f t="shared" ref="DW8:DX8" si="114">IF(DU8+DV8=0,DW7,(DW7+DU8)*DU8)</f>
        <v>1</v>
      </c>
      <c r="DX8">
        <f t="shared" si="114"/>
        <v>0</v>
      </c>
      <c r="DZ8" s="79">
        <f t="shared" si="64"/>
        <v>0</v>
      </c>
      <c r="EA8" s="79">
        <f t="shared" si="65"/>
        <v>0</v>
      </c>
      <c r="EB8">
        <f t="shared" ref="EB8:EC8" si="115">IF(DZ8+EA8=0,EB7,(EB7+DZ8)*DZ8)</f>
        <v>0</v>
      </c>
      <c r="EC8">
        <f t="shared" si="115"/>
        <v>0</v>
      </c>
      <c r="EH8" s="80"/>
      <c r="EI8" s="69"/>
      <c r="EK8" s="80"/>
      <c r="EL8" s="69"/>
      <c r="EN8" s="80"/>
      <c r="EO8" s="69"/>
      <c r="EQ8" s="80"/>
      <c r="ER8" s="69"/>
    </row>
    <row r="9" spans="1:148">
      <c r="A9" s="29">
        <v>8</v>
      </c>
      <c r="B9" s="64" t="s">
        <v>33</v>
      </c>
      <c r="C9" s="64" t="s">
        <v>38</v>
      </c>
      <c r="D9" s="64" t="s">
        <v>19</v>
      </c>
      <c r="E9" s="64" t="s">
        <v>18</v>
      </c>
      <c r="F9" s="63"/>
      <c r="G9" s="64" t="s">
        <v>32</v>
      </c>
      <c r="H9" s="64" t="s">
        <v>46</v>
      </c>
      <c r="I9" s="64" t="s">
        <v>28</v>
      </c>
      <c r="J9" s="64" t="s">
        <v>20</v>
      </c>
      <c r="L9" s="30"/>
      <c r="M9" s="41" t="s">
        <v>82</v>
      </c>
      <c r="N9" s="42">
        <f t="shared" si="80"/>
        <v>0</v>
      </c>
      <c r="O9" s="43">
        <f t="shared" si="81"/>
        <v>0</v>
      </c>
      <c r="P9" s="44" t="str">
        <f t="shared" si="94"/>
        <v>-</v>
      </c>
      <c r="Q9" s="42">
        <f t="shared" si="82"/>
        <v>2</v>
      </c>
      <c r="R9" s="43">
        <f t="shared" si="83"/>
        <v>2</v>
      </c>
      <c r="S9" s="44">
        <f t="shared" si="95"/>
        <v>0.5</v>
      </c>
      <c r="T9" s="42">
        <f t="shared" si="84"/>
        <v>1</v>
      </c>
      <c r="U9" s="43">
        <f t="shared" si="85"/>
        <v>2</v>
      </c>
      <c r="V9" s="44">
        <f t="shared" si="96"/>
        <v>0.33333333333333331</v>
      </c>
      <c r="W9" s="42">
        <f t="shared" si="86"/>
        <v>8</v>
      </c>
      <c r="X9" s="43">
        <f t="shared" si="87"/>
        <v>7</v>
      </c>
      <c r="Y9" s="45">
        <f t="shared" si="97"/>
        <v>0.53333333333333333</v>
      </c>
      <c r="Z9" s="46">
        <f t="shared" si="98"/>
        <v>11</v>
      </c>
      <c r="AA9" s="28">
        <f t="shared" si="98"/>
        <v>11</v>
      </c>
      <c r="AB9" s="47">
        <f t="shared" si="99"/>
        <v>0.5</v>
      </c>
      <c r="AH9" s="72">
        <f t="shared" si="66"/>
        <v>0</v>
      </c>
      <c r="AI9" s="72">
        <f t="shared" si="67"/>
        <v>0</v>
      </c>
      <c r="AJ9" s="72">
        <f t="shared" si="0"/>
        <v>0</v>
      </c>
      <c r="AK9" s="72">
        <f t="shared" si="1"/>
        <v>0</v>
      </c>
      <c r="AL9" s="72">
        <f t="shared" si="2"/>
        <v>0</v>
      </c>
      <c r="AM9" s="72">
        <f t="shared" si="3"/>
        <v>0</v>
      </c>
      <c r="AN9" s="72">
        <f t="shared" si="4"/>
        <v>0</v>
      </c>
      <c r="AO9" s="72">
        <f t="shared" si="5"/>
        <v>0</v>
      </c>
      <c r="AP9" s="72">
        <f t="shared" si="6"/>
        <v>0</v>
      </c>
      <c r="AQ9" s="72">
        <f t="shared" si="7"/>
        <v>0</v>
      </c>
      <c r="AR9" s="72">
        <f t="shared" si="8"/>
        <v>0</v>
      </c>
      <c r="AS9" s="72">
        <f t="shared" si="9"/>
        <v>1</v>
      </c>
      <c r="AT9" s="72">
        <f t="shared" si="10"/>
        <v>0</v>
      </c>
      <c r="AU9" s="72">
        <f t="shared" si="11"/>
        <v>1</v>
      </c>
      <c r="AV9" s="72">
        <f t="shared" si="12"/>
        <v>1</v>
      </c>
      <c r="AW9" s="72">
        <f t="shared" si="13"/>
        <v>0</v>
      </c>
      <c r="AX9" s="72">
        <f t="shared" si="14"/>
        <v>1</v>
      </c>
      <c r="AY9" s="72">
        <f t="shared" si="15"/>
        <v>0</v>
      </c>
      <c r="AZ9" s="72">
        <f t="shared" si="16"/>
        <v>0</v>
      </c>
      <c r="BA9" s="72">
        <f t="shared" si="17"/>
        <v>1</v>
      </c>
      <c r="BB9" s="72">
        <f t="shared" si="18"/>
        <v>0</v>
      </c>
      <c r="BC9" s="72">
        <f t="shared" si="19"/>
        <v>0</v>
      </c>
      <c r="BD9" s="72">
        <f t="shared" si="20"/>
        <v>0</v>
      </c>
      <c r="BE9" s="72">
        <f t="shared" si="21"/>
        <v>0</v>
      </c>
      <c r="BF9" s="72">
        <f t="shared" si="22"/>
        <v>0</v>
      </c>
      <c r="BG9" s="72">
        <f t="shared" si="23"/>
        <v>0</v>
      </c>
      <c r="BH9" s="72">
        <f t="shared" si="24"/>
        <v>0</v>
      </c>
      <c r="BI9" s="72">
        <f t="shared" si="25"/>
        <v>0</v>
      </c>
      <c r="BJ9" s="72">
        <f t="shared" si="26"/>
        <v>0</v>
      </c>
      <c r="BK9" s="72">
        <f t="shared" si="27"/>
        <v>0</v>
      </c>
      <c r="BL9" s="72">
        <f t="shared" si="28"/>
        <v>1</v>
      </c>
      <c r="BM9" s="72">
        <f t="shared" si="29"/>
        <v>0</v>
      </c>
      <c r="BN9" s="72">
        <f t="shared" si="30"/>
        <v>0</v>
      </c>
      <c r="BO9" s="72">
        <f t="shared" si="31"/>
        <v>0</v>
      </c>
      <c r="BP9" s="72">
        <f t="shared" si="32"/>
        <v>1</v>
      </c>
      <c r="BQ9" s="72">
        <f t="shared" si="33"/>
        <v>0</v>
      </c>
      <c r="BR9" s="72">
        <f t="shared" si="34"/>
        <v>0</v>
      </c>
      <c r="BS9" s="72">
        <f t="shared" si="35"/>
        <v>0</v>
      </c>
      <c r="BT9" s="72">
        <f t="shared" si="36"/>
        <v>0</v>
      </c>
      <c r="BU9" s="72">
        <f t="shared" si="37"/>
        <v>0</v>
      </c>
      <c r="BW9">
        <f t="shared" si="38"/>
        <v>0</v>
      </c>
      <c r="BX9">
        <f t="shared" si="39"/>
        <v>0</v>
      </c>
      <c r="BY9">
        <f t="shared" si="40"/>
        <v>0</v>
      </c>
      <c r="BZ9">
        <f t="shared" si="41"/>
        <v>1</v>
      </c>
      <c r="CA9">
        <f t="shared" si="68"/>
        <v>0</v>
      </c>
      <c r="CB9">
        <f t="shared" si="69"/>
        <v>0</v>
      </c>
      <c r="CD9">
        <f t="shared" si="42"/>
        <v>0</v>
      </c>
      <c r="CE9">
        <f t="shared" si="43"/>
        <v>0</v>
      </c>
      <c r="CF9">
        <f t="shared" si="44"/>
        <v>0</v>
      </c>
      <c r="CG9">
        <f t="shared" si="45"/>
        <v>0</v>
      </c>
      <c r="CH9">
        <f t="shared" si="70"/>
        <v>0</v>
      </c>
      <c r="CI9">
        <f t="shared" si="71"/>
        <v>0</v>
      </c>
      <c r="CK9">
        <f t="shared" si="46"/>
        <v>0</v>
      </c>
      <c r="CL9">
        <f t="shared" si="47"/>
        <v>0</v>
      </c>
      <c r="CM9">
        <f t="shared" si="48"/>
        <v>0</v>
      </c>
      <c r="CN9">
        <f t="shared" si="49"/>
        <v>0</v>
      </c>
      <c r="CO9">
        <f t="shared" si="72"/>
        <v>0</v>
      </c>
      <c r="CP9">
        <f t="shared" si="73"/>
        <v>0</v>
      </c>
      <c r="CR9">
        <f t="shared" si="50"/>
        <v>0</v>
      </c>
      <c r="CS9">
        <f t="shared" si="51"/>
        <v>0</v>
      </c>
      <c r="CT9">
        <f t="shared" si="52"/>
        <v>0</v>
      </c>
      <c r="CU9">
        <f t="shared" si="53"/>
        <v>0</v>
      </c>
      <c r="CV9">
        <f t="shared" si="74"/>
        <v>0</v>
      </c>
      <c r="CW9">
        <f t="shared" si="75"/>
        <v>0</v>
      </c>
      <c r="CY9">
        <f t="shared" si="54"/>
        <v>0</v>
      </c>
      <c r="CZ9">
        <f t="shared" si="55"/>
        <v>0</v>
      </c>
      <c r="DA9">
        <f t="shared" si="56"/>
        <v>0</v>
      </c>
      <c r="DB9">
        <f t="shared" si="57"/>
        <v>1</v>
      </c>
      <c r="DC9">
        <f t="shared" si="76"/>
        <v>0</v>
      </c>
      <c r="DD9">
        <f t="shared" si="77"/>
        <v>0</v>
      </c>
      <c r="DF9" s="79">
        <f t="shared" si="78"/>
        <v>0</v>
      </c>
      <c r="DG9" s="79">
        <f t="shared" si="79"/>
        <v>0</v>
      </c>
      <c r="DH9">
        <f>IF(DF9+DG9=0,DH8,(DH8+DF9)*DF9)</f>
        <v>0</v>
      </c>
      <c r="DI9">
        <f t="shared" si="89"/>
        <v>3</v>
      </c>
      <c r="DK9" s="79">
        <f t="shared" si="58"/>
        <v>0</v>
      </c>
      <c r="DL9" s="79">
        <f t="shared" si="59"/>
        <v>1</v>
      </c>
      <c r="DM9">
        <f t="shared" ref="DM9:DN9" si="116">IF(DK9+DL9=0,DM8,(DM8+DK9)*DK9)</f>
        <v>0</v>
      </c>
      <c r="DN9">
        <f t="shared" si="116"/>
        <v>2</v>
      </c>
      <c r="DP9" s="79">
        <f t="shared" si="60"/>
        <v>1</v>
      </c>
      <c r="DQ9" s="79">
        <f t="shared" si="61"/>
        <v>0</v>
      </c>
      <c r="DR9">
        <f t="shared" ref="DR9:DS9" si="117">IF(DP9+DQ9=0,DR8,(DR8+DP9)*DP9)</f>
        <v>1</v>
      </c>
      <c r="DS9">
        <f t="shared" si="117"/>
        <v>0</v>
      </c>
      <c r="DU9" s="79">
        <f t="shared" si="62"/>
        <v>0</v>
      </c>
      <c r="DV9" s="79">
        <f t="shared" si="63"/>
        <v>0</v>
      </c>
      <c r="DW9">
        <f t="shared" ref="DW9:DX9" si="118">IF(DU9+DV9=0,DW8,(DW8+DU9)*DU9)</f>
        <v>1</v>
      </c>
      <c r="DX9">
        <f t="shared" si="118"/>
        <v>0</v>
      </c>
      <c r="DZ9" s="79">
        <f t="shared" si="64"/>
        <v>0</v>
      </c>
      <c r="EA9" s="79">
        <f t="shared" si="65"/>
        <v>0</v>
      </c>
      <c r="EB9">
        <f t="shared" ref="EB9:EC9" si="119">IF(DZ9+EA9=0,EB8,(EB8+DZ9)*DZ9)</f>
        <v>0</v>
      </c>
      <c r="EC9">
        <f t="shared" si="119"/>
        <v>0</v>
      </c>
      <c r="EH9" s="80"/>
      <c r="EI9" s="69"/>
      <c r="EK9" s="80"/>
      <c r="EL9" s="69"/>
      <c r="EN9" s="80"/>
      <c r="EO9" s="69"/>
      <c r="EQ9" s="80"/>
      <c r="ER9" s="69"/>
    </row>
    <row r="10" spans="1:148">
      <c r="A10" s="29">
        <v>9</v>
      </c>
      <c r="B10" s="64" t="s">
        <v>17</v>
      </c>
      <c r="C10" s="64" t="s">
        <v>31</v>
      </c>
      <c r="D10" s="64" t="s">
        <v>44</v>
      </c>
      <c r="E10" s="64" t="s">
        <v>46</v>
      </c>
      <c r="F10" s="63"/>
      <c r="G10" s="64" t="s">
        <v>18</v>
      </c>
      <c r="H10" s="64" t="s">
        <v>32</v>
      </c>
      <c r="I10" s="64" t="s">
        <v>38</v>
      </c>
      <c r="J10" s="64" t="s">
        <v>20</v>
      </c>
      <c r="L10" s="30"/>
      <c r="M10" s="41" t="s">
        <v>86</v>
      </c>
      <c r="N10" s="42">
        <f t="shared" si="80"/>
        <v>0</v>
      </c>
      <c r="O10" s="43">
        <f t="shared" si="81"/>
        <v>0</v>
      </c>
      <c r="P10" s="44" t="str">
        <f t="shared" si="94"/>
        <v>-</v>
      </c>
      <c r="Q10" s="42">
        <f t="shared" si="82"/>
        <v>14</v>
      </c>
      <c r="R10" s="43">
        <f t="shared" si="83"/>
        <v>16</v>
      </c>
      <c r="S10" s="44">
        <f t="shared" si="95"/>
        <v>0.46666666666666667</v>
      </c>
      <c r="T10" s="42">
        <f t="shared" si="84"/>
        <v>2</v>
      </c>
      <c r="U10" s="43">
        <f t="shared" si="85"/>
        <v>4</v>
      </c>
      <c r="V10" s="44">
        <f t="shared" si="96"/>
        <v>0.33333333333333331</v>
      </c>
      <c r="W10" s="42">
        <f t="shared" si="86"/>
        <v>2</v>
      </c>
      <c r="X10" s="43">
        <f t="shared" si="87"/>
        <v>1</v>
      </c>
      <c r="Y10" s="45">
        <f t="shared" si="97"/>
        <v>0.66666666666666663</v>
      </c>
      <c r="Z10" s="46">
        <f t="shared" si="98"/>
        <v>18</v>
      </c>
      <c r="AA10" s="28">
        <f t="shared" si="98"/>
        <v>21</v>
      </c>
      <c r="AB10" s="47">
        <f t="shared" si="99"/>
        <v>0.46153846153846156</v>
      </c>
      <c r="AH10" s="72">
        <f t="shared" si="66"/>
        <v>1</v>
      </c>
      <c r="AI10" s="72">
        <f t="shared" si="67"/>
        <v>0</v>
      </c>
      <c r="AJ10" s="72">
        <f t="shared" si="0"/>
        <v>1</v>
      </c>
      <c r="AK10" s="72">
        <f t="shared" si="1"/>
        <v>0</v>
      </c>
      <c r="AL10" s="72">
        <f t="shared" si="2"/>
        <v>1</v>
      </c>
      <c r="AM10" s="72">
        <f t="shared" si="3"/>
        <v>0</v>
      </c>
      <c r="AN10" s="72">
        <f t="shared" si="4"/>
        <v>1</v>
      </c>
      <c r="AO10" s="72">
        <f t="shared" si="5"/>
        <v>0</v>
      </c>
      <c r="AP10" s="72">
        <f t="shared" si="6"/>
        <v>1</v>
      </c>
      <c r="AQ10" s="72">
        <f t="shared" si="7"/>
        <v>0</v>
      </c>
      <c r="AR10" s="72">
        <f t="shared" si="8"/>
        <v>0</v>
      </c>
      <c r="AS10" s="72">
        <f t="shared" si="9"/>
        <v>1</v>
      </c>
      <c r="AT10" s="72">
        <f t="shared" si="10"/>
        <v>1</v>
      </c>
      <c r="AU10" s="72">
        <f t="shared" si="11"/>
        <v>0</v>
      </c>
      <c r="AV10" s="72">
        <f t="shared" si="12"/>
        <v>0</v>
      </c>
      <c r="AW10" s="72">
        <f t="shared" si="13"/>
        <v>0</v>
      </c>
      <c r="AX10" s="72">
        <f t="shared" si="14"/>
        <v>0</v>
      </c>
      <c r="AY10" s="72">
        <f t="shared" si="15"/>
        <v>0</v>
      </c>
      <c r="AZ10" s="72">
        <f t="shared" si="16"/>
        <v>0</v>
      </c>
      <c r="BA10" s="72">
        <f t="shared" si="17"/>
        <v>1</v>
      </c>
      <c r="BB10" s="72">
        <f t="shared" si="18"/>
        <v>1</v>
      </c>
      <c r="BC10" s="72">
        <f t="shared" si="19"/>
        <v>0</v>
      </c>
      <c r="BD10" s="72">
        <f t="shared" si="20"/>
        <v>0</v>
      </c>
      <c r="BE10" s="72">
        <f t="shared" si="21"/>
        <v>0</v>
      </c>
      <c r="BF10" s="72">
        <f t="shared" si="22"/>
        <v>0</v>
      </c>
      <c r="BG10" s="72">
        <f t="shared" si="23"/>
        <v>0</v>
      </c>
      <c r="BH10" s="72">
        <f t="shared" si="24"/>
        <v>0</v>
      </c>
      <c r="BI10" s="72">
        <f t="shared" si="25"/>
        <v>0</v>
      </c>
      <c r="BJ10" s="72">
        <f t="shared" si="26"/>
        <v>0</v>
      </c>
      <c r="BK10" s="72">
        <f t="shared" si="27"/>
        <v>0</v>
      </c>
      <c r="BL10" s="72">
        <f t="shared" si="28"/>
        <v>0</v>
      </c>
      <c r="BM10" s="72">
        <f t="shared" si="29"/>
        <v>1</v>
      </c>
      <c r="BN10" s="72">
        <f t="shared" si="30"/>
        <v>0</v>
      </c>
      <c r="BO10" s="72">
        <f t="shared" si="31"/>
        <v>0</v>
      </c>
      <c r="BP10" s="72">
        <f t="shared" si="32"/>
        <v>0</v>
      </c>
      <c r="BQ10" s="72">
        <f t="shared" si="33"/>
        <v>1</v>
      </c>
      <c r="BR10" s="72">
        <f t="shared" si="34"/>
        <v>0</v>
      </c>
      <c r="BS10" s="72">
        <f t="shared" si="35"/>
        <v>0</v>
      </c>
      <c r="BT10" s="72">
        <f t="shared" si="36"/>
        <v>0</v>
      </c>
      <c r="BU10" s="72">
        <f t="shared" si="37"/>
        <v>0</v>
      </c>
      <c r="BW10">
        <f t="shared" si="38"/>
        <v>0</v>
      </c>
      <c r="BX10">
        <f t="shared" si="39"/>
        <v>0</v>
      </c>
      <c r="BY10">
        <f t="shared" si="40"/>
        <v>0</v>
      </c>
      <c r="BZ10">
        <f t="shared" si="41"/>
        <v>1</v>
      </c>
      <c r="CA10">
        <f t="shared" si="68"/>
        <v>0</v>
      </c>
      <c r="CB10">
        <f t="shared" si="69"/>
        <v>0</v>
      </c>
      <c r="CD10">
        <f t="shared" si="42"/>
        <v>0</v>
      </c>
      <c r="CE10">
        <f t="shared" si="43"/>
        <v>1</v>
      </c>
      <c r="CF10">
        <f t="shared" si="44"/>
        <v>0</v>
      </c>
      <c r="CG10">
        <f t="shared" si="45"/>
        <v>0</v>
      </c>
      <c r="CH10">
        <f t="shared" si="70"/>
        <v>0</v>
      </c>
      <c r="CI10">
        <f t="shared" si="71"/>
        <v>0</v>
      </c>
      <c r="CK10">
        <f t="shared" si="46"/>
        <v>0</v>
      </c>
      <c r="CL10">
        <f t="shared" si="47"/>
        <v>1</v>
      </c>
      <c r="CM10">
        <f t="shared" si="48"/>
        <v>0</v>
      </c>
      <c r="CN10">
        <f t="shared" si="49"/>
        <v>0</v>
      </c>
      <c r="CO10">
        <f t="shared" si="72"/>
        <v>0</v>
      </c>
      <c r="CP10">
        <f t="shared" si="73"/>
        <v>0</v>
      </c>
      <c r="CR10">
        <f t="shared" si="50"/>
        <v>1</v>
      </c>
      <c r="CS10">
        <f t="shared" si="51"/>
        <v>0</v>
      </c>
      <c r="CT10">
        <f t="shared" si="52"/>
        <v>0</v>
      </c>
      <c r="CU10">
        <f t="shared" si="53"/>
        <v>0</v>
      </c>
      <c r="CV10">
        <f t="shared" si="74"/>
        <v>0</v>
      </c>
      <c r="CW10">
        <f t="shared" si="75"/>
        <v>0</v>
      </c>
      <c r="CY10">
        <f t="shared" si="54"/>
        <v>1</v>
      </c>
      <c r="CZ10">
        <f t="shared" si="55"/>
        <v>0</v>
      </c>
      <c r="DA10">
        <f t="shared" si="56"/>
        <v>0</v>
      </c>
      <c r="DB10">
        <f t="shared" si="57"/>
        <v>1</v>
      </c>
      <c r="DC10">
        <f t="shared" si="76"/>
        <v>1</v>
      </c>
      <c r="DD10">
        <f t="shared" si="77"/>
        <v>0</v>
      </c>
      <c r="DF10" s="79">
        <f t="shared" si="78"/>
        <v>0</v>
      </c>
      <c r="DG10" s="79">
        <f t="shared" si="79"/>
        <v>0</v>
      </c>
      <c r="DH10">
        <f>IF(DF10+DG10=0,DH9,(DH9+DF10)*DF10)</f>
        <v>0</v>
      </c>
      <c r="DI10">
        <f t="shared" si="89"/>
        <v>3</v>
      </c>
      <c r="DK10" s="79">
        <f t="shared" si="58"/>
        <v>0</v>
      </c>
      <c r="DL10" s="79">
        <f t="shared" si="59"/>
        <v>1</v>
      </c>
      <c r="DM10">
        <f t="shared" ref="DM10:DN10" si="120">IF(DK10+DL10=0,DM9,(DM9+DK10)*DK10)</f>
        <v>0</v>
      </c>
      <c r="DN10">
        <f t="shared" si="120"/>
        <v>3</v>
      </c>
      <c r="DP10" s="79">
        <f t="shared" si="60"/>
        <v>0</v>
      </c>
      <c r="DQ10" s="79">
        <f t="shared" si="61"/>
        <v>1</v>
      </c>
      <c r="DR10">
        <f t="shared" ref="DR10:DS10" si="121">IF(DP10+DQ10=0,DR9,(DR9+DP10)*DP10)</f>
        <v>0</v>
      </c>
      <c r="DS10">
        <f t="shared" si="121"/>
        <v>1</v>
      </c>
      <c r="DU10" s="79">
        <f t="shared" si="62"/>
        <v>0</v>
      </c>
      <c r="DV10" s="79">
        <f t="shared" si="63"/>
        <v>0</v>
      </c>
      <c r="DW10">
        <f t="shared" ref="DW10:DX10" si="122">IF(DU10+DV10=0,DW9,(DW9+DU10)*DU10)</f>
        <v>1</v>
      </c>
      <c r="DX10">
        <f t="shared" si="122"/>
        <v>0</v>
      </c>
      <c r="DZ10" s="79">
        <f t="shared" si="64"/>
        <v>0</v>
      </c>
      <c r="EA10" s="79">
        <f t="shared" si="65"/>
        <v>0</v>
      </c>
      <c r="EB10">
        <f t="shared" ref="EB10:EC10" si="123">IF(DZ10+EA10=0,EB9,(EB9+DZ10)*DZ10)</f>
        <v>0</v>
      </c>
      <c r="EC10">
        <f t="shared" si="123"/>
        <v>0</v>
      </c>
      <c r="EH10" s="80"/>
      <c r="EI10" s="69"/>
      <c r="EK10" s="80"/>
      <c r="EL10" s="69"/>
      <c r="EN10" s="80"/>
      <c r="EO10" s="69"/>
      <c r="EQ10" s="80"/>
      <c r="ER10" s="69"/>
    </row>
    <row r="11" spans="1:148">
      <c r="A11" s="29">
        <v>10</v>
      </c>
      <c r="B11" s="64" t="s">
        <v>33</v>
      </c>
      <c r="C11" s="64" t="s">
        <v>31</v>
      </c>
      <c r="D11" s="64" t="s">
        <v>18</v>
      </c>
      <c r="E11" s="64" t="s">
        <v>44</v>
      </c>
      <c r="F11" s="63"/>
      <c r="G11" s="64" t="s">
        <v>20</v>
      </c>
      <c r="H11" s="64" t="s">
        <v>36</v>
      </c>
      <c r="I11" s="64" t="s">
        <v>17</v>
      </c>
      <c r="J11" s="64" t="s">
        <v>26</v>
      </c>
      <c r="L11" s="30"/>
      <c r="M11" s="41" t="s">
        <v>69</v>
      </c>
      <c r="N11" s="42">
        <f t="shared" si="80"/>
        <v>1</v>
      </c>
      <c r="O11" s="43">
        <f t="shared" si="81"/>
        <v>2</v>
      </c>
      <c r="P11" s="44">
        <f t="shared" si="94"/>
        <v>0.33333333333333331</v>
      </c>
      <c r="Q11" s="42">
        <f t="shared" si="82"/>
        <v>4</v>
      </c>
      <c r="R11" s="43">
        <f t="shared" si="83"/>
        <v>4</v>
      </c>
      <c r="S11" s="44">
        <f t="shared" si="95"/>
        <v>0.5</v>
      </c>
      <c r="T11" s="42">
        <f t="shared" si="84"/>
        <v>2</v>
      </c>
      <c r="U11" s="43">
        <f t="shared" si="85"/>
        <v>4</v>
      </c>
      <c r="V11" s="44">
        <f t="shared" si="96"/>
        <v>0.33333333333333331</v>
      </c>
      <c r="W11" s="42">
        <f t="shared" si="86"/>
        <v>1</v>
      </c>
      <c r="X11" s="43">
        <f t="shared" si="87"/>
        <v>2</v>
      </c>
      <c r="Y11" s="45">
        <f t="shared" si="97"/>
        <v>0.33333333333333331</v>
      </c>
      <c r="Z11" s="46">
        <f t="shared" si="98"/>
        <v>8</v>
      </c>
      <c r="AA11" s="28">
        <f t="shared" si="98"/>
        <v>12</v>
      </c>
      <c r="AB11" s="47">
        <f t="shared" si="99"/>
        <v>0.4</v>
      </c>
      <c r="AH11" s="72">
        <f t="shared" si="66"/>
        <v>1</v>
      </c>
      <c r="AI11" s="72">
        <f t="shared" si="67"/>
        <v>0</v>
      </c>
      <c r="AJ11" s="72">
        <f t="shared" si="0"/>
        <v>1</v>
      </c>
      <c r="AK11" s="72">
        <f t="shared" si="1"/>
        <v>0</v>
      </c>
      <c r="AL11" s="72">
        <f t="shared" si="2"/>
        <v>1</v>
      </c>
      <c r="AM11" s="72">
        <f t="shared" si="3"/>
        <v>1</v>
      </c>
      <c r="AN11" s="72">
        <f t="shared" si="4"/>
        <v>0</v>
      </c>
      <c r="AO11" s="72">
        <f t="shared" si="5"/>
        <v>2</v>
      </c>
      <c r="AP11" s="72">
        <f t="shared" si="6"/>
        <v>1</v>
      </c>
      <c r="AQ11" s="72">
        <f t="shared" si="7"/>
        <v>1</v>
      </c>
      <c r="AR11" s="72">
        <f t="shared" si="8"/>
        <v>0</v>
      </c>
      <c r="AS11" s="72">
        <f t="shared" si="9"/>
        <v>1</v>
      </c>
      <c r="AT11" s="72">
        <f t="shared" si="10"/>
        <v>0</v>
      </c>
      <c r="AU11" s="72">
        <f t="shared" si="11"/>
        <v>1</v>
      </c>
      <c r="AV11" s="72">
        <f t="shared" si="12"/>
        <v>1</v>
      </c>
      <c r="AW11" s="72">
        <f t="shared" si="13"/>
        <v>1</v>
      </c>
      <c r="AX11" s="72">
        <f t="shared" si="14"/>
        <v>0</v>
      </c>
      <c r="AY11" s="72">
        <f t="shared" si="15"/>
        <v>1</v>
      </c>
      <c r="AZ11" s="72">
        <f t="shared" si="16"/>
        <v>0</v>
      </c>
      <c r="BA11" s="72">
        <f t="shared" si="17"/>
        <v>2</v>
      </c>
      <c r="BB11" s="72">
        <f t="shared" si="18"/>
        <v>1</v>
      </c>
      <c r="BC11" s="72">
        <f t="shared" si="19"/>
        <v>1</v>
      </c>
      <c r="BD11" s="72">
        <f t="shared" si="20"/>
        <v>0</v>
      </c>
      <c r="BE11" s="72">
        <f t="shared" si="21"/>
        <v>1</v>
      </c>
      <c r="BF11" s="72">
        <f t="shared" si="22"/>
        <v>0</v>
      </c>
      <c r="BG11" s="72">
        <f t="shared" si="23"/>
        <v>1</v>
      </c>
      <c r="BH11" s="72">
        <f t="shared" si="24"/>
        <v>0</v>
      </c>
      <c r="BI11" s="72">
        <f t="shared" si="25"/>
        <v>1</v>
      </c>
      <c r="BJ11" s="72">
        <f t="shared" si="26"/>
        <v>0</v>
      </c>
      <c r="BK11" s="72">
        <f t="shared" si="27"/>
        <v>1</v>
      </c>
      <c r="BL11" s="72">
        <f t="shared" si="28"/>
        <v>0</v>
      </c>
      <c r="BM11" s="72">
        <f t="shared" si="29"/>
        <v>1</v>
      </c>
      <c r="BN11" s="72">
        <f t="shared" si="30"/>
        <v>0</v>
      </c>
      <c r="BO11" s="72">
        <f t="shared" si="31"/>
        <v>2</v>
      </c>
      <c r="BP11" s="72">
        <f t="shared" si="32"/>
        <v>1</v>
      </c>
      <c r="BQ11" s="72">
        <f t="shared" si="33"/>
        <v>1</v>
      </c>
      <c r="BR11" s="72">
        <f t="shared" si="34"/>
        <v>0</v>
      </c>
      <c r="BS11" s="72">
        <f t="shared" si="35"/>
        <v>1</v>
      </c>
      <c r="BT11" s="72">
        <f t="shared" si="36"/>
        <v>0</v>
      </c>
      <c r="BU11" s="72">
        <f t="shared" si="37"/>
        <v>0</v>
      </c>
      <c r="BW11">
        <f t="shared" si="38"/>
        <v>0</v>
      </c>
      <c r="BX11">
        <f t="shared" si="39"/>
        <v>0</v>
      </c>
      <c r="BY11">
        <f t="shared" si="40"/>
        <v>0</v>
      </c>
      <c r="BZ11">
        <f t="shared" si="41"/>
        <v>0</v>
      </c>
      <c r="CA11">
        <f t="shared" si="68"/>
        <v>0</v>
      </c>
      <c r="CB11">
        <f t="shared" si="69"/>
        <v>0</v>
      </c>
      <c r="CD11">
        <f t="shared" si="42"/>
        <v>0</v>
      </c>
      <c r="CE11">
        <f t="shared" si="43"/>
        <v>1</v>
      </c>
      <c r="CF11">
        <f t="shared" si="44"/>
        <v>0</v>
      </c>
      <c r="CG11">
        <f t="shared" si="45"/>
        <v>0</v>
      </c>
      <c r="CH11">
        <f t="shared" si="70"/>
        <v>0</v>
      </c>
      <c r="CI11">
        <f t="shared" si="71"/>
        <v>0</v>
      </c>
      <c r="CK11">
        <f t="shared" si="46"/>
        <v>0</v>
      </c>
      <c r="CL11">
        <f t="shared" si="47"/>
        <v>1</v>
      </c>
      <c r="CM11">
        <f t="shared" si="48"/>
        <v>0</v>
      </c>
      <c r="CN11">
        <f t="shared" si="49"/>
        <v>0</v>
      </c>
      <c r="CO11">
        <f t="shared" si="72"/>
        <v>0</v>
      </c>
      <c r="CP11">
        <f t="shared" si="73"/>
        <v>0</v>
      </c>
      <c r="CR11">
        <f t="shared" si="50"/>
        <v>0</v>
      </c>
      <c r="CS11">
        <f t="shared" si="51"/>
        <v>0</v>
      </c>
      <c r="CT11">
        <f t="shared" si="52"/>
        <v>1</v>
      </c>
      <c r="CU11">
        <f t="shared" si="53"/>
        <v>0</v>
      </c>
      <c r="CV11">
        <f t="shared" si="74"/>
        <v>0</v>
      </c>
      <c r="CW11">
        <f t="shared" si="75"/>
        <v>0</v>
      </c>
      <c r="CY11">
        <f t="shared" si="54"/>
        <v>0</v>
      </c>
      <c r="CZ11">
        <f t="shared" si="55"/>
        <v>0</v>
      </c>
      <c r="DA11">
        <f t="shared" si="56"/>
        <v>1</v>
      </c>
      <c r="DB11">
        <f t="shared" si="57"/>
        <v>0</v>
      </c>
      <c r="DC11">
        <f t="shared" si="76"/>
        <v>0</v>
      </c>
      <c r="DD11">
        <f t="shared" si="77"/>
        <v>0</v>
      </c>
      <c r="DF11" s="79">
        <f t="shared" si="78"/>
        <v>0</v>
      </c>
      <c r="DG11" s="79">
        <f t="shared" si="79"/>
        <v>0</v>
      </c>
      <c r="DH11">
        <f t="shared" ref="DH11:DH86" si="124">IF(DF11+DG11=0,DH10,(DH10+DF11)*DF11)</f>
        <v>0</v>
      </c>
      <c r="DI11">
        <f t="shared" si="89"/>
        <v>3</v>
      </c>
      <c r="DK11" s="79">
        <f t="shared" si="58"/>
        <v>0</v>
      </c>
      <c r="DL11" s="79">
        <f t="shared" si="59"/>
        <v>1</v>
      </c>
      <c r="DM11">
        <f t="shared" ref="DM11:DN11" si="125">IF(DK11+DL11=0,DM10,(DM10+DK11)*DK11)</f>
        <v>0</v>
      </c>
      <c r="DN11">
        <f t="shared" si="125"/>
        <v>4</v>
      </c>
      <c r="DP11" s="79">
        <f t="shared" si="60"/>
        <v>1</v>
      </c>
      <c r="DQ11" s="79">
        <f t="shared" si="61"/>
        <v>0</v>
      </c>
      <c r="DR11">
        <f t="shared" ref="DR11:DS11" si="126">IF(DP11+DQ11=0,DR10,(DR10+DP11)*DP11)</f>
        <v>1</v>
      </c>
      <c r="DS11">
        <f t="shared" si="126"/>
        <v>0</v>
      </c>
      <c r="DU11" s="79">
        <f t="shared" si="62"/>
        <v>0</v>
      </c>
      <c r="DV11" s="79">
        <f t="shared" si="63"/>
        <v>1</v>
      </c>
      <c r="DW11">
        <f t="shared" ref="DW11:DX11" si="127">IF(DU11+DV11=0,DW10,(DW10+DU11)*DU11)</f>
        <v>0</v>
      </c>
      <c r="DX11">
        <f t="shared" si="127"/>
        <v>1</v>
      </c>
      <c r="DZ11" s="79">
        <f t="shared" si="64"/>
        <v>0</v>
      </c>
      <c r="EA11" s="79">
        <f t="shared" si="65"/>
        <v>0</v>
      </c>
      <c r="EB11">
        <f t="shared" ref="EB11:EC11" si="128">IF(DZ11+EA11=0,EB10,(EB10+DZ11)*DZ11)</f>
        <v>0</v>
      </c>
      <c r="EC11">
        <f t="shared" si="128"/>
        <v>0</v>
      </c>
      <c r="EH11" s="80"/>
      <c r="EI11" s="69"/>
      <c r="EK11" s="80"/>
      <c r="EL11" s="69"/>
      <c r="EN11" s="80"/>
      <c r="EO11" s="69"/>
      <c r="EQ11" s="80"/>
      <c r="ER11" s="69"/>
    </row>
    <row r="12" spans="1:148">
      <c r="A12" s="29">
        <v>11</v>
      </c>
      <c r="B12" s="64" t="s">
        <v>28</v>
      </c>
      <c r="C12" s="64" t="s">
        <v>36</v>
      </c>
      <c r="D12" s="64" t="s">
        <v>17</v>
      </c>
      <c r="E12" s="64" t="s">
        <v>33</v>
      </c>
      <c r="F12" s="63"/>
      <c r="G12" s="64" t="s">
        <v>26</v>
      </c>
      <c r="H12" s="64" t="s">
        <v>47</v>
      </c>
      <c r="I12" s="64" t="s">
        <v>44</v>
      </c>
      <c r="J12" s="64" t="s">
        <v>20</v>
      </c>
      <c r="L12" s="30"/>
      <c r="M12" s="41" t="s">
        <v>87</v>
      </c>
      <c r="N12" s="42">
        <f t="shared" si="80"/>
        <v>6</v>
      </c>
      <c r="O12" s="43">
        <f t="shared" si="81"/>
        <v>1</v>
      </c>
      <c r="P12" s="44">
        <f t="shared" si="94"/>
        <v>0.8571428571428571</v>
      </c>
      <c r="Q12" s="42">
        <f t="shared" si="82"/>
        <v>7</v>
      </c>
      <c r="R12" s="43">
        <f t="shared" si="83"/>
        <v>5</v>
      </c>
      <c r="S12" s="44">
        <f t="shared" si="95"/>
        <v>0.58333333333333337</v>
      </c>
      <c r="T12" s="42">
        <f t="shared" si="84"/>
        <v>5</v>
      </c>
      <c r="U12" s="43">
        <f t="shared" si="85"/>
        <v>3</v>
      </c>
      <c r="V12" s="44">
        <f t="shared" si="96"/>
        <v>0.625</v>
      </c>
      <c r="W12" s="42">
        <f t="shared" si="86"/>
        <v>4</v>
      </c>
      <c r="X12" s="43">
        <f t="shared" si="87"/>
        <v>3</v>
      </c>
      <c r="Y12" s="45">
        <f t="shared" si="97"/>
        <v>0.5714285714285714</v>
      </c>
      <c r="Z12" s="46">
        <f t="shared" si="98"/>
        <v>22</v>
      </c>
      <c r="AA12" s="28">
        <f t="shared" si="98"/>
        <v>12</v>
      </c>
      <c r="AB12" s="47">
        <f t="shared" si="99"/>
        <v>0.6470588235294118</v>
      </c>
      <c r="AH12" s="72">
        <f t="shared" si="66"/>
        <v>0</v>
      </c>
      <c r="AI12" s="72">
        <f t="shared" si="67"/>
        <v>2</v>
      </c>
      <c r="AJ12" s="72">
        <f t="shared" si="0"/>
        <v>0</v>
      </c>
      <c r="AK12" s="72">
        <f t="shared" si="1"/>
        <v>2</v>
      </c>
      <c r="AL12" s="72">
        <f t="shared" si="2"/>
        <v>0</v>
      </c>
      <c r="AM12" s="72">
        <f t="shared" si="3"/>
        <v>2</v>
      </c>
      <c r="AN12" s="72">
        <f t="shared" si="4"/>
        <v>1</v>
      </c>
      <c r="AO12" s="72">
        <f t="shared" si="5"/>
        <v>1</v>
      </c>
      <c r="AP12" s="72">
        <f t="shared" si="6"/>
        <v>0</v>
      </c>
      <c r="AQ12" s="72">
        <f t="shared" si="7"/>
        <v>1</v>
      </c>
      <c r="AR12" s="72">
        <f t="shared" si="8"/>
        <v>0</v>
      </c>
      <c r="AS12" s="72">
        <f t="shared" si="9"/>
        <v>1</v>
      </c>
      <c r="AT12" s="72">
        <f t="shared" si="10"/>
        <v>0</v>
      </c>
      <c r="AU12" s="72">
        <f t="shared" si="11"/>
        <v>1</v>
      </c>
      <c r="AV12" s="72">
        <f t="shared" si="12"/>
        <v>1</v>
      </c>
      <c r="AW12" s="72">
        <f t="shared" si="13"/>
        <v>1</v>
      </c>
      <c r="AX12" s="72">
        <f t="shared" si="14"/>
        <v>0</v>
      </c>
      <c r="AY12" s="72">
        <f t="shared" si="15"/>
        <v>1</v>
      </c>
      <c r="AZ12" s="72">
        <f t="shared" si="16"/>
        <v>0</v>
      </c>
      <c r="BA12" s="72">
        <f t="shared" si="17"/>
        <v>2</v>
      </c>
      <c r="BB12" s="72">
        <f t="shared" si="18"/>
        <v>0</v>
      </c>
      <c r="BC12" s="72">
        <f t="shared" si="19"/>
        <v>2</v>
      </c>
      <c r="BD12" s="72">
        <f t="shared" si="20"/>
        <v>0</v>
      </c>
      <c r="BE12" s="72">
        <f t="shared" si="21"/>
        <v>1</v>
      </c>
      <c r="BF12" s="72">
        <f t="shared" si="22"/>
        <v>0</v>
      </c>
      <c r="BG12" s="72">
        <f t="shared" si="23"/>
        <v>1</v>
      </c>
      <c r="BH12" s="72">
        <f t="shared" si="24"/>
        <v>0</v>
      </c>
      <c r="BI12" s="72">
        <f t="shared" si="25"/>
        <v>1</v>
      </c>
      <c r="BJ12" s="72">
        <f t="shared" si="26"/>
        <v>0</v>
      </c>
      <c r="BK12" s="72">
        <f t="shared" si="27"/>
        <v>2</v>
      </c>
      <c r="BL12" s="72">
        <f t="shared" si="28"/>
        <v>0</v>
      </c>
      <c r="BM12" s="72">
        <f t="shared" si="29"/>
        <v>1</v>
      </c>
      <c r="BN12" s="72">
        <f t="shared" si="30"/>
        <v>1</v>
      </c>
      <c r="BO12" s="72">
        <f t="shared" si="31"/>
        <v>1</v>
      </c>
      <c r="BP12" s="72">
        <f t="shared" si="32"/>
        <v>0</v>
      </c>
      <c r="BQ12" s="72">
        <f t="shared" si="33"/>
        <v>1</v>
      </c>
      <c r="BR12" s="72">
        <f t="shared" si="34"/>
        <v>0</v>
      </c>
      <c r="BS12" s="72">
        <f t="shared" si="35"/>
        <v>1</v>
      </c>
      <c r="BT12" s="72">
        <f t="shared" si="36"/>
        <v>0</v>
      </c>
      <c r="BU12" s="72">
        <f t="shared" si="37"/>
        <v>0</v>
      </c>
      <c r="BW12">
        <f t="shared" si="38"/>
        <v>0</v>
      </c>
      <c r="BX12">
        <f t="shared" si="39"/>
        <v>0</v>
      </c>
      <c r="BY12">
        <f t="shared" si="40"/>
        <v>1</v>
      </c>
      <c r="BZ12">
        <f t="shared" si="41"/>
        <v>0</v>
      </c>
      <c r="CA12">
        <f t="shared" si="68"/>
        <v>0</v>
      </c>
      <c r="CB12">
        <f t="shared" si="69"/>
        <v>0</v>
      </c>
      <c r="CD12">
        <f t="shared" si="42"/>
        <v>0</v>
      </c>
      <c r="CE12">
        <f t="shared" si="43"/>
        <v>0</v>
      </c>
      <c r="CF12">
        <f t="shared" si="44"/>
        <v>1</v>
      </c>
      <c r="CG12">
        <f t="shared" si="45"/>
        <v>1</v>
      </c>
      <c r="CH12">
        <f t="shared" si="70"/>
        <v>0</v>
      </c>
      <c r="CI12">
        <f t="shared" si="71"/>
        <v>0</v>
      </c>
      <c r="CK12">
        <f t="shared" si="46"/>
        <v>0</v>
      </c>
      <c r="CL12">
        <f t="shared" si="47"/>
        <v>0</v>
      </c>
      <c r="CM12">
        <f t="shared" si="48"/>
        <v>1</v>
      </c>
      <c r="CN12">
        <f t="shared" si="49"/>
        <v>0</v>
      </c>
      <c r="CO12">
        <f t="shared" si="72"/>
        <v>0</v>
      </c>
      <c r="CP12">
        <f t="shared" si="73"/>
        <v>0</v>
      </c>
      <c r="CR12">
        <f t="shared" si="50"/>
        <v>1</v>
      </c>
      <c r="CS12">
        <f t="shared" si="51"/>
        <v>0</v>
      </c>
      <c r="CT12">
        <f t="shared" si="52"/>
        <v>0</v>
      </c>
      <c r="CU12">
        <f t="shared" si="53"/>
        <v>0</v>
      </c>
      <c r="CV12">
        <f t="shared" si="74"/>
        <v>0</v>
      </c>
      <c r="CW12">
        <f t="shared" si="75"/>
        <v>0</v>
      </c>
      <c r="CY12">
        <f t="shared" si="54"/>
        <v>1</v>
      </c>
      <c r="CZ12">
        <f t="shared" si="55"/>
        <v>0</v>
      </c>
      <c r="DA12">
        <f t="shared" si="56"/>
        <v>0</v>
      </c>
      <c r="DB12">
        <f t="shared" si="57"/>
        <v>0</v>
      </c>
      <c r="DC12">
        <f t="shared" si="76"/>
        <v>0</v>
      </c>
      <c r="DD12">
        <f t="shared" si="77"/>
        <v>0</v>
      </c>
      <c r="DF12" s="79">
        <f t="shared" si="78"/>
        <v>0</v>
      </c>
      <c r="DG12" s="79">
        <f t="shared" si="79"/>
        <v>0</v>
      </c>
      <c r="DH12">
        <f t="shared" si="124"/>
        <v>0</v>
      </c>
      <c r="DI12">
        <f t="shared" si="89"/>
        <v>3</v>
      </c>
      <c r="DK12" s="79">
        <f t="shared" si="58"/>
        <v>0</v>
      </c>
      <c r="DL12" s="79">
        <f t="shared" si="59"/>
        <v>1</v>
      </c>
      <c r="DM12">
        <f t="shared" ref="DM12:DN12" si="129">IF(DK12+DL12=0,DM11,(DM11+DK12)*DK12)</f>
        <v>0</v>
      </c>
      <c r="DN12">
        <f t="shared" si="129"/>
        <v>5</v>
      </c>
      <c r="DP12" s="79">
        <f t="shared" si="60"/>
        <v>0</v>
      </c>
      <c r="DQ12" s="79">
        <f t="shared" si="61"/>
        <v>0</v>
      </c>
      <c r="DR12">
        <f t="shared" ref="DR12:DS12" si="130">IF(DP12+DQ12=0,DR11,(DR11+DP12)*DP12)</f>
        <v>1</v>
      </c>
      <c r="DS12">
        <f t="shared" si="130"/>
        <v>0</v>
      </c>
      <c r="DU12" s="79">
        <f t="shared" si="62"/>
        <v>0</v>
      </c>
      <c r="DV12" s="79">
        <f t="shared" si="63"/>
        <v>1</v>
      </c>
      <c r="DW12">
        <f t="shared" ref="DW12:DX12" si="131">IF(DU12+DV12=0,DW11,(DW11+DU12)*DU12)</f>
        <v>0</v>
      </c>
      <c r="DX12">
        <f t="shared" si="131"/>
        <v>2</v>
      </c>
      <c r="DZ12" s="79">
        <f t="shared" si="64"/>
        <v>0</v>
      </c>
      <c r="EA12" s="79">
        <f t="shared" si="65"/>
        <v>0</v>
      </c>
      <c r="EB12">
        <f t="shared" ref="EB12:EC12" si="132">IF(DZ12+EA12=0,EB11,(EB11+DZ12)*DZ12)</f>
        <v>0</v>
      </c>
      <c r="EC12">
        <f t="shared" si="132"/>
        <v>0</v>
      </c>
      <c r="EH12" s="80"/>
      <c r="EI12" s="69"/>
      <c r="EK12" s="80"/>
      <c r="EL12" s="69"/>
      <c r="EN12" s="80"/>
      <c r="EO12" s="69"/>
      <c r="EQ12" s="80"/>
      <c r="ER12" s="69"/>
    </row>
    <row r="13" spans="1:148" ht="15.75" customHeight="1">
      <c r="A13" s="29">
        <v>12</v>
      </c>
      <c r="B13" s="64" t="s">
        <v>28</v>
      </c>
      <c r="C13" s="64" t="s">
        <v>20</v>
      </c>
      <c r="D13" s="64" t="s">
        <v>40</v>
      </c>
      <c r="E13" s="64" t="s">
        <v>17</v>
      </c>
      <c r="F13" s="63"/>
      <c r="G13" s="64" t="s">
        <v>32</v>
      </c>
      <c r="H13" s="64" t="s">
        <v>19</v>
      </c>
      <c r="I13" s="64" t="s">
        <v>46</v>
      </c>
      <c r="J13" s="64" t="s">
        <v>42</v>
      </c>
      <c r="L13" s="30"/>
      <c r="M13" s="41" t="s">
        <v>65</v>
      </c>
      <c r="N13" s="42">
        <f t="shared" si="80"/>
        <v>0</v>
      </c>
      <c r="O13" s="43">
        <f t="shared" si="81"/>
        <v>0</v>
      </c>
      <c r="P13" s="44" t="str">
        <f t="shared" si="94"/>
        <v>-</v>
      </c>
      <c r="Q13" s="42">
        <f t="shared" si="82"/>
        <v>17</v>
      </c>
      <c r="R13" s="43">
        <f t="shared" si="83"/>
        <v>9</v>
      </c>
      <c r="S13" s="44">
        <f t="shared" si="95"/>
        <v>0.65384615384615385</v>
      </c>
      <c r="T13" s="42">
        <f t="shared" si="84"/>
        <v>3</v>
      </c>
      <c r="U13" s="43">
        <f t="shared" si="85"/>
        <v>0</v>
      </c>
      <c r="V13" s="44">
        <f t="shared" si="96"/>
        <v>1</v>
      </c>
      <c r="W13" s="42">
        <f t="shared" si="86"/>
        <v>0</v>
      </c>
      <c r="X13" s="43">
        <f t="shared" si="87"/>
        <v>0</v>
      </c>
      <c r="Y13" s="45" t="str">
        <f t="shared" si="97"/>
        <v>-</v>
      </c>
      <c r="Z13" s="46">
        <f t="shared" si="98"/>
        <v>20</v>
      </c>
      <c r="AA13" s="28">
        <f t="shared" si="98"/>
        <v>9</v>
      </c>
      <c r="AB13" s="47">
        <f t="shared" si="99"/>
        <v>0.68965517241379315</v>
      </c>
      <c r="AH13" s="72">
        <f t="shared" si="66"/>
        <v>0</v>
      </c>
      <c r="AI13" s="72">
        <f t="shared" si="67"/>
        <v>0</v>
      </c>
      <c r="AJ13" s="72">
        <f t="shared" si="0"/>
        <v>0</v>
      </c>
      <c r="AK13" s="72">
        <f t="shared" si="1"/>
        <v>0</v>
      </c>
      <c r="AL13" s="72">
        <f t="shared" si="2"/>
        <v>0</v>
      </c>
      <c r="AM13" s="72">
        <f t="shared" si="3"/>
        <v>0</v>
      </c>
      <c r="AN13" s="72">
        <f t="shared" si="4"/>
        <v>1</v>
      </c>
      <c r="AO13" s="72">
        <f t="shared" si="5"/>
        <v>0</v>
      </c>
      <c r="AP13" s="72">
        <f t="shared" si="6"/>
        <v>0</v>
      </c>
      <c r="AQ13" s="72">
        <f t="shared" si="7"/>
        <v>0</v>
      </c>
      <c r="AR13" s="72">
        <f t="shared" si="8"/>
        <v>0</v>
      </c>
      <c r="AS13" s="72">
        <f t="shared" si="9"/>
        <v>1</v>
      </c>
      <c r="AT13" s="72">
        <f t="shared" si="10"/>
        <v>0</v>
      </c>
      <c r="AU13" s="72">
        <f t="shared" si="11"/>
        <v>1</v>
      </c>
      <c r="AV13" s="72">
        <f t="shared" si="12"/>
        <v>0</v>
      </c>
      <c r="AW13" s="72">
        <f t="shared" si="13"/>
        <v>0</v>
      </c>
      <c r="AX13" s="72">
        <f t="shared" si="14"/>
        <v>0</v>
      </c>
      <c r="AY13" s="72">
        <f t="shared" si="15"/>
        <v>1</v>
      </c>
      <c r="AZ13" s="72">
        <f t="shared" si="16"/>
        <v>1</v>
      </c>
      <c r="BA13" s="72">
        <f t="shared" si="17"/>
        <v>0</v>
      </c>
      <c r="BB13" s="72">
        <f t="shared" si="18"/>
        <v>0</v>
      </c>
      <c r="BC13" s="72">
        <f t="shared" si="19"/>
        <v>0</v>
      </c>
      <c r="BD13" s="72">
        <f t="shared" si="20"/>
        <v>0</v>
      </c>
      <c r="BE13" s="72">
        <f t="shared" si="21"/>
        <v>0</v>
      </c>
      <c r="BF13" s="72">
        <f t="shared" si="22"/>
        <v>0</v>
      </c>
      <c r="BG13" s="72">
        <f t="shared" si="23"/>
        <v>0</v>
      </c>
      <c r="BH13" s="72">
        <f t="shared" si="24"/>
        <v>1</v>
      </c>
      <c r="BI13" s="72">
        <f t="shared" si="25"/>
        <v>0</v>
      </c>
      <c r="BJ13" s="72">
        <f t="shared" si="26"/>
        <v>0</v>
      </c>
      <c r="BK13" s="72">
        <f t="shared" si="27"/>
        <v>0</v>
      </c>
      <c r="BL13" s="72">
        <f t="shared" si="28"/>
        <v>0</v>
      </c>
      <c r="BM13" s="72">
        <f t="shared" si="29"/>
        <v>0</v>
      </c>
      <c r="BN13" s="72">
        <f t="shared" si="30"/>
        <v>0</v>
      </c>
      <c r="BO13" s="72">
        <f t="shared" si="31"/>
        <v>0</v>
      </c>
      <c r="BP13" s="72">
        <f t="shared" si="32"/>
        <v>0</v>
      </c>
      <c r="BQ13" s="72">
        <f t="shared" si="33"/>
        <v>0</v>
      </c>
      <c r="BR13" s="72">
        <f t="shared" si="34"/>
        <v>0</v>
      </c>
      <c r="BS13" s="72">
        <f t="shared" si="35"/>
        <v>0</v>
      </c>
      <c r="BT13" s="72">
        <f t="shared" si="36"/>
        <v>0</v>
      </c>
      <c r="BU13" s="72">
        <f t="shared" si="37"/>
        <v>0</v>
      </c>
      <c r="BW13">
        <f t="shared" si="38"/>
        <v>0</v>
      </c>
      <c r="BX13">
        <f t="shared" si="39"/>
        <v>0</v>
      </c>
      <c r="BY13">
        <f t="shared" si="40"/>
        <v>0</v>
      </c>
      <c r="BZ13">
        <f t="shared" si="41"/>
        <v>1</v>
      </c>
      <c r="CA13">
        <f t="shared" si="68"/>
        <v>0</v>
      </c>
      <c r="CB13">
        <f t="shared" si="69"/>
        <v>0</v>
      </c>
      <c r="CD13">
        <f t="shared" si="42"/>
        <v>0</v>
      </c>
      <c r="CE13">
        <f t="shared" si="43"/>
        <v>0</v>
      </c>
      <c r="CF13">
        <f t="shared" si="44"/>
        <v>0</v>
      </c>
      <c r="CG13">
        <f t="shared" si="45"/>
        <v>0</v>
      </c>
      <c r="CH13">
        <f t="shared" si="70"/>
        <v>0</v>
      </c>
      <c r="CI13">
        <f t="shared" si="71"/>
        <v>0</v>
      </c>
      <c r="CK13">
        <f t="shared" si="46"/>
        <v>0</v>
      </c>
      <c r="CL13">
        <f t="shared" si="47"/>
        <v>0</v>
      </c>
      <c r="CM13">
        <f t="shared" si="48"/>
        <v>0</v>
      </c>
      <c r="CN13">
        <f t="shared" si="49"/>
        <v>0</v>
      </c>
      <c r="CO13">
        <f t="shared" si="72"/>
        <v>0</v>
      </c>
      <c r="CP13">
        <f t="shared" si="73"/>
        <v>0</v>
      </c>
      <c r="CR13">
        <f t="shared" si="50"/>
        <v>1</v>
      </c>
      <c r="CS13">
        <f t="shared" si="51"/>
        <v>0</v>
      </c>
      <c r="CT13">
        <f t="shared" si="52"/>
        <v>0</v>
      </c>
      <c r="CU13">
        <f t="shared" si="53"/>
        <v>0</v>
      </c>
      <c r="CV13">
        <f t="shared" si="74"/>
        <v>0</v>
      </c>
      <c r="CW13">
        <f t="shared" si="75"/>
        <v>0</v>
      </c>
      <c r="CY13">
        <f t="shared" si="54"/>
        <v>1</v>
      </c>
      <c r="CZ13">
        <f t="shared" si="55"/>
        <v>0</v>
      </c>
      <c r="DA13">
        <f t="shared" si="56"/>
        <v>0</v>
      </c>
      <c r="DB13">
        <f t="shared" si="57"/>
        <v>1</v>
      </c>
      <c r="DC13">
        <f t="shared" si="76"/>
        <v>1</v>
      </c>
      <c r="DD13">
        <f t="shared" si="77"/>
        <v>0</v>
      </c>
      <c r="DF13" s="79">
        <f t="shared" si="78"/>
        <v>0</v>
      </c>
      <c r="DG13" s="79">
        <f t="shared" si="79"/>
        <v>0</v>
      </c>
      <c r="DH13">
        <f t="shared" si="124"/>
        <v>0</v>
      </c>
      <c r="DI13">
        <f t="shared" si="89"/>
        <v>3</v>
      </c>
      <c r="DK13" s="79">
        <f t="shared" si="58"/>
        <v>1</v>
      </c>
      <c r="DL13" s="79">
        <f t="shared" si="59"/>
        <v>0</v>
      </c>
      <c r="DM13">
        <f t="shared" ref="DM13:DN13" si="133">IF(DK13+DL13=0,DM12,(DM12+DK13)*DK13)</f>
        <v>1</v>
      </c>
      <c r="DN13">
        <f t="shared" si="133"/>
        <v>0</v>
      </c>
      <c r="DP13" s="79">
        <f t="shared" si="60"/>
        <v>0</v>
      </c>
      <c r="DQ13" s="79">
        <f t="shared" si="61"/>
        <v>0</v>
      </c>
      <c r="DR13">
        <f t="shared" ref="DR13:DS13" si="134">IF(DP13+DQ13=0,DR12,(DR12+DP13)*DP13)</f>
        <v>1</v>
      </c>
      <c r="DS13">
        <f t="shared" si="134"/>
        <v>0</v>
      </c>
      <c r="DU13" s="79">
        <f t="shared" si="62"/>
        <v>0</v>
      </c>
      <c r="DV13" s="79">
        <f t="shared" si="63"/>
        <v>0</v>
      </c>
      <c r="DW13">
        <f t="shared" ref="DW13:DX13" si="135">IF(DU13+DV13=0,DW12,(DW12+DU13)*DU13)</f>
        <v>0</v>
      </c>
      <c r="DX13">
        <f t="shared" si="135"/>
        <v>2</v>
      </c>
      <c r="DZ13" s="79">
        <f t="shared" si="64"/>
        <v>1</v>
      </c>
      <c r="EA13" s="79">
        <f t="shared" si="65"/>
        <v>0</v>
      </c>
      <c r="EB13">
        <f t="shared" ref="EB13:EC13" si="136">IF(DZ13+EA13=0,EB12,(EB12+DZ13)*DZ13)</f>
        <v>1</v>
      </c>
      <c r="EC13">
        <f t="shared" si="136"/>
        <v>0</v>
      </c>
      <c r="EH13" s="80"/>
      <c r="EI13" s="69"/>
      <c r="EK13" s="80"/>
      <c r="EL13" s="69"/>
      <c r="EN13" s="80"/>
      <c r="EO13" s="69"/>
      <c r="EQ13" s="80"/>
      <c r="ER13" s="69"/>
    </row>
    <row r="14" spans="1:148">
      <c r="A14" s="29">
        <v>13</v>
      </c>
      <c r="B14" s="64" t="s">
        <v>28</v>
      </c>
      <c r="C14" s="64" t="s">
        <v>19</v>
      </c>
      <c r="D14" s="64" t="s">
        <v>17</v>
      </c>
      <c r="E14" s="64" t="s">
        <v>42</v>
      </c>
      <c r="F14" s="63"/>
      <c r="G14" s="64" t="s">
        <v>40</v>
      </c>
      <c r="H14" s="64" t="s">
        <v>32</v>
      </c>
      <c r="I14" s="64" t="s">
        <v>46</v>
      </c>
      <c r="J14" s="64" t="s">
        <v>20</v>
      </c>
      <c r="L14" s="30"/>
      <c r="M14" s="41" t="s">
        <v>91</v>
      </c>
      <c r="N14" s="42">
        <f t="shared" si="80"/>
        <v>2</v>
      </c>
      <c r="O14" s="43">
        <f t="shared" si="81"/>
        <v>6</v>
      </c>
      <c r="P14" s="44">
        <f t="shared" si="94"/>
        <v>0.25</v>
      </c>
      <c r="Q14" s="42">
        <f t="shared" si="82"/>
        <v>1</v>
      </c>
      <c r="R14" s="43">
        <f t="shared" si="83"/>
        <v>4</v>
      </c>
      <c r="S14" s="44">
        <f t="shared" si="95"/>
        <v>0.2</v>
      </c>
      <c r="T14" s="42">
        <f t="shared" si="84"/>
        <v>0</v>
      </c>
      <c r="U14" s="43">
        <f t="shared" si="85"/>
        <v>1</v>
      </c>
      <c r="V14" s="44">
        <f t="shared" si="96"/>
        <v>0</v>
      </c>
      <c r="W14" s="42">
        <f t="shared" si="86"/>
        <v>3</v>
      </c>
      <c r="X14" s="43">
        <f t="shared" si="87"/>
        <v>5</v>
      </c>
      <c r="Y14" s="45">
        <f t="shared" si="97"/>
        <v>0.375</v>
      </c>
      <c r="Z14" s="46">
        <f t="shared" si="98"/>
        <v>6</v>
      </c>
      <c r="AA14" s="28">
        <f t="shared" si="98"/>
        <v>16</v>
      </c>
      <c r="AB14" s="47">
        <f t="shared" si="99"/>
        <v>0.27272727272727271</v>
      </c>
      <c r="AH14" s="72">
        <f t="shared" si="66"/>
        <v>0</v>
      </c>
      <c r="AI14" s="72">
        <f t="shared" si="67"/>
        <v>0</v>
      </c>
      <c r="AJ14" s="72">
        <f t="shared" si="0"/>
        <v>0</v>
      </c>
      <c r="AK14" s="72">
        <f t="shared" si="1"/>
        <v>0</v>
      </c>
      <c r="AL14" s="72">
        <f t="shared" si="2"/>
        <v>0</v>
      </c>
      <c r="AM14" s="72">
        <f t="shared" si="3"/>
        <v>0</v>
      </c>
      <c r="AN14" s="72">
        <f t="shared" si="4"/>
        <v>1</v>
      </c>
      <c r="AO14" s="72">
        <f t="shared" si="5"/>
        <v>0</v>
      </c>
      <c r="AP14" s="72">
        <f t="shared" si="6"/>
        <v>0</v>
      </c>
      <c r="AQ14" s="72">
        <f t="shared" si="7"/>
        <v>0</v>
      </c>
      <c r="AR14" s="72">
        <f t="shared" si="8"/>
        <v>0</v>
      </c>
      <c r="AS14" s="72">
        <f t="shared" si="9"/>
        <v>1</v>
      </c>
      <c r="AT14" s="72">
        <f t="shared" si="10"/>
        <v>0</v>
      </c>
      <c r="AU14" s="72">
        <f t="shared" si="11"/>
        <v>1</v>
      </c>
      <c r="AV14" s="72">
        <f t="shared" si="12"/>
        <v>0</v>
      </c>
      <c r="AW14" s="72">
        <f t="shared" si="13"/>
        <v>0</v>
      </c>
      <c r="AX14" s="72">
        <f t="shared" si="14"/>
        <v>1</v>
      </c>
      <c r="AY14" s="72">
        <f t="shared" si="15"/>
        <v>0</v>
      </c>
      <c r="AZ14" s="72">
        <f t="shared" si="16"/>
        <v>0</v>
      </c>
      <c r="BA14" s="72">
        <f t="shared" si="17"/>
        <v>1</v>
      </c>
      <c r="BB14" s="72">
        <f t="shared" si="18"/>
        <v>0</v>
      </c>
      <c r="BC14" s="72">
        <f t="shared" si="19"/>
        <v>0</v>
      </c>
      <c r="BD14" s="72">
        <f t="shared" si="20"/>
        <v>0</v>
      </c>
      <c r="BE14" s="72">
        <f t="shared" si="21"/>
        <v>0</v>
      </c>
      <c r="BF14" s="72">
        <f t="shared" si="22"/>
        <v>0</v>
      </c>
      <c r="BG14" s="72">
        <f t="shared" si="23"/>
        <v>0</v>
      </c>
      <c r="BH14" s="72">
        <f t="shared" si="24"/>
        <v>0</v>
      </c>
      <c r="BI14" s="72">
        <f t="shared" si="25"/>
        <v>1</v>
      </c>
      <c r="BJ14" s="72">
        <f t="shared" si="26"/>
        <v>0</v>
      </c>
      <c r="BK14" s="72">
        <f t="shared" si="27"/>
        <v>0</v>
      </c>
      <c r="BL14" s="72">
        <f t="shared" si="28"/>
        <v>0</v>
      </c>
      <c r="BM14" s="72">
        <f t="shared" si="29"/>
        <v>0</v>
      </c>
      <c r="BN14" s="72">
        <f t="shared" si="30"/>
        <v>0</v>
      </c>
      <c r="BO14" s="72">
        <f t="shared" si="31"/>
        <v>0</v>
      </c>
      <c r="BP14" s="72">
        <f t="shared" si="32"/>
        <v>0</v>
      </c>
      <c r="BQ14" s="72">
        <f t="shared" si="33"/>
        <v>0</v>
      </c>
      <c r="BR14" s="72">
        <f t="shared" si="34"/>
        <v>0</v>
      </c>
      <c r="BS14" s="72">
        <f t="shared" si="35"/>
        <v>0</v>
      </c>
      <c r="BT14" s="72">
        <f t="shared" si="36"/>
        <v>0</v>
      </c>
      <c r="BU14" s="72">
        <f t="shared" si="37"/>
        <v>0</v>
      </c>
      <c r="BW14">
        <f t="shared" si="38"/>
        <v>0</v>
      </c>
      <c r="BX14">
        <f t="shared" si="39"/>
        <v>0</v>
      </c>
      <c r="BY14">
        <f t="shared" si="40"/>
        <v>0</v>
      </c>
      <c r="BZ14">
        <f t="shared" si="41"/>
        <v>1</v>
      </c>
      <c r="CA14">
        <f t="shared" si="68"/>
        <v>0</v>
      </c>
      <c r="CB14">
        <f t="shared" si="69"/>
        <v>0</v>
      </c>
      <c r="CD14">
        <f t="shared" si="42"/>
        <v>0</v>
      </c>
      <c r="CE14">
        <f t="shared" si="43"/>
        <v>0</v>
      </c>
      <c r="CF14">
        <f t="shared" si="44"/>
        <v>0</v>
      </c>
      <c r="CG14">
        <f t="shared" si="45"/>
        <v>0</v>
      </c>
      <c r="CH14">
        <f t="shared" si="70"/>
        <v>0</v>
      </c>
      <c r="CI14">
        <f t="shared" si="71"/>
        <v>0</v>
      </c>
      <c r="CK14">
        <f t="shared" si="46"/>
        <v>0</v>
      </c>
      <c r="CL14">
        <f t="shared" si="47"/>
        <v>0</v>
      </c>
      <c r="CM14">
        <f t="shared" si="48"/>
        <v>0</v>
      </c>
      <c r="CN14">
        <f t="shared" si="49"/>
        <v>0</v>
      </c>
      <c r="CO14">
        <f t="shared" si="72"/>
        <v>0</v>
      </c>
      <c r="CP14">
        <f t="shared" si="73"/>
        <v>0</v>
      </c>
      <c r="CR14">
        <f t="shared" si="50"/>
        <v>1</v>
      </c>
      <c r="CS14">
        <f t="shared" si="51"/>
        <v>0</v>
      </c>
      <c r="CT14">
        <f t="shared" si="52"/>
        <v>0</v>
      </c>
      <c r="CU14">
        <f t="shared" si="53"/>
        <v>0</v>
      </c>
      <c r="CV14">
        <f t="shared" si="74"/>
        <v>0</v>
      </c>
      <c r="CW14">
        <f t="shared" si="75"/>
        <v>0</v>
      </c>
      <c r="CY14">
        <f t="shared" si="54"/>
        <v>1</v>
      </c>
      <c r="CZ14">
        <f t="shared" si="55"/>
        <v>0</v>
      </c>
      <c r="DA14">
        <f t="shared" si="56"/>
        <v>0</v>
      </c>
      <c r="DB14">
        <f t="shared" si="57"/>
        <v>1</v>
      </c>
      <c r="DC14">
        <f t="shared" si="76"/>
        <v>1</v>
      </c>
      <c r="DD14">
        <f t="shared" si="77"/>
        <v>0</v>
      </c>
      <c r="DF14" s="79">
        <f t="shared" si="78"/>
        <v>0</v>
      </c>
      <c r="DG14" s="79">
        <f t="shared" si="79"/>
        <v>0</v>
      </c>
      <c r="DH14">
        <f t="shared" si="124"/>
        <v>0</v>
      </c>
      <c r="DI14">
        <f t="shared" si="89"/>
        <v>3</v>
      </c>
      <c r="DK14" s="79">
        <f t="shared" si="58"/>
        <v>0</v>
      </c>
      <c r="DL14" s="79">
        <f t="shared" si="59"/>
        <v>1</v>
      </c>
      <c r="DM14">
        <f t="shared" ref="DM14:DN14" si="137">IF(DK14+DL14=0,DM13,(DM13+DK14)*DK14)</f>
        <v>0</v>
      </c>
      <c r="DN14">
        <f t="shared" si="137"/>
        <v>1</v>
      </c>
      <c r="DP14" s="79">
        <f t="shared" si="60"/>
        <v>0</v>
      </c>
      <c r="DQ14" s="79">
        <f t="shared" si="61"/>
        <v>0</v>
      </c>
      <c r="DR14">
        <f t="shared" ref="DR14:DS14" si="138">IF(DP14+DQ14=0,DR13,(DR13+DP14)*DP14)</f>
        <v>1</v>
      </c>
      <c r="DS14">
        <f t="shared" si="138"/>
        <v>0</v>
      </c>
      <c r="DU14" s="79">
        <f t="shared" si="62"/>
        <v>0</v>
      </c>
      <c r="DV14" s="79">
        <f t="shared" si="63"/>
        <v>0</v>
      </c>
      <c r="DW14">
        <f t="shared" ref="DW14:DX14" si="139">IF(DU14+DV14=0,DW13,(DW13+DU14)*DU14)</f>
        <v>0</v>
      </c>
      <c r="DX14">
        <f t="shared" si="139"/>
        <v>2</v>
      </c>
      <c r="DZ14" s="79">
        <f t="shared" si="64"/>
        <v>0</v>
      </c>
      <c r="EA14" s="79">
        <f t="shared" si="65"/>
        <v>1</v>
      </c>
      <c r="EB14">
        <f t="shared" ref="EB14:EC14" si="140">IF(DZ14+EA14=0,EB13,(EB13+DZ14)*DZ14)</f>
        <v>0</v>
      </c>
      <c r="EC14">
        <f t="shared" si="140"/>
        <v>1</v>
      </c>
      <c r="EH14" s="80"/>
      <c r="EI14" s="69"/>
      <c r="EK14" s="80"/>
      <c r="EL14" s="69"/>
      <c r="EN14" s="80"/>
      <c r="EO14" s="69"/>
      <c r="EQ14" s="80"/>
      <c r="ER14" s="69"/>
    </row>
    <row r="15" spans="1:148">
      <c r="A15" s="29">
        <v>14</v>
      </c>
      <c r="B15" s="64" t="s">
        <v>42</v>
      </c>
      <c r="C15" s="64" t="s">
        <v>31</v>
      </c>
      <c r="D15" s="64" t="s">
        <v>40</v>
      </c>
      <c r="E15" s="64" t="s">
        <v>32</v>
      </c>
      <c r="F15" s="63"/>
      <c r="G15" s="64" t="s">
        <v>19</v>
      </c>
      <c r="H15" s="64" t="s">
        <v>46</v>
      </c>
      <c r="I15" s="64" t="s">
        <v>28</v>
      </c>
      <c r="J15" s="64" t="s">
        <v>44</v>
      </c>
      <c r="L15" s="30"/>
      <c r="M15" s="41" t="s">
        <v>92</v>
      </c>
      <c r="N15" s="42">
        <f t="shared" si="80"/>
        <v>15</v>
      </c>
      <c r="O15" s="43">
        <f t="shared" si="81"/>
        <v>12</v>
      </c>
      <c r="P15" s="44">
        <f t="shared" si="94"/>
        <v>0.55555555555555558</v>
      </c>
      <c r="Q15" s="42">
        <f t="shared" si="82"/>
        <v>0</v>
      </c>
      <c r="R15" s="43">
        <f t="shared" si="83"/>
        <v>0</v>
      </c>
      <c r="S15" s="44" t="str">
        <f t="shared" si="95"/>
        <v>-</v>
      </c>
      <c r="T15" s="42">
        <f t="shared" si="84"/>
        <v>6</v>
      </c>
      <c r="U15" s="43">
        <f t="shared" si="85"/>
        <v>9</v>
      </c>
      <c r="V15" s="44">
        <f t="shared" si="96"/>
        <v>0.4</v>
      </c>
      <c r="W15" s="42">
        <f t="shared" si="86"/>
        <v>1</v>
      </c>
      <c r="X15" s="43">
        <f t="shared" si="87"/>
        <v>0</v>
      </c>
      <c r="Y15" s="45">
        <f t="shared" si="97"/>
        <v>1</v>
      </c>
      <c r="Z15" s="46">
        <f t="shared" si="98"/>
        <v>22</v>
      </c>
      <c r="AA15" s="28">
        <f t="shared" si="98"/>
        <v>21</v>
      </c>
      <c r="AB15" s="47">
        <f t="shared" si="99"/>
        <v>0.51162790697674421</v>
      </c>
      <c r="AH15" s="72">
        <f t="shared" si="66"/>
        <v>0</v>
      </c>
      <c r="AI15" s="72">
        <f t="shared" si="67"/>
        <v>1</v>
      </c>
      <c r="AJ15" s="72">
        <f t="shared" si="0"/>
        <v>0</v>
      </c>
      <c r="AK15" s="72">
        <f t="shared" si="1"/>
        <v>1</v>
      </c>
      <c r="AL15" s="72">
        <f t="shared" si="2"/>
        <v>0</v>
      </c>
      <c r="AM15" s="72">
        <f t="shared" si="3"/>
        <v>1</v>
      </c>
      <c r="AN15" s="72">
        <f t="shared" si="4"/>
        <v>0</v>
      </c>
      <c r="AO15" s="72">
        <f t="shared" si="5"/>
        <v>0</v>
      </c>
      <c r="AP15" s="72">
        <f t="shared" si="6"/>
        <v>1</v>
      </c>
      <c r="AQ15" s="72">
        <f t="shared" si="7"/>
        <v>0</v>
      </c>
      <c r="AR15" s="72">
        <f t="shared" si="8"/>
        <v>1</v>
      </c>
      <c r="AS15" s="72">
        <f t="shared" si="9"/>
        <v>0</v>
      </c>
      <c r="AT15" s="72">
        <f t="shared" si="10"/>
        <v>0</v>
      </c>
      <c r="AU15" s="72">
        <f t="shared" si="11"/>
        <v>1</v>
      </c>
      <c r="AV15" s="72">
        <f t="shared" si="12"/>
        <v>0</v>
      </c>
      <c r="AW15" s="72">
        <f t="shared" si="13"/>
        <v>0</v>
      </c>
      <c r="AX15" s="72">
        <f t="shared" si="14"/>
        <v>0</v>
      </c>
      <c r="AY15" s="72">
        <f t="shared" si="15"/>
        <v>1</v>
      </c>
      <c r="AZ15" s="72">
        <f t="shared" si="16"/>
        <v>0</v>
      </c>
      <c r="BA15" s="72">
        <f t="shared" si="17"/>
        <v>0</v>
      </c>
      <c r="BB15" s="72">
        <f t="shared" si="18"/>
        <v>0</v>
      </c>
      <c r="BC15" s="72">
        <f t="shared" si="19"/>
        <v>1</v>
      </c>
      <c r="BD15" s="72">
        <f t="shared" si="20"/>
        <v>0</v>
      </c>
      <c r="BE15" s="72">
        <f t="shared" si="21"/>
        <v>0</v>
      </c>
      <c r="BF15" s="72">
        <f t="shared" si="22"/>
        <v>0</v>
      </c>
      <c r="BG15" s="72">
        <f t="shared" si="23"/>
        <v>0</v>
      </c>
      <c r="BH15" s="72">
        <f t="shared" si="24"/>
        <v>1</v>
      </c>
      <c r="BI15" s="72">
        <f t="shared" si="25"/>
        <v>0</v>
      </c>
      <c r="BJ15" s="72">
        <f t="shared" si="26"/>
        <v>0</v>
      </c>
      <c r="BK15" s="72">
        <f t="shared" si="27"/>
        <v>0</v>
      </c>
      <c r="BL15" s="72">
        <f t="shared" si="28"/>
        <v>0</v>
      </c>
      <c r="BM15" s="72">
        <f t="shared" si="29"/>
        <v>0</v>
      </c>
      <c r="BN15" s="72">
        <f t="shared" si="30"/>
        <v>0</v>
      </c>
      <c r="BO15" s="72">
        <f t="shared" si="31"/>
        <v>0</v>
      </c>
      <c r="BP15" s="72">
        <f t="shared" si="32"/>
        <v>0</v>
      </c>
      <c r="BQ15" s="72">
        <f t="shared" si="33"/>
        <v>0</v>
      </c>
      <c r="BR15" s="72">
        <f t="shared" si="34"/>
        <v>0</v>
      </c>
      <c r="BS15" s="72">
        <f t="shared" si="35"/>
        <v>0</v>
      </c>
      <c r="BT15" s="72">
        <f t="shared" si="36"/>
        <v>0</v>
      </c>
      <c r="BU15" s="72">
        <f t="shared" si="37"/>
        <v>0</v>
      </c>
      <c r="BW15">
        <f t="shared" si="38"/>
        <v>0</v>
      </c>
      <c r="BX15">
        <f t="shared" si="39"/>
        <v>1</v>
      </c>
      <c r="BY15">
        <f t="shared" si="40"/>
        <v>0</v>
      </c>
      <c r="BZ15">
        <f t="shared" si="41"/>
        <v>0</v>
      </c>
      <c r="CA15">
        <f t="shared" si="68"/>
        <v>0</v>
      </c>
      <c r="CB15">
        <f t="shared" si="69"/>
        <v>0</v>
      </c>
      <c r="CD15">
        <f t="shared" si="42"/>
        <v>0</v>
      </c>
      <c r="CE15">
        <f t="shared" si="43"/>
        <v>0</v>
      </c>
      <c r="CF15">
        <f t="shared" si="44"/>
        <v>0</v>
      </c>
      <c r="CG15">
        <f t="shared" si="45"/>
        <v>1</v>
      </c>
      <c r="CH15">
        <f t="shared" si="70"/>
        <v>0</v>
      </c>
      <c r="CI15">
        <f t="shared" si="71"/>
        <v>0</v>
      </c>
      <c r="CK15">
        <f t="shared" si="46"/>
        <v>0</v>
      </c>
      <c r="CL15">
        <f t="shared" si="47"/>
        <v>1</v>
      </c>
      <c r="CM15">
        <f t="shared" si="48"/>
        <v>0</v>
      </c>
      <c r="CN15">
        <f t="shared" si="49"/>
        <v>0</v>
      </c>
      <c r="CO15">
        <f t="shared" si="72"/>
        <v>0</v>
      </c>
      <c r="CP15">
        <f t="shared" si="73"/>
        <v>0</v>
      </c>
      <c r="CR15">
        <f t="shared" si="50"/>
        <v>0</v>
      </c>
      <c r="CS15">
        <f t="shared" si="51"/>
        <v>0</v>
      </c>
      <c r="CT15">
        <f t="shared" si="52"/>
        <v>0</v>
      </c>
      <c r="CU15">
        <f t="shared" si="53"/>
        <v>0</v>
      </c>
      <c r="CV15">
        <f t="shared" si="74"/>
        <v>0</v>
      </c>
      <c r="CW15">
        <f t="shared" si="75"/>
        <v>0</v>
      </c>
      <c r="CY15">
        <f t="shared" si="54"/>
        <v>0</v>
      </c>
      <c r="CZ15">
        <f t="shared" si="55"/>
        <v>1</v>
      </c>
      <c r="DA15">
        <f t="shared" si="56"/>
        <v>0</v>
      </c>
      <c r="DB15">
        <f t="shared" si="57"/>
        <v>0</v>
      </c>
      <c r="DC15">
        <f t="shared" si="76"/>
        <v>0</v>
      </c>
      <c r="DD15">
        <f t="shared" si="77"/>
        <v>0</v>
      </c>
      <c r="DF15" s="79">
        <f t="shared" si="78"/>
        <v>0</v>
      </c>
      <c r="DG15" s="79">
        <f t="shared" si="79"/>
        <v>0</v>
      </c>
      <c r="DH15">
        <f t="shared" si="124"/>
        <v>0</v>
      </c>
      <c r="DI15">
        <f t="shared" si="89"/>
        <v>3</v>
      </c>
      <c r="DK15" s="79">
        <f t="shared" si="58"/>
        <v>0</v>
      </c>
      <c r="DL15" s="79">
        <f t="shared" si="59"/>
        <v>0</v>
      </c>
      <c r="DM15">
        <f t="shared" ref="DM15:DN15" si="141">IF(DK15+DL15=0,DM14,(DM14+DK15)*DK15)</f>
        <v>0</v>
      </c>
      <c r="DN15">
        <f t="shared" si="141"/>
        <v>1</v>
      </c>
      <c r="DP15" s="79">
        <f t="shared" si="60"/>
        <v>0</v>
      </c>
      <c r="DQ15" s="79">
        <f t="shared" si="61"/>
        <v>0</v>
      </c>
      <c r="DR15">
        <f t="shared" ref="DR15:DS15" si="142">IF(DP15+DQ15=0,DR14,(DR14+DP15)*DP15)</f>
        <v>1</v>
      </c>
      <c r="DS15">
        <f t="shared" si="142"/>
        <v>0</v>
      </c>
      <c r="DU15" s="79">
        <f t="shared" si="62"/>
        <v>0</v>
      </c>
      <c r="DV15" s="79">
        <f t="shared" si="63"/>
        <v>0</v>
      </c>
      <c r="DW15">
        <f t="shared" ref="DW15:DX15" si="143">IF(DU15+DV15=0,DW14,(DW14+DU15)*DU15)</f>
        <v>0</v>
      </c>
      <c r="DX15">
        <f t="shared" si="143"/>
        <v>2</v>
      </c>
      <c r="DZ15" s="79">
        <f t="shared" si="64"/>
        <v>1</v>
      </c>
      <c r="EA15" s="79">
        <f t="shared" si="65"/>
        <v>0</v>
      </c>
      <c r="EB15">
        <f t="shared" ref="EB15:EC15" si="144">IF(DZ15+EA15=0,EB14,(EB14+DZ15)*DZ15)</f>
        <v>1</v>
      </c>
      <c r="EC15">
        <f t="shared" si="144"/>
        <v>0</v>
      </c>
      <c r="EH15" s="80"/>
      <c r="EI15" s="69"/>
      <c r="EK15" s="80"/>
      <c r="EL15" s="69"/>
      <c r="EN15" s="80"/>
      <c r="EO15" s="69"/>
      <c r="EQ15" s="80"/>
      <c r="ER15" s="69"/>
    </row>
    <row r="16" spans="1:148">
      <c r="A16" s="29">
        <v>15</v>
      </c>
      <c r="B16" s="64" t="s">
        <v>19</v>
      </c>
      <c r="C16" s="64" t="s">
        <v>46</v>
      </c>
      <c r="D16" s="64" t="s">
        <v>23</v>
      </c>
      <c r="E16" s="64" t="s">
        <v>42</v>
      </c>
      <c r="F16" s="63"/>
      <c r="G16" s="64" t="s">
        <v>40</v>
      </c>
      <c r="H16" s="64" t="s">
        <v>31</v>
      </c>
      <c r="I16" s="64" t="s">
        <v>44</v>
      </c>
      <c r="J16" s="64" t="s">
        <v>32</v>
      </c>
      <c r="L16" s="30"/>
      <c r="M16" s="41" t="s">
        <v>50</v>
      </c>
      <c r="N16" s="42">
        <f t="shared" si="80"/>
        <v>0</v>
      </c>
      <c r="O16" s="43">
        <f t="shared" si="81"/>
        <v>0</v>
      </c>
      <c r="P16" s="44" t="str">
        <f t="shared" si="94"/>
        <v>-</v>
      </c>
      <c r="Q16" s="42">
        <f t="shared" si="82"/>
        <v>0</v>
      </c>
      <c r="R16" s="43">
        <f t="shared" si="83"/>
        <v>0</v>
      </c>
      <c r="S16" s="44" t="str">
        <f t="shared" si="95"/>
        <v>-</v>
      </c>
      <c r="T16" s="42">
        <f t="shared" si="84"/>
        <v>0</v>
      </c>
      <c r="U16" s="43">
        <f t="shared" si="85"/>
        <v>0</v>
      </c>
      <c r="V16" s="44" t="str">
        <f t="shared" si="96"/>
        <v>-</v>
      </c>
      <c r="W16" s="42">
        <f t="shared" si="86"/>
        <v>0</v>
      </c>
      <c r="X16" s="43">
        <f t="shared" si="87"/>
        <v>2</v>
      </c>
      <c r="Y16" s="45">
        <f t="shared" si="97"/>
        <v>0</v>
      </c>
      <c r="Z16" s="46">
        <f t="shared" si="98"/>
        <v>0</v>
      </c>
      <c r="AA16" s="28">
        <f t="shared" si="98"/>
        <v>2</v>
      </c>
      <c r="AB16" s="47">
        <f t="shared" si="99"/>
        <v>0</v>
      </c>
      <c r="AH16" s="72">
        <f t="shared" si="66"/>
        <v>0</v>
      </c>
      <c r="AI16" s="72">
        <f t="shared" si="67"/>
        <v>1</v>
      </c>
      <c r="AJ16" s="72">
        <f t="shared" si="0"/>
        <v>0</v>
      </c>
      <c r="AK16" s="72">
        <f t="shared" si="1"/>
        <v>1</v>
      </c>
      <c r="AL16" s="72">
        <f t="shared" si="2"/>
        <v>0</v>
      </c>
      <c r="AM16" s="72">
        <f t="shared" si="3"/>
        <v>1</v>
      </c>
      <c r="AN16" s="72">
        <f t="shared" si="4"/>
        <v>0</v>
      </c>
      <c r="AO16" s="72">
        <f t="shared" si="5"/>
        <v>0</v>
      </c>
      <c r="AP16" s="72">
        <f t="shared" si="6"/>
        <v>0</v>
      </c>
      <c r="AQ16" s="72">
        <f t="shared" si="7"/>
        <v>1</v>
      </c>
      <c r="AR16" s="72">
        <f t="shared" si="8"/>
        <v>0</v>
      </c>
      <c r="AS16" s="72">
        <f t="shared" si="9"/>
        <v>1</v>
      </c>
      <c r="AT16" s="72">
        <f t="shared" si="10"/>
        <v>1</v>
      </c>
      <c r="AU16" s="72">
        <f t="shared" si="11"/>
        <v>0</v>
      </c>
      <c r="AV16" s="72">
        <f t="shared" si="12"/>
        <v>0</v>
      </c>
      <c r="AW16" s="72">
        <f t="shared" si="13"/>
        <v>0</v>
      </c>
      <c r="AX16" s="72">
        <f t="shared" si="14"/>
        <v>1</v>
      </c>
      <c r="AY16" s="72">
        <f t="shared" si="15"/>
        <v>0</v>
      </c>
      <c r="AZ16" s="72">
        <f t="shared" si="16"/>
        <v>0</v>
      </c>
      <c r="BA16" s="72">
        <f t="shared" si="17"/>
        <v>0</v>
      </c>
      <c r="BB16" s="72">
        <f t="shared" si="18"/>
        <v>0</v>
      </c>
      <c r="BC16" s="72">
        <f t="shared" si="19"/>
        <v>1</v>
      </c>
      <c r="BD16" s="72">
        <f t="shared" si="20"/>
        <v>0</v>
      </c>
      <c r="BE16" s="72">
        <f t="shared" si="21"/>
        <v>0</v>
      </c>
      <c r="BF16" s="72">
        <f t="shared" si="22"/>
        <v>0</v>
      </c>
      <c r="BG16" s="72">
        <f t="shared" si="23"/>
        <v>0</v>
      </c>
      <c r="BH16" s="72">
        <f t="shared" si="24"/>
        <v>0</v>
      </c>
      <c r="BI16" s="72">
        <f t="shared" si="25"/>
        <v>1</v>
      </c>
      <c r="BJ16" s="72">
        <f t="shared" si="26"/>
        <v>0</v>
      </c>
      <c r="BK16" s="72">
        <f t="shared" si="27"/>
        <v>0</v>
      </c>
      <c r="BL16" s="72">
        <f t="shared" si="28"/>
        <v>0</v>
      </c>
      <c r="BM16" s="72">
        <f t="shared" si="29"/>
        <v>0</v>
      </c>
      <c r="BN16" s="72">
        <f t="shared" si="30"/>
        <v>0</v>
      </c>
      <c r="BO16" s="72">
        <f t="shared" si="31"/>
        <v>0</v>
      </c>
      <c r="BP16" s="72">
        <f t="shared" si="32"/>
        <v>0</v>
      </c>
      <c r="BQ16" s="72">
        <f t="shared" si="33"/>
        <v>0</v>
      </c>
      <c r="BR16" s="72">
        <f t="shared" si="34"/>
        <v>0</v>
      </c>
      <c r="BS16" s="72">
        <f t="shared" si="35"/>
        <v>0</v>
      </c>
      <c r="BT16" s="72">
        <f t="shared" si="36"/>
        <v>0</v>
      </c>
      <c r="BU16" s="72">
        <f t="shared" si="37"/>
        <v>0</v>
      </c>
      <c r="BW16">
        <f t="shared" si="38"/>
        <v>0</v>
      </c>
      <c r="BX16">
        <f t="shared" si="39"/>
        <v>0</v>
      </c>
      <c r="BY16">
        <f t="shared" si="40"/>
        <v>0</v>
      </c>
      <c r="BZ16">
        <f t="shared" si="41"/>
        <v>1</v>
      </c>
      <c r="CA16">
        <f t="shared" si="68"/>
        <v>0</v>
      </c>
      <c r="CB16">
        <f t="shared" si="69"/>
        <v>0</v>
      </c>
      <c r="CD16">
        <f t="shared" si="42"/>
        <v>0</v>
      </c>
      <c r="CE16">
        <f t="shared" si="43"/>
        <v>0</v>
      </c>
      <c r="CF16">
        <f t="shared" si="44"/>
        <v>0</v>
      </c>
      <c r="CG16">
        <f t="shared" si="45"/>
        <v>1</v>
      </c>
      <c r="CH16">
        <f t="shared" si="70"/>
        <v>0</v>
      </c>
      <c r="CI16">
        <f t="shared" si="71"/>
        <v>0</v>
      </c>
      <c r="CK16">
        <f t="shared" si="46"/>
        <v>0</v>
      </c>
      <c r="CL16">
        <f t="shared" si="47"/>
        <v>0</v>
      </c>
      <c r="CM16">
        <f t="shared" si="48"/>
        <v>0</v>
      </c>
      <c r="CN16">
        <f t="shared" si="49"/>
        <v>1</v>
      </c>
      <c r="CO16">
        <f t="shared" si="72"/>
        <v>0</v>
      </c>
      <c r="CP16">
        <f t="shared" si="73"/>
        <v>0</v>
      </c>
      <c r="CR16">
        <f t="shared" si="50"/>
        <v>0</v>
      </c>
      <c r="CS16">
        <f t="shared" si="51"/>
        <v>0</v>
      </c>
      <c r="CT16">
        <f t="shared" si="52"/>
        <v>0</v>
      </c>
      <c r="CU16">
        <f t="shared" si="53"/>
        <v>0</v>
      </c>
      <c r="CV16">
        <f t="shared" si="74"/>
        <v>0</v>
      </c>
      <c r="CW16">
        <f t="shared" si="75"/>
        <v>0</v>
      </c>
      <c r="CY16">
        <f t="shared" si="54"/>
        <v>0</v>
      </c>
      <c r="CZ16">
        <f t="shared" si="55"/>
        <v>0</v>
      </c>
      <c r="DA16">
        <f t="shared" si="56"/>
        <v>0</v>
      </c>
      <c r="DB16">
        <f t="shared" si="57"/>
        <v>1</v>
      </c>
      <c r="DC16">
        <f t="shared" si="76"/>
        <v>0</v>
      </c>
      <c r="DD16">
        <f t="shared" si="77"/>
        <v>0</v>
      </c>
      <c r="DF16" s="79">
        <f t="shared" si="78"/>
        <v>1</v>
      </c>
      <c r="DG16" s="79">
        <f t="shared" si="79"/>
        <v>0</v>
      </c>
      <c r="DH16">
        <f t="shared" si="124"/>
        <v>1</v>
      </c>
      <c r="DI16">
        <f t="shared" si="89"/>
        <v>0</v>
      </c>
      <c r="DK16" s="79">
        <f t="shared" si="58"/>
        <v>0</v>
      </c>
      <c r="DL16" s="79">
        <f t="shared" si="59"/>
        <v>0</v>
      </c>
      <c r="DM16">
        <f t="shared" ref="DM16:DN16" si="145">IF(DK16+DL16=0,DM15,(DM15+DK16)*DK16)</f>
        <v>0</v>
      </c>
      <c r="DN16">
        <f t="shared" si="145"/>
        <v>1</v>
      </c>
      <c r="DP16" s="79">
        <f t="shared" si="60"/>
        <v>0</v>
      </c>
      <c r="DQ16" s="79">
        <f t="shared" si="61"/>
        <v>0</v>
      </c>
      <c r="DR16">
        <f t="shared" ref="DR16:DS16" si="146">IF(DP16+DQ16=0,DR15,(DR15+DP16)*DP16)</f>
        <v>1</v>
      </c>
      <c r="DS16">
        <f t="shared" si="146"/>
        <v>0</v>
      </c>
      <c r="DU16" s="79">
        <f t="shared" si="62"/>
        <v>0</v>
      </c>
      <c r="DV16" s="79">
        <f t="shared" si="63"/>
        <v>0</v>
      </c>
      <c r="DW16">
        <f t="shared" ref="DW16:DX16" si="147">IF(DU16+DV16=0,DW15,(DW15+DU16)*DU16)</f>
        <v>0</v>
      </c>
      <c r="DX16">
        <f t="shared" si="147"/>
        <v>2</v>
      </c>
      <c r="DZ16" s="79">
        <f t="shared" si="64"/>
        <v>0</v>
      </c>
      <c r="EA16" s="79">
        <f t="shared" si="65"/>
        <v>1</v>
      </c>
      <c r="EB16">
        <f t="shared" ref="EB16:EC16" si="148">IF(DZ16+EA16=0,EB15,(EB15+DZ16)*DZ16)</f>
        <v>0</v>
      </c>
      <c r="EC16">
        <f t="shared" si="148"/>
        <v>1</v>
      </c>
      <c r="EH16" s="80"/>
      <c r="EI16" s="69"/>
      <c r="EK16" s="80"/>
      <c r="EL16" s="69"/>
      <c r="EN16" s="80"/>
      <c r="EO16" s="69"/>
      <c r="EQ16" s="80"/>
      <c r="ER16" s="69"/>
    </row>
    <row r="17" spans="1:148">
      <c r="A17" s="29">
        <v>16</v>
      </c>
      <c r="B17" s="64" t="s">
        <v>26</v>
      </c>
      <c r="C17" s="64" t="s">
        <v>23</v>
      </c>
      <c r="D17" s="64" t="s">
        <v>44</v>
      </c>
      <c r="E17" s="64" t="s">
        <v>42</v>
      </c>
      <c r="F17" s="63"/>
      <c r="G17" s="64" t="s">
        <v>20</v>
      </c>
      <c r="H17" s="64" t="s">
        <v>37</v>
      </c>
      <c r="I17" s="64" t="s">
        <v>33</v>
      </c>
      <c r="J17" s="64" t="s">
        <v>39</v>
      </c>
      <c r="L17" s="30"/>
      <c r="M17" s="41" t="s">
        <v>93</v>
      </c>
      <c r="N17" s="42">
        <f t="shared" si="80"/>
        <v>1</v>
      </c>
      <c r="O17" s="43">
        <f t="shared" si="81"/>
        <v>0</v>
      </c>
      <c r="P17" s="44">
        <f t="shared" si="94"/>
        <v>1</v>
      </c>
      <c r="Q17" s="42">
        <f t="shared" si="82"/>
        <v>3</v>
      </c>
      <c r="R17" s="43">
        <f t="shared" si="83"/>
        <v>6</v>
      </c>
      <c r="S17" s="44">
        <f t="shared" si="95"/>
        <v>0.33333333333333331</v>
      </c>
      <c r="T17" s="42">
        <f t="shared" si="84"/>
        <v>4</v>
      </c>
      <c r="U17" s="43">
        <f t="shared" si="85"/>
        <v>8</v>
      </c>
      <c r="V17" s="44">
        <f t="shared" si="96"/>
        <v>0.33333333333333331</v>
      </c>
      <c r="W17" s="42">
        <f t="shared" si="86"/>
        <v>1</v>
      </c>
      <c r="X17" s="43">
        <f t="shared" si="87"/>
        <v>0</v>
      </c>
      <c r="Y17" s="45">
        <f t="shared" si="97"/>
        <v>1</v>
      </c>
      <c r="Z17" s="46">
        <f t="shared" si="98"/>
        <v>9</v>
      </c>
      <c r="AA17" s="28">
        <f t="shared" si="98"/>
        <v>14</v>
      </c>
      <c r="AB17" s="47">
        <f t="shared" si="99"/>
        <v>0.39130434782608697</v>
      </c>
      <c r="AH17" s="72">
        <f t="shared" si="66"/>
        <v>1</v>
      </c>
      <c r="AI17" s="72">
        <f t="shared" si="67"/>
        <v>0</v>
      </c>
      <c r="AJ17" s="72">
        <f t="shared" si="0"/>
        <v>1</v>
      </c>
      <c r="AK17" s="72">
        <f t="shared" si="1"/>
        <v>0</v>
      </c>
      <c r="AL17" s="72">
        <f t="shared" si="2"/>
        <v>2</v>
      </c>
      <c r="AM17" s="72">
        <f t="shared" si="3"/>
        <v>0</v>
      </c>
      <c r="AN17" s="72">
        <f t="shared" si="4"/>
        <v>1</v>
      </c>
      <c r="AO17" s="72">
        <f t="shared" si="5"/>
        <v>0</v>
      </c>
      <c r="AP17" s="72">
        <f t="shared" si="6"/>
        <v>1</v>
      </c>
      <c r="AQ17" s="72">
        <f t="shared" si="7"/>
        <v>0</v>
      </c>
      <c r="AR17" s="72">
        <f t="shared" si="8"/>
        <v>1</v>
      </c>
      <c r="AS17" s="72">
        <f t="shared" si="9"/>
        <v>0</v>
      </c>
      <c r="AT17" s="72">
        <f t="shared" si="10"/>
        <v>1</v>
      </c>
      <c r="AU17" s="72">
        <f t="shared" si="11"/>
        <v>0</v>
      </c>
      <c r="AV17" s="72">
        <f t="shared" si="12"/>
        <v>1</v>
      </c>
      <c r="AW17" s="72">
        <f t="shared" si="13"/>
        <v>1</v>
      </c>
      <c r="AX17" s="72">
        <f t="shared" si="14"/>
        <v>1</v>
      </c>
      <c r="AY17" s="72">
        <f t="shared" si="15"/>
        <v>0</v>
      </c>
      <c r="AZ17" s="72">
        <f t="shared" si="16"/>
        <v>1</v>
      </c>
      <c r="BA17" s="72">
        <f t="shared" si="17"/>
        <v>1</v>
      </c>
      <c r="BB17" s="72">
        <f t="shared" si="18"/>
        <v>2</v>
      </c>
      <c r="BC17" s="72">
        <f t="shared" si="19"/>
        <v>0</v>
      </c>
      <c r="BD17" s="72">
        <f t="shared" si="20"/>
        <v>1</v>
      </c>
      <c r="BE17" s="72">
        <f t="shared" si="21"/>
        <v>0</v>
      </c>
      <c r="BF17" s="72">
        <f t="shared" si="22"/>
        <v>1</v>
      </c>
      <c r="BG17" s="72">
        <f t="shared" si="23"/>
        <v>0</v>
      </c>
      <c r="BH17" s="72">
        <f t="shared" si="24"/>
        <v>1</v>
      </c>
      <c r="BI17" s="72">
        <f t="shared" si="25"/>
        <v>0</v>
      </c>
      <c r="BJ17" s="72">
        <f t="shared" si="26"/>
        <v>1</v>
      </c>
      <c r="BK17" s="72">
        <f t="shared" si="27"/>
        <v>0</v>
      </c>
      <c r="BL17" s="72">
        <f t="shared" si="28"/>
        <v>1</v>
      </c>
      <c r="BM17" s="72">
        <f t="shared" si="29"/>
        <v>0</v>
      </c>
      <c r="BN17" s="72">
        <f t="shared" si="30"/>
        <v>1</v>
      </c>
      <c r="BO17" s="72">
        <f t="shared" si="31"/>
        <v>0</v>
      </c>
      <c r="BP17" s="72">
        <f t="shared" si="32"/>
        <v>1</v>
      </c>
      <c r="BQ17" s="72">
        <f t="shared" si="33"/>
        <v>0</v>
      </c>
      <c r="BR17" s="72">
        <f t="shared" si="34"/>
        <v>1</v>
      </c>
      <c r="BS17" s="72">
        <f t="shared" si="35"/>
        <v>1</v>
      </c>
      <c r="BT17" s="72">
        <f t="shared" si="36"/>
        <v>0</v>
      </c>
      <c r="BU17" s="72">
        <f t="shared" si="37"/>
        <v>0</v>
      </c>
      <c r="BW17">
        <f t="shared" si="38"/>
        <v>0</v>
      </c>
      <c r="BX17">
        <f t="shared" si="39"/>
        <v>0</v>
      </c>
      <c r="BY17">
        <f t="shared" si="40"/>
        <v>0</v>
      </c>
      <c r="BZ17">
        <f t="shared" si="41"/>
        <v>0</v>
      </c>
      <c r="CA17">
        <f t="shared" si="68"/>
        <v>0</v>
      </c>
      <c r="CB17">
        <f t="shared" si="69"/>
        <v>0</v>
      </c>
      <c r="CD17">
        <f t="shared" si="42"/>
        <v>0</v>
      </c>
      <c r="CE17">
        <f t="shared" si="43"/>
        <v>1</v>
      </c>
      <c r="CF17">
        <f t="shared" si="44"/>
        <v>0</v>
      </c>
      <c r="CG17">
        <f t="shared" si="45"/>
        <v>0</v>
      </c>
      <c r="CH17">
        <f t="shared" si="70"/>
        <v>0</v>
      </c>
      <c r="CI17">
        <f t="shared" si="71"/>
        <v>0</v>
      </c>
      <c r="CK17">
        <f t="shared" si="46"/>
        <v>0</v>
      </c>
      <c r="CL17">
        <f t="shared" si="47"/>
        <v>0</v>
      </c>
      <c r="CM17">
        <f t="shared" si="48"/>
        <v>0</v>
      </c>
      <c r="CN17">
        <f t="shared" si="49"/>
        <v>0</v>
      </c>
      <c r="CO17">
        <f t="shared" si="72"/>
        <v>0</v>
      </c>
      <c r="CP17">
        <f t="shared" si="73"/>
        <v>0</v>
      </c>
      <c r="CR17">
        <f t="shared" si="50"/>
        <v>0</v>
      </c>
      <c r="CS17">
        <f t="shared" si="51"/>
        <v>0</v>
      </c>
      <c r="CT17">
        <f t="shared" si="52"/>
        <v>0</v>
      </c>
      <c r="CU17">
        <f t="shared" si="53"/>
        <v>0</v>
      </c>
      <c r="CV17">
        <f t="shared" si="74"/>
        <v>0</v>
      </c>
      <c r="CW17">
        <f t="shared" si="75"/>
        <v>0</v>
      </c>
      <c r="CY17">
        <f t="shared" si="54"/>
        <v>0</v>
      </c>
      <c r="CZ17">
        <f t="shared" si="55"/>
        <v>0</v>
      </c>
      <c r="DA17">
        <f t="shared" si="56"/>
        <v>0</v>
      </c>
      <c r="DB17">
        <f t="shared" si="57"/>
        <v>0</v>
      </c>
      <c r="DC17">
        <f t="shared" si="76"/>
        <v>0</v>
      </c>
      <c r="DD17">
        <f t="shared" si="77"/>
        <v>0</v>
      </c>
      <c r="DF17" s="79">
        <f t="shared" si="78"/>
        <v>1</v>
      </c>
      <c r="DG17" s="79">
        <f t="shared" si="79"/>
        <v>0</v>
      </c>
      <c r="DH17">
        <f t="shared" si="124"/>
        <v>2</v>
      </c>
      <c r="DI17">
        <f t="shared" si="89"/>
        <v>0</v>
      </c>
      <c r="DK17" s="79">
        <f t="shared" si="58"/>
        <v>0</v>
      </c>
      <c r="DL17" s="79">
        <f t="shared" si="59"/>
        <v>1</v>
      </c>
      <c r="DM17">
        <f t="shared" ref="DM17:DN17" si="149">IF(DK17+DL17=0,DM16,(DM16+DK17)*DK17)</f>
        <v>0</v>
      </c>
      <c r="DN17">
        <f t="shared" si="149"/>
        <v>2</v>
      </c>
      <c r="DP17" s="79">
        <f t="shared" si="60"/>
        <v>0</v>
      </c>
      <c r="DQ17" s="79">
        <f t="shared" si="61"/>
        <v>0</v>
      </c>
      <c r="DR17">
        <f t="shared" ref="DR17:DS17" si="150">IF(DP17+DQ17=0,DR16,(DR16+DP17)*DP17)</f>
        <v>1</v>
      </c>
      <c r="DS17">
        <f t="shared" si="150"/>
        <v>0</v>
      </c>
      <c r="DU17" s="79">
        <f t="shared" si="62"/>
        <v>1</v>
      </c>
      <c r="DV17" s="79">
        <f t="shared" si="63"/>
        <v>0</v>
      </c>
      <c r="DW17">
        <f t="shared" ref="DW17:DX17" si="151">IF(DU17+DV17=0,DW16,(DW16+DU17)*DU17)</f>
        <v>1</v>
      </c>
      <c r="DX17">
        <f t="shared" si="151"/>
        <v>0</v>
      </c>
      <c r="DZ17" s="79">
        <f t="shared" si="64"/>
        <v>0</v>
      </c>
      <c r="EA17" s="79">
        <f t="shared" si="65"/>
        <v>0</v>
      </c>
      <c r="EB17">
        <f t="shared" ref="EB17:EC17" si="152">IF(DZ17+EA17=0,EB16,(EB16+DZ17)*DZ17)</f>
        <v>0</v>
      </c>
      <c r="EC17">
        <f t="shared" si="152"/>
        <v>1</v>
      </c>
      <c r="EH17" s="80"/>
      <c r="EI17" s="69"/>
      <c r="EK17" s="80"/>
      <c r="EL17" s="69"/>
      <c r="EN17" s="80"/>
      <c r="EO17" s="69"/>
      <c r="EQ17" s="80"/>
      <c r="ER17" s="69"/>
    </row>
    <row r="18" spans="1:148">
      <c r="A18" s="29">
        <v>17</v>
      </c>
      <c r="B18" s="64" t="s">
        <v>33</v>
      </c>
      <c r="C18" s="64" t="s">
        <v>20</v>
      </c>
      <c r="D18" s="64" t="s">
        <v>44</v>
      </c>
      <c r="E18" s="64" t="s">
        <v>42</v>
      </c>
      <c r="F18" s="63"/>
      <c r="G18" s="64" t="s">
        <v>26</v>
      </c>
      <c r="H18" s="64" t="s">
        <v>23</v>
      </c>
      <c r="I18" s="64" t="s">
        <v>39</v>
      </c>
      <c r="J18" s="64" t="s">
        <v>37</v>
      </c>
      <c r="L18" s="30"/>
      <c r="M18" s="41" t="s">
        <v>98</v>
      </c>
      <c r="N18" s="42">
        <f t="shared" si="80"/>
        <v>5</v>
      </c>
      <c r="O18" s="43">
        <f t="shared" si="81"/>
        <v>7</v>
      </c>
      <c r="P18" s="44">
        <f t="shared" si="94"/>
        <v>0.41666666666666669</v>
      </c>
      <c r="Q18" s="42">
        <f t="shared" si="82"/>
        <v>8</v>
      </c>
      <c r="R18" s="43">
        <f t="shared" si="83"/>
        <v>5</v>
      </c>
      <c r="S18" s="44">
        <f t="shared" si="95"/>
        <v>0.61538461538461542</v>
      </c>
      <c r="T18" s="42">
        <f t="shared" si="84"/>
        <v>0</v>
      </c>
      <c r="U18" s="43">
        <f t="shared" si="85"/>
        <v>0</v>
      </c>
      <c r="V18" s="44" t="str">
        <f t="shared" si="96"/>
        <v>-</v>
      </c>
      <c r="W18" s="42">
        <f t="shared" si="86"/>
        <v>9</v>
      </c>
      <c r="X18" s="43">
        <f t="shared" si="87"/>
        <v>8</v>
      </c>
      <c r="Y18" s="45">
        <f t="shared" si="97"/>
        <v>0.52941176470588236</v>
      </c>
      <c r="Z18" s="46">
        <f t="shared" si="98"/>
        <v>22</v>
      </c>
      <c r="AA18" s="28">
        <f t="shared" si="98"/>
        <v>20</v>
      </c>
      <c r="AB18" s="47">
        <f t="shared" si="99"/>
        <v>0.52380952380952384</v>
      </c>
      <c r="AH18" s="72">
        <f t="shared" si="66"/>
        <v>1</v>
      </c>
      <c r="AI18" s="72">
        <f t="shared" si="67"/>
        <v>0</v>
      </c>
      <c r="AJ18" s="72">
        <f t="shared" si="0"/>
        <v>1</v>
      </c>
      <c r="AK18" s="72">
        <f t="shared" si="1"/>
        <v>0</v>
      </c>
      <c r="AL18" s="72">
        <f t="shared" si="2"/>
        <v>1</v>
      </c>
      <c r="AM18" s="72">
        <f t="shared" si="3"/>
        <v>1</v>
      </c>
      <c r="AN18" s="72">
        <f t="shared" si="4"/>
        <v>0</v>
      </c>
      <c r="AO18" s="72">
        <f t="shared" si="5"/>
        <v>1</v>
      </c>
      <c r="AP18" s="72">
        <f t="shared" si="6"/>
        <v>0</v>
      </c>
      <c r="AQ18" s="72">
        <f t="shared" si="7"/>
        <v>1</v>
      </c>
      <c r="AR18" s="72">
        <f t="shared" si="8"/>
        <v>0</v>
      </c>
      <c r="AS18" s="72">
        <f t="shared" si="9"/>
        <v>1</v>
      </c>
      <c r="AT18" s="72">
        <f t="shared" si="10"/>
        <v>0</v>
      </c>
      <c r="AU18" s="72">
        <f t="shared" si="11"/>
        <v>1</v>
      </c>
      <c r="AV18" s="72">
        <f t="shared" si="12"/>
        <v>1</v>
      </c>
      <c r="AW18" s="72">
        <f t="shared" si="13"/>
        <v>1</v>
      </c>
      <c r="AX18" s="72">
        <f t="shared" si="14"/>
        <v>0</v>
      </c>
      <c r="AY18" s="72">
        <f t="shared" si="15"/>
        <v>1</v>
      </c>
      <c r="AZ18" s="72">
        <f t="shared" si="16"/>
        <v>1</v>
      </c>
      <c r="BA18" s="72">
        <f t="shared" si="17"/>
        <v>1</v>
      </c>
      <c r="BB18" s="72">
        <f t="shared" si="18"/>
        <v>1</v>
      </c>
      <c r="BC18" s="72">
        <f t="shared" si="19"/>
        <v>1</v>
      </c>
      <c r="BD18" s="72">
        <f t="shared" si="20"/>
        <v>0</v>
      </c>
      <c r="BE18" s="72">
        <f t="shared" si="21"/>
        <v>1</v>
      </c>
      <c r="BF18" s="72">
        <f t="shared" si="22"/>
        <v>0</v>
      </c>
      <c r="BG18" s="72">
        <f t="shared" si="23"/>
        <v>1</v>
      </c>
      <c r="BH18" s="72">
        <f t="shared" si="24"/>
        <v>0</v>
      </c>
      <c r="BI18" s="72">
        <f t="shared" si="25"/>
        <v>1</v>
      </c>
      <c r="BJ18" s="72">
        <f t="shared" si="26"/>
        <v>0</v>
      </c>
      <c r="BK18" s="72">
        <f t="shared" si="27"/>
        <v>1</v>
      </c>
      <c r="BL18" s="72">
        <f t="shared" si="28"/>
        <v>0</v>
      </c>
      <c r="BM18" s="72">
        <f t="shared" si="29"/>
        <v>1</v>
      </c>
      <c r="BN18" s="72">
        <f t="shared" si="30"/>
        <v>0</v>
      </c>
      <c r="BO18" s="72">
        <f t="shared" si="31"/>
        <v>1</v>
      </c>
      <c r="BP18" s="72">
        <f t="shared" si="32"/>
        <v>0</v>
      </c>
      <c r="BQ18" s="72">
        <f t="shared" si="33"/>
        <v>1</v>
      </c>
      <c r="BR18" s="72">
        <f t="shared" si="34"/>
        <v>0</v>
      </c>
      <c r="BS18" s="72">
        <f t="shared" si="35"/>
        <v>2</v>
      </c>
      <c r="BT18" s="72">
        <f t="shared" si="36"/>
        <v>0</v>
      </c>
      <c r="BU18" s="72">
        <f t="shared" si="37"/>
        <v>0</v>
      </c>
      <c r="BW18">
        <f t="shared" si="38"/>
        <v>0</v>
      </c>
      <c r="BX18">
        <f t="shared" si="39"/>
        <v>0</v>
      </c>
      <c r="BY18">
        <f t="shared" si="40"/>
        <v>0</v>
      </c>
      <c r="BZ18">
        <f t="shared" si="41"/>
        <v>0</v>
      </c>
      <c r="CA18">
        <f t="shared" si="68"/>
        <v>0</v>
      </c>
      <c r="CB18">
        <f t="shared" si="69"/>
        <v>0</v>
      </c>
      <c r="CD18">
        <f t="shared" si="42"/>
        <v>0</v>
      </c>
      <c r="CE18">
        <f t="shared" si="43"/>
        <v>1</v>
      </c>
      <c r="CF18">
        <f t="shared" si="44"/>
        <v>0</v>
      </c>
      <c r="CG18">
        <f t="shared" si="45"/>
        <v>0</v>
      </c>
      <c r="CH18">
        <f t="shared" si="70"/>
        <v>0</v>
      </c>
      <c r="CI18">
        <f t="shared" si="71"/>
        <v>0</v>
      </c>
      <c r="CK18">
        <f t="shared" si="46"/>
        <v>0</v>
      </c>
      <c r="CL18">
        <f t="shared" si="47"/>
        <v>0</v>
      </c>
      <c r="CM18">
        <f t="shared" si="48"/>
        <v>0</v>
      </c>
      <c r="CN18">
        <f t="shared" si="49"/>
        <v>0</v>
      </c>
      <c r="CO18">
        <f t="shared" si="72"/>
        <v>0</v>
      </c>
      <c r="CP18">
        <f t="shared" si="73"/>
        <v>0</v>
      </c>
      <c r="CR18">
        <f t="shared" si="50"/>
        <v>0</v>
      </c>
      <c r="CS18">
        <f t="shared" si="51"/>
        <v>0</v>
      </c>
      <c r="CT18">
        <f t="shared" si="52"/>
        <v>0</v>
      </c>
      <c r="CU18">
        <f t="shared" si="53"/>
        <v>0</v>
      </c>
      <c r="CV18">
        <f t="shared" si="74"/>
        <v>0</v>
      </c>
      <c r="CW18">
        <f t="shared" si="75"/>
        <v>0</v>
      </c>
      <c r="CY18">
        <f t="shared" si="54"/>
        <v>0</v>
      </c>
      <c r="CZ18">
        <f t="shared" si="55"/>
        <v>0</v>
      </c>
      <c r="DA18">
        <f t="shared" si="56"/>
        <v>0</v>
      </c>
      <c r="DB18">
        <f t="shared" si="57"/>
        <v>0</v>
      </c>
      <c r="DC18">
        <f t="shared" si="76"/>
        <v>0</v>
      </c>
      <c r="DD18">
        <f t="shared" si="77"/>
        <v>0</v>
      </c>
      <c r="DF18" s="79">
        <f t="shared" si="78"/>
        <v>0</v>
      </c>
      <c r="DG18" s="79">
        <f t="shared" si="79"/>
        <v>1</v>
      </c>
      <c r="DH18">
        <f t="shared" si="124"/>
        <v>0</v>
      </c>
      <c r="DI18">
        <f t="shared" si="89"/>
        <v>1</v>
      </c>
      <c r="DK18" s="79">
        <f t="shared" si="58"/>
        <v>1</v>
      </c>
      <c r="DL18" s="79">
        <f t="shared" si="59"/>
        <v>0</v>
      </c>
      <c r="DM18">
        <f t="shared" ref="DM18:DN18" si="153">IF(DK18+DL18=0,DM17,(DM17+DK18)*DK18)</f>
        <v>1</v>
      </c>
      <c r="DN18">
        <f t="shared" si="153"/>
        <v>0</v>
      </c>
      <c r="DP18" s="79">
        <f t="shared" si="60"/>
        <v>0</v>
      </c>
      <c r="DQ18" s="79">
        <f t="shared" si="61"/>
        <v>0</v>
      </c>
      <c r="DR18">
        <f t="shared" ref="DR18:DS18" si="154">IF(DP18+DQ18=0,DR17,(DR17+DP18)*DP18)</f>
        <v>1</v>
      </c>
      <c r="DS18">
        <f t="shared" si="154"/>
        <v>0</v>
      </c>
      <c r="DU18" s="79">
        <f t="shared" si="62"/>
        <v>0</v>
      </c>
      <c r="DV18" s="79">
        <f t="shared" si="63"/>
        <v>1</v>
      </c>
      <c r="DW18">
        <f t="shared" ref="DW18:DX18" si="155">IF(DU18+DV18=0,DW17,(DW17+DU18)*DU18)</f>
        <v>0</v>
      </c>
      <c r="DX18">
        <f t="shared" si="155"/>
        <v>1</v>
      </c>
      <c r="DZ18" s="79">
        <f t="shared" si="64"/>
        <v>0</v>
      </c>
      <c r="EA18" s="79">
        <f t="shared" si="65"/>
        <v>0</v>
      </c>
      <c r="EB18">
        <f t="shared" ref="EB18:EC18" si="156">IF(DZ18+EA18=0,EB17,(EB17+DZ18)*DZ18)</f>
        <v>0</v>
      </c>
      <c r="EC18">
        <f t="shared" si="156"/>
        <v>1</v>
      </c>
      <c r="EH18" s="80"/>
      <c r="EI18" s="69"/>
      <c r="EK18" s="80"/>
      <c r="EL18" s="69"/>
      <c r="EN18" s="80"/>
      <c r="EO18" s="69"/>
      <c r="EQ18" s="80"/>
      <c r="ER18" s="69"/>
    </row>
    <row r="19" spans="1:148">
      <c r="A19" s="29">
        <v>18</v>
      </c>
      <c r="B19" s="64" t="s">
        <v>33</v>
      </c>
      <c r="C19" s="64" t="s">
        <v>37</v>
      </c>
      <c r="D19" s="64" t="s">
        <v>23</v>
      </c>
      <c r="E19" s="64" t="s">
        <v>42</v>
      </c>
      <c r="F19" s="63"/>
      <c r="G19" s="64" t="s">
        <v>20</v>
      </c>
      <c r="H19" s="64" t="s">
        <v>26</v>
      </c>
      <c r="I19" s="64" t="s">
        <v>44</v>
      </c>
      <c r="J19" s="64" t="s">
        <v>39</v>
      </c>
      <c r="L19" s="30"/>
      <c r="M19" s="41" t="s">
        <v>99</v>
      </c>
      <c r="N19" s="42">
        <f t="shared" si="80"/>
        <v>0</v>
      </c>
      <c r="O19" s="43">
        <f t="shared" si="81"/>
        <v>0</v>
      </c>
      <c r="P19" s="44" t="str">
        <f t="shared" si="94"/>
        <v>-</v>
      </c>
      <c r="Q19" s="42">
        <f t="shared" si="82"/>
        <v>0</v>
      </c>
      <c r="R19" s="43">
        <f t="shared" si="83"/>
        <v>0</v>
      </c>
      <c r="S19" s="44" t="str">
        <f t="shared" si="95"/>
        <v>-</v>
      </c>
      <c r="T19" s="42">
        <f t="shared" si="84"/>
        <v>12</v>
      </c>
      <c r="U19" s="43">
        <f t="shared" si="85"/>
        <v>14</v>
      </c>
      <c r="V19" s="44">
        <f t="shared" si="96"/>
        <v>0.46153846153846156</v>
      </c>
      <c r="W19" s="42">
        <f t="shared" si="86"/>
        <v>3</v>
      </c>
      <c r="X19" s="43">
        <f t="shared" si="87"/>
        <v>5</v>
      </c>
      <c r="Y19" s="45">
        <f t="shared" si="97"/>
        <v>0.375</v>
      </c>
      <c r="Z19" s="46">
        <f t="shared" si="98"/>
        <v>15</v>
      </c>
      <c r="AA19" s="28">
        <f t="shared" si="98"/>
        <v>19</v>
      </c>
      <c r="AB19" s="47">
        <f t="shared" si="99"/>
        <v>0.44117647058823528</v>
      </c>
      <c r="AH19" s="72">
        <f t="shared" si="66"/>
        <v>0</v>
      </c>
      <c r="AI19" s="72">
        <f t="shared" si="67"/>
        <v>1</v>
      </c>
      <c r="AJ19" s="72">
        <f t="shared" si="0"/>
        <v>0</v>
      </c>
      <c r="AK19" s="72">
        <f t="shared" si="1"/>
        <v>1</v>
      </c>
      <c r="AL19" s="72">
        <f t="shared" si="2"/>
        <v>0</v>
      </c>
      <c r="AM19" s="72">
        <f t="shared" si="3"/>
        <v>2</v>
      </c>
      <c r="AN19" s="72">
        <f t="shared" si="4"/>
        <v>0</v>
      </c>
      <c r="AO19" s="72">
        <f t="shared" si="5"/>
        <v>1</v>
      </c>
      <c r="AP19" s="72">
        <f t="shared" si="6"/>
        <v>0</v>
      </c>
      <c r="AQ19" s="72">
        <f t="shared" si="7"/>
        <v>1</v>
      </c>
      <c r="AR19" s="72">
        <f t="shared" si="8"/>
        <v>0</v>
      </c>
      <c r="AS19" s="72">
        <f t="shared" si="9"/>
        <v>1</v>
      </c>
      <c r="AT19" s="72">
        <f t="shared" si="10"/>
        <v>0</v>
      </c>
      <c r="AU19" s="72">
        <f t="shared" si="11"/>
        <v>1</v>
      </c>
      <c r="AV19" s="72">
        <f t="shared" si="12"/>
        <v>1</v>
      </c>
      <c r="AW19" s="72">
        <f t="shared" si="13"/>
        <v>1</v>
      </c>
      <c r="AX19" s="72">
        <f t="shared" si="14"/>
        <v>0</v>
      </c>
      <c r="AY19" s="72">
        <f t="shared" si="15"/>
        <v>1</v>
      </c>
      <c r="AZ19" s="72">
        <f t="shared" si="16"/>
        <v>0</v>
      </c>
      <c r="BA19" s="72">
        <f t="shared" si="17"/>
        <v>2</v>
      </c>
      <c r="BB19" s="72">
        <f t="shared" si="18"/>
        <v>0</v>
      </c>
      <c r="BC19" s="72">
        <f t="shared" si="19"/>
        <v>2</v>
      </c>
      <c r="BD19" s="72">
        <f t="shared" si="20"/>
        <v>0</v>
      </c>
      <c r="BE19" s="72">
        <f t="shared" si="21"/>
        <v>1</v>
      </c>
      <c r="BF19" s="72">
        <f t="shared" si="22"/>
        <v>0</v>
      </c>
      <c r="BG19" s="72">
        <f t="shared" si="23"/>
        <v>1</v>
      </c>
      <c r="BH19" s="72">
        <f t="shared" si="24"/>
        <v>0</v>
      </c>
      <c r="BI19" s="72">
        <f t="shared" si="25"/>
        <v>1</v>
      </c>
      <c r="BJ19" s="72">
        <f t="shared" si="26"/>
        <v>0</v>
      </c>
      <c r="BK19" s="72">
        <f t="shared" si="27"/>
        <v>1</v>
      </c>
      <c r="BL19" s="72">
        <f t="shared" si="28"/>
        <v>0</v>
      </c>
      <c r="BM19" s="72">
        <f t="shared" si="29"/>
        <v>1</v>
      </c>
      <c r="BN19" s="72">
        <f t="shared" si="30"/>
        <v>0</v>
      </c>
      <c r="BO19" s="72">
        <f t="shared" si="31"/>
        <v>1</v>
      </c>
      <c r="BP19" s="72">
        <f t="shared" si="32"/>
        <v>0</v>
      </c>
      <c r="BQ19" s="72">
        <f t="shared" si="33"/>
        <v>1</v>
      </c>
      <c r="BR19" s="72">
        <f t="shared" si="34"/>
        <v>1</v>
      </c>
      <c r="BS19" s="72">
        <f t="shared" si="35"/>
        <v>1</v>
      </c>
      <c r="BT19" s="72">
        <f t="shared" si="36"/>
        <v>0</v>
      </c>
      <c r="BU19" s="72">
        <f t="shared" si="37"/>
        <v>0</v>
      </c>
      <c r="BW19">
        <f t="shared" si="38"/>
        <v>0</v>
      </c>
      <c r="BX19">
        <f t="shared" si="39"/>
        <v>0</v>
      </c>
      <c r="BY19">
        <f t="shared" si="40"/>
        <v>0</v>
      </c>
      <c r="BZ19">
        <f t="shared" si="41"/>
        <v>0</v>
      </c>
      <c r="CA19">
        <f t="shared" si="68"/>
        <v>0</v>
      </c>
      <c r="CB19">
        <f t="shared" si="69"/>
        <v>0</v>
      </c>
      <c r="CD19">
        <f t="shared" si="42"/>
        <v>0</v>
      </c>
      <c r="CE19">
        <f t="shared" si="43"/>
        <v>0</v>
      </c>
      <c r="CF19">
        <f t="shared" si="44"/>
        <v>0</v>
      </c>
      <c r="CG19">
        <f t="shared" si="45"/>
        <v>1</v>
      </c>
      <c r="CH19">
        <f t="shared" si="70"/>
        <v>0</v>
      </c>
      <c r="CI19">
        <f t="shared" si="71"/>
        <v>0</v>
      </c>
      <c r="CK19">
        <f t="shared" si="46"/>
        <v>0</v>
      </c>
      <c r="CL19">
        <f t="shared" si="47"/>
        <v>0</v>
      </c>
      <c r="CM19">
        <f t="shared" si="48"/>
        <v>0</v>
      </c>
      <c r="CN19">
        <f t="shared" si="49"/>
        <v>0</v>
      </c>
      <c r="CO19">
        <f t="shared" si="72"/>
        <v>0</v>
      </c>
      <c r="CP19">
        <f t="shared" si="73"/>
        <v>0</v>
      </c>
      <c r="CR19">
        <f t="shared" si="50"/>
        <v>0</v>
      </c>
      <c r="CS19">
        <f t="shared" si="51"/>
        <v>0</v>
      </c>
      <c r="CT19">
        <f t="shared" si="52"/>
        <v>0</v>
      </c>
      <c r="CU19">
        <f t="shared" si="53"/>
        <v>0</v>
      </c>
      <c r="CV19">
        <f t="shared" si="74"/>
        <v>0</v>
      </c>
      <c r="CW19">
        <f t="shared" si="75"/>
        <v>0</v>
      </c>
      <c r="CY19">
        <f t="shared" si="54"/>
        <v>0</v>
      </c>
      <c r="CZ19">
        <f t="shared" si="55"/>
        <v>0</v>
      </c>
      <c r="DA19">
        <f t="shared" si="56"/>
        <v>0</v>
      </c>
      <c r="DB19">
        <f t="shared" si="57"/>
        <v>0</v>
      </c>
      <c r="DC19">
        <f t="shared" si="76"/>
        <v>0</v>
      </c>
      <c r="DD19">
        <f t="shared" si="77"/>
        <v>0</v>
      </c>
      <c r="DF19" s="79">
        <f t="shared" si="78"/>
        <v>1</v>
      </c>
      <c r="DG19" s="79">
        <f t="shared" si="79"/>
        <v>0</v>
      </c>
      <c r="DH19">
        <f t="shared" si="124"/>
        <v>1</v>
      </c>
      <c r="DI19">
        <f t="shared" si="89"/>
        <v>0</v>
      </c>
      <c r="DK19" s="79">
        <f t="shared" si="58"/>
        <v>0</v>
      </c>
      <c r="DL19" s="79">
        <f t="shared" si="59"/>
        <v>1</v>
      </c>
      <c r="DM19">
        <f t="shared" ref="DM19:DN19" si="157">IF(DK19+DL19=0,DM18,(DM18+DK19)*DK19)</f>
        <v>0</v>
      </c>
      <c r="DN19">
        <f t="shared" si="157"/>
        <v>1</v>
      </c>
      <c r="DP19" s="79">
        <f t="shared" si="60"/>
        <v>0</v>
      </c>
      <c r="DQ19" s="79">
        <f t="shared" si="61"/>
        <v>0</v>
      </c>
      <c r="DR19">
        <f t="shared" ref="DR19:DS19" si="158">IF(DP19+DQ19=0,DR18,(DR18+DP19)*DP19)</f>
        <v>1</v>
      </c>
      <c r="DS19">
        <f t="shared" si="158"/>
        <v>0</v>
      </c>
      <c r="DU19" s="79">
        <f t="shared" si="62"/>
        <v>0</v>
      </c>
      <c r="DV19" s="79">
        <f t="shared" si="63"/>
        <v>1</v>
      </c>
      <c r="DW19">
        <f t="shared" ref="DW19:DX19" si="159">IF(DU19+DV19=0,DW18,(DW18+DU19)*DU19)</f>
        <v>0</v>
      </c>
      <c r="DX19">
        <f t="shared" si="159"/>
        <v>2</v>
      </c>
      <c r="DZ19" s="79">
        <f t="shared" si="64"/>
        <v>0</v>
      </c>
      <c r="EA19" s="79">
        <f t="shared" si="65"/>
        <v>0</v>
      </c>
      <c r="EB19">
        <f t="shared" ref="EB19:EC19" si="160">IF(DZ19+EA19=0,EB18,(EB18+DZ19)*DZ19)</f>
        <v>0</v>
      </c>
      <c r="EC19">
        <f t="shared" si="160"/>
        <v>1</v>
      </c>
      <c r="EH19" s="80"/>
      <c r="EI19" s="69"/>
      <c r="EK19" s="80"/>
      <c r="EL19" s="69"/>
      <c r="EN19" s="80"/>
      <c r="EO19" s="69"/>
      <c r="EQ19" s="80"/>
      <c r="ER19" s="69"/>
    </row>
    <row r="20" spans="1:148">
      <c r="A20" s="29">
        <v>19</v>
      </c>
      <c r="B20" s="64" t="s">
        <v>33</v>
      </c>
      <c r="C20" s="64" t="s">
        <v>40</v>
      </c>
      <c r="D20" s="64" t="s">
        <v>17</v>
      </c>
      <c r="E20" s="64" t="s">
        <v>47</v>
      </c>
      <c r="F20" s="63"/>
      <c r="G20" s="64" t="s">
        <v>28</v>
      </c>
      <c r="H20" s="64" t="s">
        <v>20</v>
      </c>
      <c r="I20" s="64" t="s">
        <v>44</v>
      </c>
      <c r="J20" s="64" t="s">
        <v>42</v>
      </c>
      <c r="L20" s="30"/>
      <c r="M20" s="41" t="s">
        <v>102</v>
      </c>
      <c r="N20" s="42">
        <f t="shared" si="80"/>
        <v>2</v>
      </c>
      <c r="O20" s="43">
        <f t="shared" si="81"/>
        <v>8</v>
      </c>
      <c r="P20" s="44">
        <f t="shared" si="94"/>
        <v>0.2</v>
      </c>
      <c r="Q20" s="42">
        <f t="shared" si="82"/>
        <v>3</v>
      </c>
      <c r="R20" s="43">
        <f t="shared" si="83"/>
        <v>4</v>
      </c>
      <c r="S20" s="44">
        <f t="shared" si="95"/>
        <v>0.42857142857142855</v>
      </c>
      <c r="T20" s="42">
        <f t="shared" si="84"/>
        <v>0</v>
      </c>
      <c r="U20" s="43">
        <f t="shared" si="85"/>
        <v>0</v>
      </c>
      <c r="V20" s="44" t="str">
        <f t="shared" si="96"/>
        <v>-</v>
      </c>
      <c r="W20" s="42">
        <f t="shared" si="86"/>
        <v>11</v>
      </c>
      <c r="X20" s="43">
        <f t="shared" si="87"/>
        <v>11</v>
      </c>
      <c r="Y20" s="45">
        <f t="shared" si="97"/>
        <v>0.5</v>
      </c>
      <c r="Z20" s="46">
        <f t="shared" si="98"/>
        <v>16</v>
      </c>
      <c r="AA20" s="28">
        <f t="shared" si="98"/>
        <v>23</v>
      </c>
      <c r="AB20" s="47">
        <f t="shared" si="99"/>
        <v>0.41025641025641024</v>
      </c>
      <c r="AH20" s="72">
        <f t="shared" si="66"/>
        <v>1</v>
      </c>
      <c r="AI20" s="72">
        <f t="shared" si="67"/>
        <v>1</v>
      </c>
      <c r="AJ20" s="72">
        <f t="shared" si="0"/>
        <v>1</v>
      </c>
      <c r="AK20" s="72">
        <f t="shared" si="1"/>
        <v>1</v>
      </c>
      <c r="AL20" s="72">
        <f t="shared" si="2"/>
        <v>0</v>
      </c>
      <c r="AM20" s="72">
        <f t="shared" si="3"/>
        <v>1</v>
      </c>
      <c r="AN20" s="72">
        <f t="shared" si="4"/>
        <v>1</v>
      </c>
      <c r="AO20" s="72">
        <f t="shared" si="5"/>
        <v>0</v>
      </c>
      <c r="AP20" s="72">
        <f t="shared" si="6"/>
        <v>0</v>
      </c>
      <c r="AQ20" s="72">
        <f t="shared" si="7"/>
        <v>0</v>
      </c>
      <c r="AR20" s="72">
        <f t="shared" si="8"/>
        <v>0</v>
      </c>
      <c r="AS20" s="72">
        <f t="shared" si="9"/>
        <v>0</v>
      </c>
      <c r="AT20" s="72">
        <f t="shared" si="10"/>
        <v>0</v>
      </c>
      <c r="AU20" s="72">
        <f t="shared" si="11"/>
        <v>0</v>
      </c>
      <c r="AV20" s="72">
        <f t="shared" si="12"/>
        <v>1</v>
      </c>
      <c r="AW20" s="72">
        <f t="shared" si="13"/>
        <v>0</v>
      </c>
      <c r="AX20" s="72">
        <f t="shared" si="14"/>
        <v>0</v>
      </c>
      <c r="AY20" s="72">
        <f t="shared" si="15"/>
        <v>0</v>
      </c>
      <c r="AZ20" s="72">
        <f t="shared" si="16"/>
        <v>0</v>
      </c>
      <c r="BA20" s="72">
        <f t="shared" si="17"/>
        <v>1</v>
      </c>
      <c r="BB20" s="72">
        <f t="shared" si="18"/>
        <v>0</v>
      </c>
      <c r="BC20" s="72">
        <f t="shared" si="19"/>
        <v>1</v>
      </c>
      <c r="BD20" s="72">
        <f t="shared" si="20"/>
        <v>0</v>
      </c>
      <c r="BE20" s="72">
        <f t="shared" si="21"/>
        <v>0</v>
      </c>
      <c r="BF20" s="72">
        <f t="shared" si="22"/>
        <v>0</v>
      </c>
      <c r="BG20" s="72">
        <f t="shared" si="23"/>
        <v>0</v>
      </c>
      <c r="BH20" s="72">
        <f t="shared" si="24"/>
        <v>1</v>
      </c>
      <c r="BI20" s="72">
        <f t="shared" si="25"/>
        <v>0</v>
      </c>
      <c r="BJ20" s="72">
        <f t="shared" si="26"/>
        <v>1</v>
      </c>
      <c r="BK20" s="72">
        <f t="shared" si="27"/>
        <v>0</v>
      </c>
      <c r="BL20" s="72">
        <f t="shared" si="28"/>
        <v>0</v>
      </c>
      <c r="BM20" s="72">
        <f t="shared" si="29"/>
        <v>0</v>
      </c>
      <c r="BN20" s="72">
        <f t="shared" si="30"/>
        <v>0</v>
      </c>
      <c r="BO20" s="72">
        <f t="shared" si="31"/>
        <v>0</v>
      </c>
      <c r="BP20" s="72">
        <f t="shared" si="32"/>
        <v>0</v>
      </c>
      <c r="BQ20" s="72">
        <f t="shared" si="33"/>
        <v>0</v>
      </c>
      <c r="BR20" s="72">
        <f t="shared" si="34"/>
        <v>0</v>
      </c>
      <c r="BS20" s="72">
        <f t="shared" si="35"/>
        <v>0</v>
      </c>
      <c r="BT20" s="72">
        <f t="shared" si="36"/>
        <v>0</v>
      </c>
      <c r="BU20" s="72">
        <f t="shared" si="37"/>
        <v>0</v>
      </c>
      <c r="BW20">
        <f t="shared" si="38"/>
        <v>1</v>
      </c>
      <c r="BX20">
        <f t="shared" si="39"/>
        <v>0</v>
      </c>
      <c r="BY20">
        <f t="shared" si="40"/>
        <v>0</v>
      </c>
      <c r="BZ20">
        <f t="shared" si="41"/>
        <v>0</v>
      </c>
      <c r="CA20">
        <f t="shared" si="68"/>
        <v>0</v>
      </c>
      <c r="CB20">
        <f t="shared" si="69"/>
        <v>0</v>
      </c>
      <c r="CD20">
        <f t="shared" si="42"/>
        <v>1</v>
      </c>
      <c r="CE20">
        <f t="shared" si="43"/>
        <v>0</v>
      </c>
      <c r="CF20">
        <f t="shared" si="44"/>
        <v>0</v>
      </c>
      <c r="CG20">
        <f t="shared" si="45"/>
        <v>1</v>
      </c>
      <c r="CH20">
        <f t="shared" si="70"/>
        <v>1</v>
      </c>
      <c r="CI20">
        <f t="shared" si="71"/>
        <v>0</v>
      </c>
      <c r="CK20">
        <f t="shared" si="46"/>
        <v>1</v>
      </c>
      <c r="CL20">
        <f t="shared" si="47"/>
        <v>0</v>
      </c>
      <c r="CM20">
        <f t="shared" si="48"/>
        <v>0</v>
      </c>
      <c r="CN20">
        <f t="shared" si="49"/>
        <v>0</v>
      </c>
      <c r="CO20">
        <f t="shared" si="72"/>
        <v>0</v>
      </c>
      <c r="CP20">
        <f t="shared" si="73"/>
        <v>0</v>
      </c>
      <c r="CR20">
        <f t="shared" si="50"/>
        <v>1</v>
      </c>
      <c r="CS20">
        <f t="shared" si="51"/>
        <v>0</v>
      </c>
      <c r="CT20">
        <f t="shared" si="52"/>
        <v>0</v>
      </c>
      <c r="CU20">
        <f t="shared" si="53"/>
        <v>0</v>
      </c>
      <c r="CV20">
        <f t="shared" si="74"/>
        <v>0</v>
      </c>
      <c r="CW20">
        <f t="shared" si="75"/>
        <v>0</v>
      </c>
      <c r="CY20">
        <f t="shared" si="54"/>
        <v>1</v>
      </c>
      <c r="CZ20">
        <f t="shared" si="55"/>
        <v>0</v>
      </c>
      <c r="DA20">
        <f t="shared" si="56"/>
        <v>0</v>
      </c>
      <c r="DB20">
        <f t="shared" si="57"/>
        <v>0</v>
      </c>
      <c r="DC20">
        <f t="shared" si="76"/>
        <v>0</v>
      </c>
      <c r="DD20">
        <f t="shared" si="77"/>
        <v>0</v>
      </c>
      <c r="DF20" s="79">
        <f t="shared" si="78"/>
        <v>0</v>
      </c>
      <c r="DG20" s="79">
        <f t="shared" si="79"/>
        <v>0</v>
      </c>
      <c r="DH20">
        <f t="shared" si="124"/>
        <v>1</v>
      </c>
      <c r="DI20">
        <f t="shared" si="89"/>
        <v>0</v>
      </c>
      <c r="DK20" s="79">
        <f t="shared" si="58"/>
        <v>0</v>
      </c>
      <c r="DL20" s="79">
        <f t="shared" si="59"/>
        <v>1</v>
      </c>
      <c r="DM20">
        <f t="shared" ref="DM20:DN20" si="161">IF(DK20+DL20=0,DM19,(DM19+DK20)*DK20)</f>
        <v>0</v>
      </c>
      <c r="DN20">
        <f t="shared" si="161"/>
        <v>2</v>
      </c>
      <c r="DP20" s="79">
        <f t="shared" si="60"/>
        <v>0</v>
      </c>
      <c r="DQ20" s="79">
        <f t="shared" si="61"/>
        <v>0</v>
      </c>
      <c r="DR20">
        <f t="shared" ref="DR20:DS20" si="162">IF(DP20+DQ20=0,DR19,(DR19+DP20)*DP20)</f>
        <v>1</v>
      </c>
      <c r="DS20">
        <f t="shared" si="162"/>
        <v>0</v>
      </c>
      <c r="DU20" s="79">
        <f t="shared" si="62"/>
        <v>0</v>
      </c>
      <c r="DV20" s="79">
        <f t="shared" si="63"/>
        <v>0</v>
      </c>
      <c r="DW20">
        <f t="shared" ref="DW20:DX20" si="163">IF(DU20+DV20=0,DW19,(DW19+DU20)*DU20)</f>
        <v>0</v>
      </c>
      <c r="DX20">
        <f t="shared" si="163"/>
        <v>2</v>
      </c>
      <c r="DZ20" s="79">
        <f t="shared" si="64"/>
        <v>1</v>
      </c>
      <c r="EA20" s="79">
        <f t="shared" si="65"/>
        <v>0</v>
      </c>
      <c r="EB20">
        <f t="shared" ref="EB20:EC20" si="164">IF(DZ20+EA20=0,EB19,(EB19+DZ20)*DZ20)</f>
        <v>1</v>
      </c>
      <c r="EC20">
        <f t="shared" si="164"/>
        <v>0</v>
      </c>
      <c r="EH20" s="80"/>
      <c r="EI20" s="69"/>
      <c r="EK20" s="80"/>
      <c r="EL20" s="69"/>
      <c r="EN20" s="80"/>
      <c r="EO20" s="69"/>
      <c r="EQ20" s="80"/>
      <c r="ER20" s="69"/>
    </row>
    <row r="21" spans="1:148">
      <c r="A21" s="29">
        <v>20</v>
      </c>
      <c r="B21" s="64" t="s">
        <v>33</v>
      </c>
      <c r="C21" s="64" t="s">
        <v>47</v>
      </c>
      <c r="D21" s="64" t="s">
        <v>44</v>
      </c>
      <c r="E21" s="64" t="s">
        <v>42</v>
      </c>
      <c r="F21" s="63"/>
      <c r="G21" s="64" t="s">
        <v>28</v>
      </c>
      <c r="H21" s="64" t="s">
        <v>20</v>
      </c>
      <c r="I21" s="64" t="s">
        <v>40</v>
      </c>
      <c r="J21" s="64" t="s">
        <v>17</v>
      </c>
      <c r="L21" s="30"/>
      <c r="M21" s="41" t="s">
        <v>83</v>
      </c>
      <c r="N21" s="42">
        <f t="shared" si="80"/>
        <v>8</v>
      </c>
      <c r="O21" s="43">
        <f t="shared" si="81"/>
        <v>5</v>
      </c>
      <c r="P21" s="44">
        <f t="shared" si="94"/>
        <v>0.61538461538461542</v>
      </c>
      <c r="Q21" s="42">
        <f t="shared" si="82"/>
        <v>0</v>
      </c>
      <c r="R21" s="43">
        <f t="shared" si="83"/>
        <v>0</v>
      </c>
      <c r="S21" s="44" t="str">
        <f t="shared" si="95"/>
        <v>-</v>
      </c>
      <c r="T21" s="42">
        <f t="shared" si="84"/>
        <v>8</v>
      </c>
      <c r="U21" s="43">
        <f t="shared" si="85"/>
        <v>3</v>
      </c>
      <c r="V21" s="44">
        <f t="shared" si="96"/>
        <v>0.72727272727272729</v>
      </c>
      <c r="W21" s="42">
        <f t="shared" si="86"/>
        <v>9</v>
      </c>
      <c r="X21" s="43">
        <f t="shared" si="87"/>
        <v>7</v>
      </c>
      <c r="Y21" s="45">
        <f t="shared" si="97"/>
        <v>0.5625</v>
      </c>
      <c r="Z21" s="46">
        <f t="shared" ref="Z21:AA21" si="165">N21+Q21+T21+W21</f>
        <v>25</v>
      </c>
      <c r="AA21" s="28">
        <f t="shared" si="165"/>
        <v>15</v>
      </c>
      <c r="AB21" s="47">
        <f t="shared" si="99"/>
        <v>0.625</v>
      </c>
      <c r="AH21" s="72">
        <f t="shared" si="66"/>
        <v>2</v>
      </c>
      <c r="AI21" s="72">
        <f t="shared" si="67"/>
        <v>0</v>
      </c>
      <c r="AJ21" s="72">
        <f t="shared" si="0"/>
        <v>2</v>
      </c>
      <c r="AK21" s="72">
        <f t="shared" si="1"/>
        <v>0</v>
      </c>
      <c r="AL21" s="72">
        <f t="shared" si="2"/>
        <v>1</v>
      </c>
      <c r="AM21" s="72">
        <f t="shared" si="3"/>
        <v>0</v>
      </c>
      <c r="AN21" s="72">
        <f t="shared" si="4"/>
        <v>0</v>
      </c>
      <c r="AO21" s="72">
        <f t="shared" si="5"/>
        <v>1</v>
      </c>
      <c r="AP21" s="72">
        <f t="shared" si="6"/>
        <v>0</v>
      </c>
      <c r="AQ21" s="72">
        <f t="shared" si="7"/>
        <v>0</v>
      </c>
      <c r="AR21" s="72">
        <f t="shared" si="8"/>
        <v>0</v>
      </c>
      <c r="AS21" s="72">
        <f t="shared" si="9"/>
        <v>0</v>
      </c>
      <c r="AT21" s="72">
        <f t="shared" si="10"/>
        <v>0</v>
      </c>
      <c r="AU21" s="72">
        <f t="shared" si="11"/>
        <v>0</v>
      </c>
      <c r="AV21" s="72">
        <f t="shared" si="12"/>
        <v>1</v>
      </c>
      <c r="AW21" s="72">
        <f t="shared" si="13"/>
        <v>0</v>
      </c>
      <c r="AX21" s="72">
        <f t="shared" si="14"/>
        <v>0</v>
      </c>
      <c r="AY21" s="72">
        <f t="shared" si="15"/>
        <v>0</v>
      </c>
      <c r="AZ21" s="72">
        <f t="shared" si="16"/>
        <v>0</v>
      </c>
      <c r="BA21" s="72">
        <f t="shared" si="17"/>
        <v>1</v>
      </c>
      <c r="BB21" s="72">
        <f t="shared" si="18"/>
        <v>1</v>
      </c>
      <c r="BC21" s="72">
        <f t="shared" si="19"/>
        <v>0</v>
      </c>
      <c r="BD21" s="72">
        <f t="shared" si="20"/>
        <v>0</v>
      </c>
      <c r="BE21" s="72">
        <f t="shared" si="21"/>
        <v>0</v>
      </c>
      <c r="BF21" s="72">
        <f t="shared" si="22"/>
        <v>0</v>
      </c>
      <c r="BG21" s="72">
        <f t="shared" si="23"/>
        <v>0</v>
      </c>
      <c r="BH21" s="72">
        <f t="shared" si="24"/>
        <v>0</v>
      </c>
      <c r="BI21" s="72">
        <f t="shared" si="25"/>
        <v>1</v>
      </c>
      <c r="BJ21" s="72">
        <f t="shared" si="26"/>
        <v>1</v>
      </c>
      <c r="BK21" s="72">
        <f t="shared" si="27"/>
        <v>0</v>
      </c>
      <c r="BL21" s="72">
        <f t="shared" si="28"/>
        <v>0</v>
      </c>
      <c r="BM21" s="72">
        <f t="shared" si="29"/>
        <v>0</v>
      </c>
      <c r="BN21" s="72">
        <f t="shared" si="30"/>
        <v>0</v>
      </c>
      <c r="BO21" s="72">
        <f t="shared" si="31"/>
        <v>0</v>
      </c>
      <c r="BP21" s="72">
        <f t="shared" si="32"/>
        <v>0</v>
      </c>
      <c r="BQ21" s="72">
        <f t="shared" si="33"/>
        <v>0</v>
      </c>
      <c r="BR21" s="72">
        <f t="shared" si="34"/>
        <v>0</v>
      </c>
      <c r="BS21" s="72">
        <f t="shared" si="35"/>
        <v>0</v>
      </c>
      <c r="BT21" s="72">
        <f t="shared" si="36"/>
        <v>0</v>
      </c>
      <c r="BU21" s="72">
        <f t="shared" si="37"/>
        <v>0</v>
      </c>
      <c r="BW21">
        <f t="shared" si="38"/>
        <v>1</v>
      </c>
      <c r="BX21">
        <f t="shared" si="39"/>
        <v>0</v>
      </c>
      <c r="BY21">
        <f t="shared" si="40"/>
        <v>0</v>
      </c>
      <c r="BZ21">
        <f t="shared" si="41"/>
        <v>0</v>
      </c>
      <c r="CA21">
        <f t="shared" si="68"/>
        <v>0</v>
      </c>
      <c r="CB21">
        <f t="shared" si="69"/>
        <v>0</v>
      </c>
      <c r="CD21">
        <f t="shared" si="42"/>
        <v>1</v>
      </c>
      <c r="CE21">
        <f t="shared" si="43"/>
        <v>1</v>
      </c>
      <c r="CF21">
        <f t="shared" si="44"/>
        <v>0</v>
      </c>
      <c r="CG21">
        <f t="shared" si="45"/>
        <v>0</v>
      </c>
      <c r="CH21">
        <f t="shared" si="70"/>
        <v>0</v>
      </c>
      <c r="CI21">
        <f t="shared" si="71"/>
        <v>0</v>
      </c>
      <c r="CK21">
        <f t="shared" si="46"/>
        <v>1</v>
      </c>
      <c r="CL21">
        <f t="shared" si="47"/>
        <v>0</v>
      </c>
      <c r="CM21">
        <f t="shared" si="48"/>
        <v>0</v>
      </c>
      <c r="CN21">
        <f t="shared" si="49"/>
        <v>0</v>
      </c>
      <c r="CO21">
        <f t="shared" si="72"/>
        <v>0</v>
      </c>
      <c r="CP21">
        <f t="shared" si="73"/>
        <v>0</v>
      </c>
      <c r="CR21">
        <f t="shared" si="50"/>
        <v>0</v>
      </c>
      <c r="CS21">
        <f t="shared" si="51"/>
        <v>0</v>
      </c>
      <c r="CT21">
        <f t="shared" si="52"/>
        <v>1</v>
      </c>
      <c r="CU21">
        <f t="shared" si="53"/>
        <v>0</v>
      </c>
      <c r="CV21">
        <f t="shared" si="74"/>
        <v>0</v>
      </c>
      <c r="CW21">
        <f t="shared" si="75"/>
        <v>0</v>
      </c>
      <c r="CY21">
        <f t="shared" si="54"/>
        <v>0</v>
      </c>
      <c r="CZ21">
        <f t="shared" si="55"/>
        <v>0</v>
      </c>
      <c r="DA21">
        <f t="shared" si="56"/>
        <v>1</v>
      </c>
      <c r="DB21">
        <f t="shared" si="57"/>
        <v>0</v>
      </c>
      <c r="DC21">
        <f t="shared" si="76"/>
        <v>0</v>
      </c>
      <c r="DD21">
        <f t="shared" si="77"/>
        <v>0</v>
      </c>
      <c r="DF21" s="79">
        <f t="shared" si="78"/>
        <v>0</v>
      </c>
      <c r="DG21" s="79">
        <f t="shared" si="79"/>
        <v>0</v>
      </c>
      <c r="DH21">
        <f t="shared" si="124"/>
        <v>1</v>
      </c>
      <c r="DI21">
        <f t="shared" si="89"/>
        <v>0</v>
      </c>
      <c r="DK21" s="79">
        <f t="shared" si="58"/>
        <v>0</v>
      </c>
      <c r="DL21" s="79">
        <f t="shared" si="59"/>
        <v>1</v>
      </c>
      <c r="DM21">
        <f t="shared" ref="DM21:DN21" si="166">IF(DK21+DL21=0,DM20,(DM20+DK21)*DK21)</f>
        <v>0</v>
      </c>
      <c r="DN21">
        <f t="shared" si="166"/>
        <v>3</v>
      </c>
      <c r="DP21" s="79">
        <f t="shared" si="60"/>
        <v>0</v>
      </c>
      <c r="DQ21" s="79">
        <f t="shared" si="61"/>
        <v>0</v>
      </c>
      <c r="DR21">
        <f t="shared" ref="DR21:DS21" si="167">IF(DP21+DQ21=0,DR20,(DR20+DP21)*DP21)</f>
        <v>1</v>
      </c>
      <c r="DS21">
        <f t="shared" si="167"/>
        <v>0</v>
      </c>
      <c r="DU21" s="79">
        <f t="shared" si="62"/>
        <v>0</v>
      </c>
      <c r="DV21" s="79">
        <f t="shared" si="63"/>
        <v>0</v>
      </c>
      <c r="DW21">
        <f t="shared" ref="DW21:DX21" si="168">IF(DU21+DV21=0,DW20,(DW20+DU21)*DU21)</f>
        <v>0</v>
      </c>
      <c r="DX21">
        <f t="shared" si="168"/>
        <v>2</v>
      </c>
      <c r="DZ21" s="79">
        <f t="shared" si="64"/>
        <v>0</v>
      </c>
      <c r="EA21" s="79">
        <f t="shared" si="65"/>
        <v>1</v>
      </c>
      <c r="EB21">
        <f t="shared" ref="EB21:EC21" si="169">IF(DZ21+EA21=0,EB20,(EB20+DZ21)*DZ21)</f>
        <v>0</v>
      </c>
      <c r="EC21">
        <f t="shared" si="169"/>
        <v>1</v>
      </c>
      <c r="EH21" s="80"/>
      <c r="EI21" s="69"/>
      <c r="EK21" s="80"/>
      <c r="EL21" s="69"/>
      <c r="EN21" s="80"/>
      <c r="EO21" s="69"/>
      <c r="EQ21" s="80"/>
      <c r="ER21" s="69"/>
    </row>
    <row r="22" spans="1:148">
      <c r="A22" s="29">
        <v>21</v>
      </c>
      <c r="B22" s="64" t="s">
        <v>17</v>
      </c>
      <c r="C22" s="64" t="s">
        <v>31</v>
      </c>
      <c r="D22" s="64" t="s">
        <v>40</v>
      </c>
      <c r="E22" s="64" t="s">
        <v>47</v>
      </c>
      <c r="F22" s="63"/>
      <c r="G22" s="64" t="s">
        <v>28</v>
      </c>
      <c r="H22" s="64" t="s">
        <v>20</v>
      </c>
      <c r="I22" s="64" t="s">
        <v>44</v>
      </c>
      <c r="J22" s="64" t="s">
        <v>42</v>
      </c>
      <c r="L22" s="30"/>
      <c r="M22" s="41" t="s">
        <v>55</v>
      </c>
      <c r="N22" s="42">
        <f t="shared" si="80"/>
        <v>0</v>
      </c>
      <c r="O22" s="43">
        <f t="shared" si="81"/>
        <v>0</v>
      </c>
      <c r="P22" s="44" t="str">
        <f t="shared" ref="P22:P27" si="170">IF(N22+O22=0,"-",N22/(N22+O22))</f>
        <v>-</v>
      </c>
      <c r="Q22" s="42">
        <f t="shared" si="82"/>
        <v>0</v>
      </c>
      <c r="R22" s="43">
        <f t="shared" si="83"/>
        <v>0</v>
      </c>
      <c r="S22" s="44" t="str">
        <f t="shared" ref="S22:S27" si="171">IF(Q22+R22=0,"-",Q22/(Q22+R22))</f>
        <v>-</v>
      </c>
      <c r="T22" s="42">
        <f t="shared" si="84"/>
        <v>0</v>
      </c>
      <c r="U22" s="43">
        <f t="shared" si="85"/>
        <v>0</v>
      </c>
      <c r="V22" s="44" t="str">
        <f t="shared" ref="V22:V27" si="172">IF(T22+U22=0,"-",T22/(T22+U22))</f>
        <v>-</v>
      </c>
      <c r="W22" s="42">
        <f t="shared" si="86"/>
        <v>0</v>
      </c>
      <c r="X22" s="43">
        <f t="shared" si="87"/>
        <v>0</v>
      </c>
      <c r="Y22" s="45" t="str">
        <f t="shared" ref="Y22:Y27" si="173">IF(W22+X22=0,"-",W22/(W22+X22))</f>
        <v>-</v>
      </c>
      <c r="Z22" s="46">
        <f t="shared" ref="Z22:Z27" si="174">N22+Q22+T22+W22</f>
        <v>0</v>
      </c>
      <c r="AA22" s="28">
        <f t="shared" ref="AA22:AA27" si="175">O22+R22+U22+X22</f>
        <v>0</v>
      </c>
      <c r="AB22" s="47" t="str">
        <f t="shared" ref="AB22:AB27" si="176">IF(Z22+AA22=0,"-",Z22/(Z22+AA22))</f>
        <v>-</v>
      </c>
      <c r="AH22" s="72">
        <f t="shared" si="66"/>
        <v>1</v>
      </c>
      <c r="AI22" s="72">
        <f t="shared" si="67"/>
        <v>1</v>
      </c>
      <c r="AJ22" s="72">
        <f t="shared" si="0"/>
        <v>1</v>
      </c>
      <c r="AK22" s="72">
        <f t="shared" si="1"/>
        <v>1</v>
      </c>
      <c r="AL22" s="72">
        <f t="shared" si="2"/>
        <v>0</v>
      </c>
      <c r="AM22" s="72">
        <f t="shared" si="3"/>
        <v>1</v>
      </c>
      <c r="AN22" s="72">
        <f t="shared" si="4"/>
        <v>1</v>
      </c>
      <c r="AO22" s="72">
        <f t="shared" si="5"/>
        <v>0</v>
      </c>
      <c r="AP22" s="72">
        <f t="shared" si="6"/>
        <v>1</v>
      </c>
      <c r="AQ22" s="72">
        <f t="shared" si="7"/>
        <v>0</v>
      </c>
      <c r="AR22" s="72">
        <f t="shared" si="8"/>
        <v>0</v>
      </c>
      <c r="AS22" s="72">
        <f t="shared" si="9"/>
        <v>0</v>
      </c>
      <c r="AT22" s="72">
        <f t="shared" si="10"/>
        <v>0</v>
      </c>
      <c r="AU22" s="72">
        <f t="shared" si="11"/>
        <v>0</v>
      </c>
      <c r="AV22" s="72">
        <f t="shared" si="12"/>
        <v>0</v>
      </c>
      <c r="AW22" s="72">
        <f t="shared" si="13"/>
        <v>0</v>
      </c>
      <c r="AX22" s="72">
        <f t="shared" si="14"/>
        <v>0</v>
      </c>
      <c r="AY22" s="72">
        <f t="shared" si="15"/>
        <v>0</v>
      </c>
      <c r="AZ22" s="72">
        <f t="shared" si="16"/>
        <v>0</v>
      </c>
      <c r="BA22" s="72">
        <f t="shared" si="17"/>
        <v>1</v>
      </c>
      <c r="BB22" s="72">
        <f t="shared" si="18"/>
        <v>0</v>
      </c>
      <c r="BC22" s="72">
        <f t="shared" si="19"/>
        <v>1</v>
      </c>
      <c r="BD22" s="72">
        <f t="shared" si="20"/>
        <v>0</v>
      </c>
      <c r="BE22" s="72">
        <f t="shared" si="21"/>
        <v>0</v>
      </c>
      <c r="BF22" s="72">
        <f t="shared" si="22"/>
        <v>0</v>
      </c>
      <c r="BG22" s="72">
        <f t="shared" si="23"/>
        <v>0</v>
      </c>
      <c r="BH22" s="72">
        <f t="shared" si="24"/>
        <v>1</v>
      </c>
      <c r="BI22" s="72">
        <f t="shared" si="25"/>
        <v>0</v>
      </c>
      <c r="BJ22" s="72">
        <f t="shared" si="26"/>
        <v>1</v>
      </c>
      <c r="BK22" s="72">
        <f t="shared" si="27"/>
        <v>0</v>
      </c>
      <c r="BL22" s="72">
        <f t="shared" si="28"/>
        <v>0</v>
      </c>
      <c r="BM22" s="72">
        <f t="shared" si="29"/>
        <v>0</v>
      </c>
      <c r="BN22" s="72">
        <f t="shared" si="30"/>
        <v>0</v>
      </c>
      <c r="BO22" s="72">
        <f t="shared" si="31"/>
        <v>0</v>
      </c>
      <c r="BP22" s="72">
        <f t="shared" si="32"/>
        <v>0</v>
      </c>
      <c r="BQ22" s="72">
        <f t="shared" si="33"/>
        <v>0</v>
      </c>
      <c r="BR22" s="72">
        <f t="shared" si="34"/>
        <v>0</v>
      </c>
      <c r="BS22" s="72">
        <f t="shared" si="35"/>
        <v>0</v>
      </c>
      <c r="BT22" s="72">
        <f t="shared" si="36"/>
        <v>0</v>
      </c>
      <c r="BU22" s="72">
        <f t="shared" si="37"/>
        <v>0</v>
      </c>
      <c r="BW22">
        <f t="shared" si="38"/>
        <v>1</v>
      </c>
      <c r="BX22">
        <f t="shared" si="39"/>
        <v>0</v>
      </c>
      <c r="BY22">
        <f t="shared" si="40"/>
        <v>0</v>
      </c>
      <c r="BZ22">
        <f t="shared" si="41"/>
        <v>0</v>
      </c>
      <c r="CA22">
        <f t="shared" si="68"/>
        <v>0</v>
      </c>
      <c r="CB22">
        <f t="shared" si="69"/>
        <v>0</v>
      </c>
      <c r="CD22">
        <f t="shared" si="42"/>
        <v>1</v>
      </c>
      <c r="CE22">
        <f t="shared" si="43"/>
        <v>0</v>
      </c>
      <c r="CF22">
        <f t="shared" si="44"/>
        <v>0</v>
      </c>
      <c r="CG22">
        <f t="shared" si="45"/>
        <v>1</v>
      </c>
      <c r="CH22">
        <f t="shared" si="70"/>
        <v>1</v>
      </c>
      <c r="CI22">
        <f t="shared" si="71"/>
        <v>0</v>
      </c>
      <c r="CK22">
        <f t="shared" si="46"/>
        <v>1</v>
      </c>
      <c r="CL22">
        <f t="shared" si="47"/>
        <v>1</v>
      </c>
      <c r="CM22">
        <f t="shared" si="48"/>
        <v>0</v>
      </c>
      <c r="CN22">
        <f t="shared" si="49"/>
        <v>0</v>
      </c>
      <c r="CO22">
        <f t="shared" si="72"/>
        <v>0</v>
      </c>
      <c r="CP22">
        <f t="shared" si="73"/>
        <v>0</v>
      </c>
      <c r="CR22">
        <f t="shared" si="50"/>
        <v>1</v>
      </c>
      <c r="CS22">
        <f t="shared" si="51"/>
        <v>0</v>
      </c>
      <c r="CT22">
        <f t="shared" si="52"/>
        <v>0</v>
      </c>
      <c r="CU22">
        <f t="shared" si="53"/>
        <v>0</v>
      </c>
      <c r="CV22">
        <f t="shared" si="74"/>
        <v>0</v>
      </c>
      <c r="CW22">
        <f t="shared" si="75"/>
        <v>0</v>
      </c>
      <c r="CY22">
        <f t="shared" si="54"/>
        <v>1</v>
      </c>
      <c r="CZ22">
        <f t="shared" si="55"/>
        <v>0</v>
      </c>
      <c r="DA22">
        <f t="shared" si="56"/>
        <v>0</v>
      </c>
      <c r="DB22">
        <f t="shared" si="57"/>
        <v>0</v>
      </c>
      <c r="DC22">
        <f t="shared" si="76"/>
        <v>0</v>
      </c>
      <c r="DD22">
        <f t="shared" si="77"/>
        <v>0</v>
      </c>
      <c r="DF22" s="79">
        <f t="shared" si="78"/>
        <v>0</v>
      </c>
      <c r="DG22" s="79">
        <f t="shared" si="79"/>
        <v>0</v>
      </c>
      <c r="DH22">
        <f t="shared" si="124"/>
        <v>1</v>
      </c>
      <c r="DI22">
        <f t="shared" si="89"/>
        <v>0</v>
      </c>
      <c r="DK22" s="79">
        <f t="shared" si="58"/>
        <v>0</v>
      </c>
      <c r="DL22" s="79">
        <f t="shared" si="59"/>
        <v>1</v>
      </c>
      <c r="DM22">
        <f t="shared" ref="DM22:DN22" si="177">IF(DK22+DL22=0,DM21,(DM21+DK22)*DK22)</f>
        <v>0</v>
      </c>
      <c r="DN22">
        <f t="shared" si="177"/>
        <v>4</v>
      </c>
      <c r="DP22" s="79">
        <f t="shared" si="60"/>
        <v>0</v>
      </c>
      <c r="DQ22" s="79">
        <f t="shared" si="61"/>
        <v>0</v>
      </c>
      <c r="DR22">
        <f t="shared" ref="DR22:DS22" si="178">IF(DP22+DQ22=0,DR21,(DR21+DP22)*DP22)</f>
        <v>1</v>
      </c>
      <c r="DS22">
        <f t="shared" si="178"/>
        <v>0</v>
      </c>
      <c r="DU22" s="79">
        <f t="shared" si="62"/>
        <v>0</v>
      </c>
      <c r="DV22" s="79">
        <f t="shared" si="63"/>
        <v>0</v>
      </c>
      <c r="DW22">
        <f t="shared" ref="DW22:DX22" si="179">IF(DU22+DV22=0,DW21,(DW21+DU22)*DU22)</f>
        <v>0</v>
      </c>
      <c r="DX22">
        <f t="shared" si="179"/>
        <v>2</v>
      </c>
      <c r="DZ22" s="79">
        <f t="shared" si="64"/>
        <v>1</v>
      </c>
      <c r="EA22" s="79">
        <f t="shared" si="65"/>
        <v>0</v>
      </c>
      <c r="EB22">
        <f t="shared" ref="EB22:EC22" si="180">IF(DZ22+EA22=0,EB21,(EB21+DZ22)*DZ22)</f>
        <v>1</v>
      </c>
      <c r="EC22">
        <f t="shared" si="180"/>
        <v>0</v>
      </c>
      <c r="EH22" s="80"/>
      <c r="EI22" s="69"/>
      <c r="EK22" s="80"/>
      <c r="EL22" s="69"/>
      <c r="EN22" s="80"/>
      <c r="EO22" s="69"/>
      <c r="EQ22" s="80"/>
      <c r="ER22" s="69"/>
    </row>
    <row r="23" spans="1:148">
      <c r="A23" s="29">
        <v>22</v>
      </c>
      <c r="B23" s="64" t="s">
        <v>42</v>
      </c>
      <c r="C23" s="64" t="s">
        <v>18</v>
      </c>
      <c r="D23" s="64" t="s">
        <v>28</v>
      </c>
      <c r="E23" s="64" t="s">
        <v>20</v>
      </c>
      <c r="F23" s="63"/>
      <c r="G23" s="64" t="s">
        <v>40</v>
      </c>
      <c r="H23" s="64" t="s">
        <v>31</v>
      </c>
      <c r="I23" s="64" t="s">
        <v>47</v>
      </c>
      <c r="J23" s="64" t="s">
        <v>34</v>
      </c>
      <c r="L23" s="30"/>
      <c r="M23" s="41" t="s">
        <v>59</v>
      </c>
      <c r="N23" s="42">
        <f t="shared" si="80"/>
        <v>0</v>
      </c>
      <c r="O23" s="43">
        <f t="shared" si="81"/>
        <v>0</v>
      </c>
      <c r="P23" s="44" t="str">
        <f t="shared" si="170"/>
        <v>-</v>
      </c>
      <c r="Q23" s="42">
        <f t="shared" si="82"/>
        <v>0</v>
      </c>
      <c r="R23" s="43">
        <f t="shared" si="83"/>
        <v>0</v>
      </c>
      <c r="S23" s="44" t="str">
        <f t="shared" si="171"/>
        <v>-</v>
      </c>
      <c r="T23" s="42">
        <f t="shared" si="84"/>
        <v>0</v>
      </c>
      <c r="U23" s="43">
        <f t="shared" si="85"/>
        <v>0</v>
      </c>
      <c r="V23" s="44" t="str">
        <f t="shared" si="172"/>
        <v>-</v>
      </c>
      <c r="W23" s="42">
        <f t="shared" si="86"/>
        <v>0</v>
      </c>
      <c r="X23" s="43">
        <f t="shared" si="87"/>
        <v>0</v>
      </c>
      <c r="Y23" s="45" t="str">
        <f t="shared" si="173"/>
        <v>-</v>
      </c>
      <c r="Z23" s="46">
        <f t="shared" si="174"/>
        <v>0</v>
      </c>
      <c r="AA23" s="28">
        <f t="shared" si="175"/>
        <v>0</v>
      </c>
      <c r="AB23" s="47" t="str">
        <f t="shared" si="176"/>
        <v>-</v>
      </c>
      <c r="AH23" s="72">
        <f t="shared" si="66"/>
        <v>0</v>
      </c>
      <c r="AI23" s="72">
        <f t="shared" si="67"/>
        <v>1</v>
      </c>
      <c r="AJ23" s="72">
        <f t="shared" si="0"/>
        <v>0</v>
      </c>
      <c r="AK23" s="72">
        <f t="shared" si="1"/>
        <v>1</v>
      </c>
      <c r="AL23" s="72">
        <f t="shared" si="2"/>
        <v>0</v>
      </c>
      <c r="AM23" s="72">
        <f t="shared" si="3"/>
        <v>0</v>
      </c>
      <c r="AN23" s="72">
        <f t="shared" si="4"/>
        <v>0</v>
      </c>
      <c r="AO23" s="72">
        <f t="shared" si="5"/>
        <v>0</v>
      </c>
      <c r="AP23" s="72">
        <f t="shared" si="6"/>
        <v>0</v>
      </c>
      <c r="AQ23" s="72">
        <f t="shared" si="7"/>
        <v>1</v>
      </c>
      <c r="AR23" s="72">
        <f t="shared" si="8"/>
        <v>0</v>
      </c>
      <c r="AS23" s="72">
        <f t="shared" si="9"/>
        <v>0</v>
      </c>
      <c r="AT23" s="72">
        <f t="shared" si="10"/>
        <v>0</v>
      </c>
      <c r="AU23" s="72">
        <f t="shared" si="11"/>
        <v>0</v>
      </c>
      <c r="AV23" s="72">
        <f t="shared" si="12"/>
        <v>0</v>
      </c>
      <c r="AW23" s="72">
        <f t="shared" si="13"/>
        <v>0</v>
      </c>
      <c r="AX23" s="72">
        <f t="shared" si="14"/>
        <v>0</v>
      </c>
      <c r="AY23" s="72">
        <f t="shared" si="15"/>
        <v>0</v>
      </c>
      <c r="AZ23" s="72">
        <f t="shared" si="16"/>
        <v>1</v>
      </c>
      <c r="BA23" s="72">
        <f t="shared" si="17"/>
        <v>0</v>
      </c>
      <c r="BB23" s="72">
        <f t="shared" si="18"/>
        <v>0</v>
      </c>
      <c r="BC23" s="72">
        <f t="shared" si="19"/>
        <v>0</v>
      </c>
      <c r="BD23" s="72">
        <f t="shared" si="20"/>
        <v>0</v>
      </c>
      <c r="BE23" s="72">
        <f t="shared" si="21"/>
        <v>1</v>
      </c>
      <c r="BF23" s="72">
        <f t="shared" si="22"/>
        <v>0</v>
      </c>
      <c r="BG23" s="72">
        <f t="shared" si="23"/>
        <v>0</v>
      </c>
      <c r="BH23" s="72">
        <f t="shared" si="24"/>
        <v>0</v>
      </c>
      <c r="BI23" s="72">
        <f t="shared" si="25"/>
        <v>1</v>
      </c>
      <c r="BJ23" s="72">
        <f t="shared" si="26"/>
        <v>0</v>
      </c>
      <c r="BK23" s="72">
        <f t="shared" si="27"/>
        <v>1</v>
      </c>
      <c r="BL23" s="72">
        <f t="shared" si="28"/>
        <v>0</v>
      </c>
      <c r="BM23" s="72">
        <f t="shared" si="29"/>
        <v>0</v>
      </c>
      <c r="BN23" s="72">
        <f t="shared" si="30"/>
        <v>0</v>
      </c>
      <c r="BO23" s="72">
        <f t="shared" si="31"/>
        <v>0</v>
      </c>
      <c r="BP23" s="72">
        <f t="shared" si="32"/>
        <v>1</v>
      </c>
      <c r="BQ23" s="72">
        <f t="shared" si="33"/>
        <v>0</v>
      </c>
      <c r="BR23" s="72">
        <f t="shared" si="34"/>
        <v>0</v>
      </c>
      <c r="BS23" s="72">
        <f t="shared" si="35"/>
        <v>0</v>
      </c>
      <c r="BT23" s="72">
        <f t="shared" si="36"/>
        <v>0</v>
      </c>
      <c r="BU23" s="72">
        <f t="shared" si="37"/>
        <v>0</v>
      </c>
      <c r="BW23">
        <f t="shared" si="38"/>
        <v>0</v>
      </c>
      <c r="BX23">
        <f t="shared" si="39"/>
        <v>0</v>
      </c>
      <c r="BY23">
        <f t="shared" si="40"/>
        <v>1</v>
      </c>
      <c r="BZ23">
        <f t="shared" si="41"/>
        <v>0</v>
      </c>
      <c r="CA23">
        <f t="shared" si="68"/>
        <v>0</v>
      </c>
      <c r="CB23">
        <f t="shared" si="69"/>
        <v>0</v>
      </c>
      <c r="CD23">
        <f t="shared" si="42"/>
        <v>0</v>
      </c>
      <c r="CE23">
        <f t="shared" si="43"/>
        <v>0</v>
      </c>
      <c r="CF23">
        <f t="shared" si="44"/>
        <v>1</v>
      </c>
      <c r="CG23">
        <f t="shared" si="45"/>
        <v>0</v>
      </c>
      <c r="CH23">
        <f t="shared" si="70"/>
        <v>0</v>
      </c>
      <c r="CI23">
        <f t="shared" si="71"/>
        <v>0</v>
      </c>
      <c r="CK23">
        <f t="shared" si="46"/>
        <v>0</v>
      </c>
      <c r="CL23">
        <f t="shared" si="47"/>
        <v>0</v>
      </c>
      <c r="CM23">
        <f t="shared" si="48"/>
        <v>1</v>
      </c>
      <c r="CN23">
        <f t="shared" si="49"/>
        <v>1</v>
      </c>
      <c r="CO23">
        <f t="shared" si="72"/>
        <v>0</v>
      </c>
      <c r="CP23">
        <f t="shared" si="73"/>
        <v>0</v>
      </c>
      <c r="CR23">
        <f t="shared" si="50"/>
        <v>0</v>
      </c>
      <c r="CS23">
        <f t="shared" si="51"/>
        <v>0</v>
      </c>
      <c r="CT23">
        <f t="shared" si="52"/>
        <v>0</v>
      </c>
      <c r="CU23">
        <f t="shared" si="53"/>
        <v>1</v>
      </c>
      <c r="CV23">
        <f t="shared" si="74"/>
        <v>0</v>
      </c>
      <c r="CW23">
        <f t="shared" si="75"/>
        <v>0</v>
      </c>
      <c r="CY23">
        <f t="shared" si="54"/>
        <v>0</v>
      </c>
      <c r="CZ23">
        <f t="shared" si="55"/>
        <v>0</v>
      </c>
      <c r="DA23">
        <f t="shared" si="56"/>
        <v>0</v>
      </c>
      <c r="DB23">
        <f t="shared" si="57"/>
        <v>0</v>
      </c>
      <c r="DC23">
        <f t="shared" si="76"/>
        <v>0</v>
      </c>
      <c r="DD23">
        <f t="shared" si="77"/>
        <v>0</v>
      </c>
      <c r="DF23" s="79">
        <f t="shared" si="78"/>
        <v>0</v>
      </c>
      <c r="DG23" s="79">
        <f t="shared" si="79"/>
        <v>0</v>
      </c>
      <c r="DH23">
        <f t="shared" si="124"/>
        <v>1</v>
      </c>
      <c r="DI23">
        <f t="shared" si="89"/>
        <v>0</v>
      </c>
      <c r="DK23" s="79">
        <f t="shared" si="58"/>
        <v>1</v>
      </c>
      <c r="DL23" s="79">
        <f t="shared" si="59"/>
        <v>0</v>
      </c>
      <c r="DM23">
        <f t="shared" ref="DM23:DN23" si="181">IF(DK23+DL23=0,DM22,(DM22+DK23)*DK23)</f>
        <v>1</v>
      </c>
      <c r="DN23">
        <f t="shared" si="181"/>
        <v>0</v>
      </c>
      <c r="DP23" s="79">
        <f t="shared" si="60"/>
        <v>1</v>
      </c>
      <c r="DQ23" s="79">
        <f t="shared" si="61"/>
        <v>0</v>
      </c>
      <c r="DR23">
        <f t="shared" ref="DR23:DS23" si="182">IF(DP23+DQ23=0,DR22,(DR22+DP23)*DP23)</f>
        <v>2</v>
      </c>
      <c r="DS23">
        <f t="shared" si="182"/>
        <v>0</v>
      </c>
      <c r="DU23" s="79">
        <f t="shared" si="62"/>
        <v>0</v>
      </c>
      <c r="DV23" s="79">
        <f t="shared" si="63"/>
        <v>0</v>
      </c>
      <c r="DW23">
        <f t="shared" ref="DW23:DX23" si="183">IF(DU23+DV23=0,DW22,(DW22+DU23)*DU23)</f>
        <v>0</v>
      </c>
      <c r="DX23">
        <f t="shared" si="183"/>
        <v>2</v>
      </c>
      <c r="DZ23" s="79">
        <f t="shared" si="64"/>
        <v>0</v>
      </c>
      <c r="EA23" s="79">
        <f t="shared" si="65"/>
        <v>1</v>
      </c>
      <c r="EB23">
        <f t="shared" ref="EB23:EC23" si="184">IF(DZ23+EA23=0,EB22,(EB22+DZ23)*DZ23)</f>
        <v>0</v>
      </c>
      <c r="EC23">
        <f t="shared" si="184"/>
        <v>1</v>
      </c>
      <c r="EH23" s="80"/>
      <c r="EI23" s="69"/>
      <c r="EK23" s="80"/>
      <c r="EL23" s="69"/>
      <c r="EN23" s="80"/>
      <c r="EO23" s="69"/>
      <c r="EQ23" s="80"/>
      <c r="ER23" s="69"/>
    </row>
    <row r="24" spans="1:148">
      <c r="A24" s="29">
        <v>23</v>
      </c>
      <c r="B24" s="64" t="s">
        <v>19</v>
      </c>
      <c r="C24" s="64" t="s">
        <v>47</v>
      </c>
      <c r="D24" s="64" t="s">
        <v>34</v>
      </c>
      <c r="E24" s="64" t="s">
        <v>33</v>
      </c>
      <c r="F24" s="63"/>
      <c r="G24" s="64" t="s">
        <v>17</v>
      </c>
      <c r="H24" s="64" t="s">
        <v>18</v>
      </c>
      <c r="I24" s="64" t="s">
        <v>44</v>
      </c>
      <c r="J24" s="64" t="s">
        <v>42</v>
      </c>
      <c r="L24" s="30"/>
      <c r="M24" s="41" t="s">
        <v>81</v>
      </c>
      <c r="N24" s="42">
        <f t="shared" si="80"/>
        <v>0</v>
      </c>
      <c r="O24" s="43">
        <f t="shared" si="81"/>
        <v>0</v>
      </c>
      <c r="P24" s="44" t="str">
        <f t="shared" si="170"/>
        <v>-</v>
      </c>
      <c r="Q24" s="42">
        <f t="shared" si="82"/>
        <v>0</v>
      </c>
      <c r="R24" s="43">
        <f t="shared" si="83"/>
        <v>0</v>
      </c>
      <c r="S24" s="44" t="str">
        <f t="shared" si="171"/>
        <v>-</v>
      </c>
      <c r="T24" s="42">
        <f t="shared" si="84"/>
        <v>0</v>
      </c>
      <c r="U24" s="43">
        <f t="shared" si="85"/>
        <v>0</v>
      </c>
      <c r="V24" s="44" t="str">
        <f t="shared" si="172"/>
        <v>-</v>
      </c>
      <c r="W24" s="42">
        <f t="shared" si="86"/>
        <v>0</v>
      </c>
      <c r="X24" s="43">
        <f t="shared" si="87"/>
        <v>0</v>
      </c>
      <c r="Y24" s="45" t="str">
        <f t="shared" si="173"/>
        <v>-</v>
      </c>
      <c r="Z24" s="46">
        <f t="shared" si="174"/>
        <v>0</v>
      </c>
      <c r="AA24" s="28">
        <f t="shared" si="175"/>
        <v>0</v>
      </c>
      <c r="AB24" s="47" t="str">
        <f t="shared" si="176"/>
        <v>-</v>
      </c>
      <c r="AH24" s="72">
        <f t="shared" si="66"/>
        <v>1</v>
      </c>
      <c r="AI24" s="72">
        <f t="shared" si="67"/>
        <v>1</v>
      </c>
      <c r="AJ24" s="72">
        <f t="shared" si="0"/>
        <v>1</v>
      </c>
      <c r="AK24" s="72">
        <f t="shared" si="1"/>
        <v>1</v>
      </c>
      <c r="AL24" s="72">
        <f t="shared" si="2"/>
        <v>0</v>
      </c>
      <c r="AM24" s="72">
        <f t="shared" si="3"/>
        <v>1</v>
      </c>
      <c r="AN24" s="72">
        <f t="shared" si="4"/>
        <v>0</v>
      </c>
      <c r="AO24" s="72">
        <f t="shared" si="5"/>
        <v>1</v>
      </c>
      <c r="AP24" s="72">
        <f t="shared" si="6"/>
        <v>0</v>
      </c>
      <c r="AQ24" s="72">
        <f t="shared" si="7"/>
        <v>0</v>
      </c>
      <c r="AR24" s="72">
        <f t="shared" si="8"/>
        <v>0</v>
      </c>
      <c r="AS24" s="72">
        <f t="shared" si="9"/>
        <v>0</v>
      </c>
      <c r="AT24" s="72">
        <f t="shared" si="10"/>
        <v>0</v>
      </c>
      <c r="AU24" s="72">
        <f t="shared" si="11"/>
        <v>0</v>
      </c>
      <c r="AV24" s="72">
        <f t="shared" si="12"/>
        <v>1</v>
      </c>
      <c r="AW24" s="72">
        <f t="shared" si="13"/>
        <v>0</v>
      </c>
      <c r="AX24" s="72">
        <f t="shared" si="14"/>
        <v>1</v>
      </c>
      <c r="AY24" s="72">
        <f t="shared" si="15"/>
        <v>0</v>
      </c>
      <c r="AZ24" s="72">
        <f t="shared" si="16"/>
        <v>0</v>
      </c>
      <c r="BA24" s="72">
        <f t="shared" si="17"/>
        <v>0</v>
      </c>
      <c r="BB24" s="72">
        <f t="shared" si="18"/>
        <v>0</v>
      </c>
      <c r="BC24" s="72">
        <f t="shared" si="19"/>
        <v>1</v>
      </c>
      <c r="BD24" s="72">
        <f t="shared" si="20"/>
        <v>1</v>
      </c>
      <c r="BE24" s="72">
        <f t="shared" si="21"/>
        <v>0</v>
      </c>
      <c r="BF24" s="72">
        <f t="shared" si="22"/>
        <v>0</v>
      </c>
      <c r="BG24" s="72">
        <f t="shared" si="23"/>
        <v>0</v>
      </c>
      <c r="BH24" s="72">
        <f t="shared" si="24"/>
        <v>0</v>
      </c>
      <c r="BI24" s="72">
        <f t="shared" si="25"/>
        <v>0</v>
      </c>
      <c r="BJ24" s="72">
        <f t="shared" si="26"/>
        <v>1</v>
      </c>
      <c r="BK24" s="72">
        <f t="shared" si="27"/>
        <v>0</v>
      </c>
      <c r="BL24" s="72">
        <f t="shared" si="28"/>
        <v>0</v>
      </c>
      <c r="BM24" s="72">
        <f t="shared" si="29"/>
        <v>0</v>
      </c>
      <c r="BN24" s="72">
        <f t="shared" si="30"/>
        <v>0</v>
      </c>
      <c r="BO24" s="72">
        <f t="shared" si="31"/>
        <v>0</v>
      </c>
      <c r="BP24" s="72">
        <f t="shared" si="32"/>
        <v>0</v>
      </c>
      <c r="BQ24" s="72">
        <f t="shared" si="33"/>
        <v>1</v>
      </c>
      <c r="BR24" s="72">
        <f t="shared" si="34"/>
        <v>0</v>
      </c>
      <c r="BS24" s="72">
        <f t="shared" si="35"/>
        <v>0</v>
      </c>
      <c r="BT24" s="72">
        <f t="shared" si="36"/>
        <v>0</v>
      </c>
      <c r="BU24" s="72">
        <f t="shared" si="37"/>
        <v>0</v>
      </c>
      <c r="BW24">
        <f t="shared" si="38"/>
        <v>1</v>
      </c>
      <c r="BX24">
        <f t="shared" si="39"/>
        <v>0</v>
      </c>
      <c r="BY24">
        <f t="shared" si="40"/>
        <v>0</v>
      </c>
      <c r="BZ24">
        <f t="shared" si="41"/>
        <v>0</v>
      </c>
      <c r="CA24">
        <f t="shared" si="68"/>
        <v>0</v>
      </c>
      <c r="CB24">
        <f t="shared" si="69"/>
        <v>0</v>
      </c>
      <c r="CD24">
        <f t="shared" si="42"/>
        <v>1</v>
      </c>
      <c r="CE24">
        <f t="shared" si="43"/>
        <v>0</v>
      </c>
      <c r="CF24">
        <f t="shared" si="44"/>
        <v>0</v>
      </c>
      <c r="CG24">
        <f t="shared" si="45"/>
        <v>1</v>
      </c>
      <c r="CH24">
        <f t="shared" si="70"/>
        <v>1</v>
      </c>
      <c r="CI24">
        <f t="shared" si="71"/>
        <v>0</v>
      </c>
      <c r="CK24">
        <f t="shared" si="46"/>
        <v>1</v>
      </c>
      <c r="CL24">
        <f t="shared" si="47"/>
        <v>0</v>
      </c>
      <c r="CM24">
        <f t="shared" si="48"/>
        <v>0</v>
      </c>
      <c r="CN24">
        <f t="shared" si="49"/>
        <v>0</v>
      </c>
      <c r="CO24">
        <f t="shared" si="72"/>
        <v>0</v>
      </c>
      <c r="CP24">
        <f t="shared" si="73"/>
        <v>0</v>
      </c>
      <c r="CR24">
        <f t="shared" si="50"/>
        <v>0</v>
      </c>
      <c r="CS24">
        <f t="shared" si="51"/>
        <v>1</v>
      </c>
      <c r="CT24">
        <f t="shared" si="52"/>
        <v>1</v>
      </c>
      <c r="CU24">
        <f t="shared" si="53"/>
        <v>0</v>
      </c>
      <c r="CV24">
        <f t="shared" si="74"/>
        <v>0</v>
      </c>
      <c r="CW24">
        <f t="shared" si="75"/>
        <v>1</v>
      </c>
      <c r="CY24">
        <f t="shared" si="54"/>
        <v>0</v>
      </c>
      <c r="CZ24">
        <f t="shared" si="55"/>
        <v>0</v>
      </c>
      <c r="DA24">
        <f t="shared" si="56"/>
        <v>1</v>
      </c>
      <c r="DB24">
        <f t="shared" si="57"/>
        <v>0</v>
      </c>
      <c r="DC24">
        <f t="shared" si="76"/>
        <v>0</v>
      </c>
      <c r="DD24">
        <f t="shared" si="77"/>
        <v>0</v>
      </c>
      <c r="DF24" s="79">
        <f t="shared" si="78"/>
        <v>0</v>
      </c>
      <c r="DG24" s="79">
        <f t="shared" si="79"/>
        <v>0</v>
      </c>
      <c r="DH24">
        <f t="shared" si="124"/>
        <v>1</v>
      </c>
      <c r="DI24">
        <f t="shared" si="89"/>
        <v>0</v>
      </c>
      <c r="DK24" s="79">
        <f t="shared" si="58"/>
        <v>0</v>
      </c>
      <c r="DL24" s="79">
        <f t="shared" si="59"/>
        <v>0</v>
      </c>
      <c r="DM24">
        <f t="shared" ref="DM24:DN24" si="185">IF(DK24+DL24=0,DM23,(DM23+DK24)*DK24)</f>
        <v>1</v>
      </c>
      <c r="DN24">
        <f t="shared" si="185"/>
        <v>0</v>
      </c>
      <c r="DP24" s="79">
        <f t="shared" si="60"/>
        <v>0</v>
      </c>
      <c r="DQ24" s="79">
        <f t="shared" si="61"/>
        <v>1</v>
      </c>
      <c r="DR24">
        <f t="shared" ref="DR24:DS24" si="186">IF(DP24+DQ24=0,DR23,(DR23+DP24)*DP24)</f>
        <v>0</v>
      </c>
      <c r="DS24">
        <f t="shared" si="186"/>
        <v>1</v>
      </c>
      <c r="DU24" s="79">
        <f t="shared" si="62"/>
        <v>0</v>
      </c>
      <c r="DV24" s="79">
        <f t="shared" si="63"/>
        <v>0</v>
      </c>
      <c r="DW24">
        <f t="shared" ref="DW24:DX24" si="187">IF(DU24+DV24=0,DW23,(DW23+DU24)*DU24)</f>
        <v>0</v>
      </c>
      <c r="DX24">
        <f t="shared" si="187"/>
        <v>2</v>
      </c>
      <c r="DZ24" s="79">
        <f t="shared" si="64"/>
        <v>0</v>
      </c>
      <c r="EA24" s="79">
        <f t="shared" si="65"/>
        <v>0</v>
      </c>
      <c r="EB24">
        <f t="shared" ref="EB24:EC24" si="188">IF(DZ24+EA24=0,EB23,(EB23+DZ24)*DZ24)</f>
        <v>0</v>
      </c>
      <c r="EC24">
        <f t="shared" si="188"/>
        <v>1</v>
      </c>
      <c r="EH24" s="80"/>
      <c r="EI24" s="69"/>
      <c r="EK24" s="80"/>
      <c r="EL24" s="69"/>
      <c r="EN24" s="80"/>
      <c r="EO24" s="69"/>
      <c r="EQ24" s="80"/>
      <c r="ER24" s="69"/>
    </row>
    <row r="25" spans="1:148">
      <c r="A25" s="29">
        <v>24</v>
      </c>
      <c r="B25" s="64" t="s">
        <v>33</v>
      </c>
      <c r="C25" s="64" t="s">
        <v>18</v>
      </c>
      <c r="D25" s="64" t="s">
        <v>19</v>
      </c>
      <c r="E25" s="64" t="s">
        <v>20</v>
      </c>
      <c r="F25" s="63"/>
      <c r="G25" s="64" t="s">
        <v>17</v>
      </c>
      <c r="H25" s="64" t="s">
        <v>47</v>
      </c>
      <c r="I25" s="64" t="s">
        <v>44</v>
      </c>
      <c r="J25" s="64" t="s">
        <v>42</v>
      </c>
      <c r="L25" s="30"/>
      <c r="M25" s="41" t="s">
        <v>72</v>
      </c>
      <c r="N25" s="42">
        <f t="shared" si="80"/>
        <v>0</v>
      </c>
      <c r="O25" s="43">
        <f t="shared" si="81"/>
        <v>0</v>
      </c>
      <c r="P25" s="44" t="str">
        <f t="shared" si="170"/>
        <v>-</v>
      </c>
      <c r="Q25" s="42">
        <f t="shared" si="82"/>
        <v>3</v>
      </c>
      <c r="R25" s="43">
        <f t="shared" si="83"/>
        <v>4</v>
      </c>
      <c r="S25" s="44">
        <f t="shared" si="171"/>
        <v>0.42857142857142855</v>
      </c>
      <c r="T25" s="42">
        <f t="shared" si="84"/>
        <v>0</v>
      </c>
      <c r="U25" s="43">
        <f t="shared" si="85"/>
        <v>0</v>
      </c>
      <c r="V25" s="44" t="str">
        <f t="shared" si="172"/>
        <v>-</v>
      </c>
      <c r="W25" s="42">
        <f t="shared" si="86"/>
        <v>0</v>
      </c>
      <c r="X25" s="43">
        <f t="shared" si="87"/>
        <v>2</v>
      </c>
      <c r="Y25" s="45">
        <f t="shared" si="173"/>
        <v>0</v>
      </c>
      <c r="Z25" s="46">
        <f t="shared" si="174"/>
        <v>3</v>
      </c>
      <c r="AA25" s="28">
        <f t="shared" si="175"/>
        <v>6</v>
      </c>
      <c r="AB25" s="47">
        <f t="shared" si="176"/>
        <v>0.33333333333333331</v>
      </c>
      <c r="AH25" s="72">
        <f t="shared" si="66"/>
        <v>0</v>
      </c>
      <c r="AI25" s="72">
        <f t="shared" si="67"/>
        <v>2</v>
      </c>
      <c r="AJ25" s="72">
        <f t="shared" si="0"/>
        <v>0</v>
      </c>
      <c r="AK25" s="72">
        <f t="shared" si="1"/>
        <v>2</v>
      </c>
      <c r="AL25" s="72">
        <f t="shared" si="2"/>
        <v>0</v>
      </c>
      <c r="AM25" s="72">
        <f t="shared" si="3"/>
        <v>1</v>
      </c>
      <c r="AN25" s="72">
        <f t="shared" si="4"/>
        <v>0</v>
      </c>
      <c r="AO25" s="72">
        <f t="shared" si="5"/>
        <v>1</v>
      </c>
      <c r="AP25" s="72">
        <f t="shared" si="6"/>
        <v>0</v>
      </c>
      <c r="AQ25" s="72">
        <f t="shared" si="7"/>
        <v>0</v>
      </c>
      <c r="AR25" s="72">
        <f t="shared" si="8"/>
        <v>0</v>
      </c>
      <c r="AS25" s="72">
        <f t="shared" si="9"/>
        <v>0</v>
      </c>
      <c r="AT25" s="72">
        <f t="shared" si="10"/>
        <v>0</v>
      </c>
      <c r="AU25" s="72">
        <f t="shared" si="11"/>
        <v>0</v>
      </c>
      <c r="AV25" s="72">
        <f t="shared" si="12"/>
        <v>1</v>
      </c>
      <c r="AW25" s="72">
        <f t="shared" si="13"/>
        <v>0</v>
      </c>
      <c r="AX25" s="72">
        <f t="shared" si="14"/>
        <v>1</v>
      </c>
      <c r="AY25" s="72">
        <f t="shared" si="15"/>
        <v>0</v>
      </c>
      <c r="AZ25" s="72">
        <f t="shared" si="16"/>
        <v>1</v>
      </c>
      <c r="BA25" s="72">
        <f t="shared" si="17"/>
        <v>0</v>
      </c>
      <c r="BB25" s="72">
        <f t="shared" si="18"/>
        <v>0</v>
      </c>
      <c r="BC25" s="72">
        <f t="shared" si="19"/>
        <v>1</v>
      </c>
      <c r="BD25" s="72">
        <f t="shared" si="20"/>
        <v>0</v>
      </c>
      <c r="BE25" s="72">
        <f t="shared" si="21"/>
        <v>0</v>
      </c>
      <c r="BF25" s="72">
        <f t="shared" si="22"/>
        <v>0</v>
      </c>
      <c r="BG25" s="72">
        <f t="shared" si="23"/>
        <v>0</v>
      </c>
      <c r="BH25" s="72">
        <f t="shared" si="24"/>
        <v>0</v>
      </c>
      <c r="BI25" s="72">
        <f t="shared" si="25"/>
        <v>0</v>
      </c>
      <c r="BJ25" s="72">
        <f t="shared" si="26"/>
        <v>0</v>
      </c>
      <c r="BK25" s="72">
        <f t="shared" si="27"/>
        <v>1</v>
      </c>
      <c r="BL25" s="72">
        <f t="shared" si="28"/>
        <v>0</v>
      </c>
      <c r="BM25" s="72">
        <f t="shared" si="29"/>
        <v>0</v>
      </c>
      <c r="BN25" s="72">
        <f t="shared" si="30"/>
        <v>0</v>
      </c>
      <c r="BO25" s="72">
        <f t="shared" si="31"/>
        <v>0</v>
      </c>
      <c r="BP25" s="72">
        <f t="shared" si="32"/>
        <v>1</v>
      </c>
      <c r="BQ25" s="72">
        <f t="shared" si="33"/>
        <v>0</v>
      </c>
      <c r="BR25" s="72">
        <f t="shared" si="34"/>
        <v>0</v>
      </c>
      <c r="BS25" s="72">
        <f t="shared" si="35"/>
        <v>0</v>
      </c>
      <c r="BT25" s="72">
        <f t="shared" si="36"/>
        <v>0</v>
      </c>
      <c r="BU25" s="72">
        <f t="shared" si="37"/>
        <v>0</v>
      </c>
      <c r="BW25">
        <f t="shared" si="38"/>
        <v>0</v>
      </c>
      <c r="BX25">
        <f t="shared" si="39"/>
        <v>0</v>
      </c>
      <c r="BY25">
        <f t="shared" si="40"/>
        <v>1</v>
      </c>
      <c r="BZ25">
        <f t="shared" si="41"/>
        <v>0</v>
      </c>
      <c r="CA25">
        <f t="shared" si="68"/>
        <v>0</v>
      </c>
      <c r="CB25">
        <f t="shared" si="69"/>
        <v>0</v>
      </c>
      <c r="CD25">
        <f t="shared" si="42"/>
        <v>0</v>
      </c>
      <c r="CE25">
        <f t="shared" si="43"/>
        <v>0</v>
      </c>
      <c r="CF25">
        <f t="shared" si="44"/>
        <v>1</v>
      </c>
      <c r="CG25">
        <f t="shared" si="45"/>
        <v>1</v>
      </c>
      <c r="CH25">
        <f t="shared" si="70"/>
        <v>0</v>
      </c>
      <c r="CI25">
        <f t="shared" si="71"/>
        <v>0</v>
      </c>
      <c r="CK25">
        <f t="shared" si="46"/>
        <v>0</v>
      </c>
      <c r="CL25">
        <f t="shared" si="47"/>
        <v>0</v>
      </c>
      <c r="CM25">
        <f t="shared" si="48"/>
        <v>1</v>
      </c>
      <c r="CN25">
        <f t="shared" si="49"/>
        <v>0</v>
      </c>
      <c r="CO25">
        <f t="shared" si="72"/>
        <v>0</v>
      </c>
      <c r="CP25">
        <f t="shared" si="73"/>
        <v>0</v>
      </c>
      <c r="CR25">
        <f t="shared" si="50"/>
        <v>0</v>
      </c>
      <c r="CS25">
        <f t="shared" si="51"/>
        <v>0</v>
      </c>
      <c r="CT25">
        <f t="shared" si="52"/>
        <v>1</v>
      </c>
      <c r="CU25">
        <f t="shared" si="53"/>
        <v>0</v>
      </c>
      <c r="CV25">
        <f t="shared" si="74"/>
        <v>0</v>
      </c>
      <c r="CW25">
        <f t="shared" si="75"/>
        <v>0</v>
      </c>
      <c r="CY25">
        <f t="shared" si="54"/>
        <v>0</v>
      </c>
      <c r="CZ25">
        <f t="shared" si="55"/>
        <v>0</v>
      </c>
      <c r="DA25">
        <f t="shared" si="56"/>
        <v>1</v>
      </c>
      <c r="DB25">
        <f t="shared" si="57"/>
        <v>0</v>
      </c>
      <c r="DC25">
        <f t="shared" si="76"/>
        <v>0</v>
      </c>
      <c r="DD25">
        <f t="shared" si="77"/>
        <v>0</v>
      </c>
      <c r="DF25" s="79">
        <f t="shared" si="78"/>
        <v>0</v>
      </c>
      <c r="DG25" s="79">
        <f t="shared" si="79"/>
        <v>0</v>
      </c>
      <c r="DH25">
        <f t="shared" si="124"/>
        <v>1</v>
      </c>
      <c r="DI25">
        <f t="shared" si="89"/>
        <v>0</v>
      </c>
      <c r="DK25" s="79">
        <f t="shared" si="58"/>
        <v>1</v>
      </c>
      <c r="DL25" s="79">
        <f t="shared" si="59"/>
        <v>0</v>
      </c>
      <c r="DM25">
        <f t="shared" ref="DM25:DN25" si="189">IF(DK25+DL25=0,DM24,(DM24+DK25)*DK25)</f>
        <v>2</v>
      </c>
      <c r="DN25">
        <f t="shared" si="189"/>
        <v>0</v>
      </c>
      <c r="DP25" s="79">
        <f t="shared" si="60"/>
        <v>1</v>
      </c>
      <c r="DQ25" s="79">
        <f t="shared" si="61"/>
        <v>0</v>
      </c>
      <c r="DR25">
        <f t="shared" ref="DR25:DS25" si="190">IF(DP25+DQ25=0,DR24,(DR24+DP25)*DP25)</f>
        <v>1</v>
      </c>
      <c r="DS25">
        <f t="shared" si="190"/>
        <v>0</v>
      </c>
      <c r="DU25" s="79">
        <f t="shared" si="62"/>
        <v>0</v>
      </c>
      <c r="DV25" s="79">
        <f t="shared" si="63"/>
        <v>0</v>
      </c>
      <c r="DW25">
        <f t="shared" ref="DW25:DX25" si="191">IF(DU25+DV25=0,DW24,(DW24+DU25)*DU25)</f>
        <v>0</v>
      </c>
      <c r="DX25">
        <f t="shared" si="191"/>
        <v>2</v>
      </c>
      <c r="DZ25" s="79">
        <f t="shared" si="64"/>
        <v>0</v>
      </c>
      <c r="EA25" s="79">
        <f t="shared" si="65"/>
        <v>0</v>
      </c>
      <c r="EB25">
        <f t="shared" ref="EB25:EC25" si="192">IF(DZ25+EA25=0,EB24,(EB24+DZ25)*DZ25)</f>
        <v>0</v>
      </c>
      <c r="EC25">
        <f t="shared" si="192"/>
        <v>1</v>
      </c>
      <c r="EH25" s="80"/>
      <c r="EI25" s="69"/>
      <c r="EK25" s="80"/>
      <c r="EL25" s="69"/>
      <c r="EN25" s="80"/>
      <c r="EO25" s="69"/>
      <c r="EQ25" s="80"/>
      <c r="ER25" s="69"/>
    </row>
    <row r="26" spans="1:148">
      <c r="A26" s="29">
        <v>25</v>
      </c>
      <c r="B26" s="64" t="s">
        <v>42</v>
      </c>
      <c r="C26" s="64" t="s">
        <v>17</v>
      </c>
      <c r="D26" s="64" t="s">
        <v>33</v>
      </c>
      <c r="E26" s="64" t="s">
        <v>44</v>
      </c>
      <c r="F26" s="63"/>
      <c r="G26" s="64" t="s">
        <v>19</v>
      </c>
      <c r="H26" s="64" t="s">
        <v>32</v>
      </c>
      <c r="I26" s="64" t="s">
        <v>18</v>
      </c>
      <c r="J26" s="64" t="s">
        <v>38</v>
      </c>
      <c r="L26" s="30"/>
      <c r="M26" s="41" t="s">
        <v>61</v>
      </c>
      <c r="N26" s="42">
        <f t="shared" si="80"/>
        <v>0</v>
      </c>
      <c r="O26" s="43">
        <f t="shared" si="81"/>
        <v>0</v>
      </c>
      <c r="P26" s="44" t="str">
        <f t="shared" si="170"/>
        <v>-</v>
      </c>
      <c r="Q26" s="42">
        <f t="shared" si="82"/>
        <v>0</v>
      </c>
      <c r="R26" s="43">
        <f t="shared" si="83"/>
        <v>0</v>
      </c>
      <c r="S26" s="44" t="str">
        <f t="shared" si="171"/>
        <v>-</v>
      </c>
      <c r="T26" s="42">
        <f t="shared" si="84"/>
        <v>0</v>
      </c>
      <c r="U26" s="43">
        <f t="shared" si="85"/>
        <v>0</v>
      </c>
      <c r="V26" s="44" t="str">
        <f t="shared" si="172"/>
        <v>-</v>
      </c>
      <c r="W26" s="42">
        <f t="shared" si="86"/>
        <v>0</v>
      </c>
      <c r="X26" s="43">
        <f t="shared" si="87"/>
        <v>0</v>
      </c>
      <c r="Y26" s="45" t="str">
        <f t="shared" si="173"/>
        <v>-</v>
      </c>
      <c r="Z26" s="46">
        <f t="shared" si="174"/>
        <v>0</v>
      </c>
      <c r="AA26" s="28">
        <f t="shared" si="175"/>
        <v>0</v>
      </c>
      <c r="AB26" s="47" t="str">
        <f t="shared" si="176"/>
        <v>-</v>
      </c>
      <c r="AH26" s="72">
        <f t="shared" si="66"/>
        <v>1</v>
      </c>
      <c r="AI26" s="72">
        <f t="shared" si="67"/>
        <v>0</v>
      </c>
      <c r="AJ26" s="72">
        <f t="shared" si="0"/>
        <v>1</v>
      </c>
      <c r="AK26" s="72">
        <f t="shared" si="1"/>
        <v>0</v>
      </c>
      <c r="AL26" s="72">
        <f t="shared" si="2"/>
        <v>1</v>
      </c>
      <c r="AM26" s="72">
        <f t="shared" si="3"/>
        <v>0</v>
      </c>
      <c r="AN26" s="72">
        <f t="shared" si="4"/>
        <v>1</v>
      </c>
      <c r="AO26" s="72">
        <f t="shared" si="5"/>
        <v>0</v>
      </c>
      <c r="AP26" s="72">
        <f t="shared" si="6"/>
        <v>0</v>
      </c>
      <c r="AQ26" s="72">
        <f t="shared" si="7"/>
        <v>0</v>
      </c>
      <c r="AR26" s="72">
        <f t="shared" si="8"/>
        <v>0</v>
      </c>
      <c r="AS26" s="72">
        <f t="shared" si="9"/>
        <v>1</v>
      </c>
      <c r="AT26" s="72">
        <f t="shared" si="10"/>
        <v>0</v>
      </c>
      <c r="AU26" s="72">
        <f t="shared" si="11"/>
        <v>0</v>
      </c>
      <c r="AV26" s="72">
        <f t="shared" si="12"/>
        <v>1</v>
      </c>
      <c r="AW26" s="72">
        <f t="shared" si="13"/>
        <v>0</v>
      </c>
      <c r="AX26" s="72">
        <f t="shared" si="14"/>
        <v>0</v>
      </c>
      <c r="AY26" s="72">
        <f t="shared" si="15"/>
        <v>1</v>
      </c>
      <c r="AZ26" s="72">
        <f t="shared" si="16"/>
        <v>0</v>
      </c>
      <c r="BA26" s="72">
        <f t="shared" si="17"/>
        <v>0</v>
      </c>
      <c r="BB26" s="72">
        <f t="shared" si="18"/>
        <v>1</v>
      </c>
      <c r="BC26" s="72">
        <f t="shared" si="19"/>
        <v>0</v>
      </c>
      <c r="BD26" s="72">
        <f t="shared" si="20"/>
        <v>0</v>
      </c>
      <c r="BE26" s="72">
        <f t="shared" si="21"/>
        <v>0</v>
      </c>
      <c r="BF26" s="72">
        <f t="shared" si="22"/>
        <v>0</v>
      </c>
      <c r="BG26" s="72">
        <f t="shared" si="23"/>
        <v>0</v>
      </c>
      <c r="BH26" s="72">
        <f t="shared" si="24"/>
        <v>0</v>
      </c>
      <c r="BI26" s="72">
        <f t="shared" si="25"/>
        <v>0</v>
      </c>
      <c r="BJ26" s="72">
        <f t="shared" si="26"/>
        <v>0</v>
      </c>
      <c r="BK26" s="72">
        <f t="shared" si="27"/>
        <v>0</v>
      </c>
      <c r="BL26" s="72">
        <f t="shared" si="28"/>
        <v>0</v>
      </c>
      <c r="BM26" s="72">
        <f t="shared" si="29"/>
        <v>1</v>
      </c>
      <c r="BN26" s="72">
        <f t="shared" si="30"/>
        <v>0</v>
      </c>
      <c r="BO26" s="72">
        <f t="shared" si="31"/>
        <v>0</v>
      </c>
      <c r="BP26" s="72">
        <f t="shared" si="32"/>
        <v>0</v>
      </c>
      <c r="BQ26" s="72">
        <f t="shared" si="33"/>
        <v>1</v>
      </c>
      <c r="BR26" s="72">
        <f t="shared" si="34"/>
        <v>0</v>
      </c>
      <c r="BS26" s="72">
        <f t="shared" si="35"/>
        <v>0</v>
      </c>
      <c r="BT26" s="72">
        <f t="shared" si="36"/>
        <v>0</v>
      </c>
      <c r="BU26" s="72">
        <f t="shared" si="37"/>
        <v>0</v>
      </c>
      <c r="BW26">
        <f t="shared" si="38"/>
        <v>0</v>
      </c>
      <c r="BX26">
        <f t="shared" si="39"/>
        <v>0</v>
      </c>
      <c r="BY26">
        <f t="shared" si="40"/>
        <v>0</v>
      </c>
      <c r="BZ26">
        <f t="shared" si="41"/>
        <v>1</v>
      </c>
      <c r="CA26">
        <f t="shared" si="68"/>
        <v>0</v>
      </c>
      <c r="CB26">
        <f t="shared" si="69"/>
        <v>0</v>
      </c>
      <c r="CD26">
        <f t="shared" si="42"/>
        <v>0</v>
      </c>
      <c r="CE26">
        <f t="shared" si="43"/>
        <v>1</v>
      </c>
      <c r="CF26">
        <f t="shared" si="44"/>
        <v>0</v>
      </c>
      <c r="CG26">
        <f t="shared" si="45"/>
        <v>0</v>
      </c>
      <c r="CH26">
        <f t="shared" si="70"/>
        <v>0</v>
      </c>
      <c r="CI26">
        <f t="shared" si="71"/>
        <v>0</v>
      </c>
      <c r="CK26">
        <f t="shared" si="46"/>
        <v>0</v>
      </c>
      <c r="CL26">
        <f t="shared" si="47"/>
        <v>0</v>
      </c>
      <c r="CM26">
        <f t="shared" si="48"/>
        <v>0</v>
      </c>
      <c r="CN26">
        <f t="shared" si="49"/>
        <v>0</v>
      </c>
      <c r="CO26">
        <f t="shared" si="72"/>
        <v>0</v>
      </c>
      <c r="CP26">
        <f t="shared" si="73"/>
        <v>0</v>
      </c>
      <c r="CR26">
        <f t="shared" si="50"/>
        <v>1</v>
      </c>
      <c r="CS26">
        <f t="shared" si="51"/>
        <v>0</v>
      </c>
      <c r="CT26">
        <f t="shared" si="52"/>
        <v>0</v>
      </c>
      <c r="CU26">
        <f t="shared" si="53"/>
        <v>0</v>
      </c>
      <c r="CV26">
        <f t="shared" si="74"/>
        <v>0</v>
      </c>
      <c r="CW26">
        <f t="shared" si="75"/>
        <v>0</v>
      </c>
      <c r="CY26">
        <f t="shared" si="54"/>
        <v>1</v>
      </c>
      <c r="CZ26">
        <f t="shared" si="55"/>
        <v>0</v>
      </c>
      <c r="DA26">
        <f t="shared" si="56"/>
        <v>0</v>
      </c>
      <c r="DB26">
        <f t="shared" si="57"/>
        <v>1</v>
      </c>
      <c r="DC26">
        <f t="shared" si="76"/>
        <v>1</v>
      </c>
      <c r="DD26">
        <f t="shared" si="77"/>
        <v>0</v>
      </c>
      <c r="DF26" s="79">
        <f t="shared" si="78"/>
        <v>0</v>
      </c>
      <c r="DG26" s="79">
        <f t="shared" si="79"/>
        <v>0</v>
      </c>
      <c r="DH26">
        <f t="shared" si="124"/>
        <v>1</v>
      </c>
      <c r="DI26">
        <f t="shared" si="89"/>
        <v>0</v>
      </c>
      <c r="DK26" s="79">
        <f t="shared" si="58"/>
        <v>0</v>
      </c>
      <c r="DL26" s="79">
        <f t="shared" si="59"/>
        <v>0</v>
      </c>
      <c r="DM26">
        <f t="shared" ref="DM26:DN26" si="193">IF(DK26+DL26=0,DM25,(DM25+DK26)*DK26)</f>
        <v>2</v>
      </c>
      <c r="DN26">
        <f t="shared" si="193"/>
        <v>0</v>
      </c>
      <c r="DP26" s="79">
        <f t="shared" si="60"/>
        <v>0</v>
      </c>
      <c r="DQ26" s="79">
        <f t="shared" si="61"/>
        <v>1</v>
      </c>
      <c r="DR26">
        <f t="shared" ref="DR26:DS26" si="194">IF(DP26+DQ26=0,DR25,(DR25+DP26)*DP26)</f>
        <v>0</v>
      </c>
      <c r="DS26">
        <f t="shared" si="194"/>
        <v>1</v>
      </c>
      <c r="DU26" s="79">
        <f t="shared" si="62"/>
        <v>0</v>
      </c>
      <c r="DV26" s="79">
        <f t="shared" si="63"/>
        <v>0</v>
      </c>
      <c r="DW26">
        <f t="shared" ref="DW26:DX26" si="195">IF(DU26+DV26=0,DW25,(DW25+DU26)*DU26)</f>
        <v>0</v>
      </c>
      <c r="DX26">
        <f t="shared" si="195"/>
        <v>2</v>
      </c>
      <c r="DZ26" s="79">
        <f t="shared" si="64"/>
        <v>0</v>
      </c>
      <c r="EA26" s="79">
        <f t="shared" si="65"/>
        <v>0</v>
      </c>
      <c r="EB26">
        <f t="shared" ref="EB26:EC26" si="196">IF(DZ26+EA26=0,EB25,(EB25+DZ26)*DZ26)</f>
        <v>0</v>
      </c>
      <c r="EC26">
        <f t="shared" si="196"/>
        <v>1</v>
      </c>
      <c r="EH26" s="80"/>
      <c r="EI26" s="69"/>
      <c r="EK26" s="80"/>
      <c r="EL26" s="69"/>
      <c r="EN26" s="80"/>
      <c r="EO26" s="69"/>
      <c r="EQ26" s="80"/>
      <c r="ER26" s="69"/>
    </row>
    <row r="27" spans="1:148">
      <c r="A27" s="29">
        <v>26</v>
      </c>
      <c r="B27" s="64" t="s">
        <v>321</v>
      </c>
      <c r="C27" s="64" t="s">
        <v>32</v>
      </c>
      <c r="D27" s="64" t="s">
        <v>40</v>
      </c>
      <c r="E27" s="64" t="s">
        <v>34</v>
      </c>
      <c r="F27" s="63"/>
      <c r="G27" s="64" t="s">
        <v>38</v>
      </c>
      <c r="H27" s="64" t="s">
        <v>46</v>
      </c>
      <c r="I27" s="64" t="s">
        <v>47</v>
      </c>
      <c r="J27" s="64" t="s">
        <v>339</v>
      </c>
      <c r="L27" s="30"/>
      <c r="M27" s="41" t="s">
        <v>62</v>
      </c>
      <c r="N27" s="42">
        <f t="shared" si="80"/>
        <v>0</v>
      </c>
      <c r="O27" s="43">
        <f t="shared" si="81"/>
        <v>0</v>
      </c>
      <c r="P27" s="44" t="str">
        <f t="shared" si="170"/>
        <v>-</v>
      </c>
      <c r="Q27" s="42">
        <f t="shared" si="82"/>
        <v>0</v>
      </c>
      <c r="R27" s="43">
        <f t="shared" si="83"/>
        <v>0</v>
      </c>
      <c r="S27" s="44" t="str">
        <f t="shared" si="171"/>
        <v>-</v>
      </c>
      <c r="T27" s="42">
        <f t="shared" si="84"/>
        <v>0</v>
      </c>
      <c r="U27" s="43">
        <f t="shared" si="85"/>
        <v>0</v>
      </c>
      <c r="V27" s="44" t="str">
        <f t="shared" si="172"/>
        <v>-</v>
      </c>
      <c r="W27" s="42">
        <f t="shared" si="86"/>
        <v>0</v>
      </c>
      <c r="X27" s="43">
        <f t="shared" si="87"/>
        <v>0</v>
      </c>
      <c r="Y27" s="45" t="str">
        <f t="shared" si="173"/>
        <v>-</v>
      </c>
      <c r="Z27" s="46">
        <f t="shared" si="174"/>
        <v>0</v>
      </c>
      <c r="AA27" s="28">
        <f t="shared" si="175"/>
        <v>0</v>
      </c>
      <c r="AB27" s="47" t="str">
        <f t="shared" si="176"/>
        <v>-</v>
      </c>
      <c r="AH27" s="72">
        <f t="shared" si="66"/>
        <v>0</v>
      </c>
      <c r="AI27" s="72">
        <f t="shared" si="67"/>
        <v>1</v>
      </c>
      <c r="AJ27" s="72">
        <f t="shared" si="0"/>
        <v>0</v>
      </c>
      <c r="AK27" s="72">
        <f t="shared" si="1"/>
        <v>1</v>
      </c>
      <c r="AL27" s="72">
        <f t="shared" si="2"/>
        <v>0</v>
      </c>
      <c r="AM27" s="72">
        <f t="shared" si="3"/>
        <v>0</v>
      </c>
      <c r="AN27" s="72">
        <f t="shared" si="4"/>
        <v>0</v>
      </c>
      <c r="AO27" s="72">
        <f t="shared" si="5"/>
        <v>0</v>
      </c>
      <c r="AP27" s="72">
        <f t="shared" si="6"/>
        <v>0</v>
      </c>
      <c r="AQ27" s="72">
        <f t="shared" si="7"/>
        <v>0</v>
      </c>
      <c r="AR27" s="72">
        <f t="shared" si="8"/>
        <v>1</v>
      </c>
      <c r="AS27" s="72">
        <f t="shared" si="9"/>
        <v>0</v>
      </c>
      <c r="AT27" s="72">
        <f t="shared" si="10"/>
        <v>0</v>
      </c>
      <c r="AU27" s="72">
        <f t="shared" si="11"/>
        <v>1</v>
      </c>
      <c r="AV27" s="72">
        <f t="shared" si="12"/>
        <v>0</v>
      </c>
      <c r="AW27" s="72">
        <f t="shared" si="13"/>
        <v>0</v>
      </c>
      <c r="AX27" s="72">
        <f t="shared" si="14"/>
        <v>0</v>
      </c>
      <c r="AY27" s="72">
        <f t="shared" si="15"/>
        <v>0</v>
      </c>
      <c r="AZ27" s="72">
        <f t="shared" si="16"/>
        <v>0</v>
      </c>
      <c r="BA27" s="72">
        <f t="shared" si="17"/>
        <v>0</v>
      </c>
      <c r="BB27" s="72">
        <f t="shared" si="18"/>
        <v>0</v>
      </c>
      <c r="BC27" s="72">
        <f t="shared" si="19"/>
        <v>0</v>
      </c>
      <c r="BD27" s="72">
        <f t="shared" si="20"/>
        <v>1</v>
      </c>
      <c r="BE27" s="72">
        <f t="shared" si="21"/>
        <v>0</v>
      </c>
      <c r="BF27" s="72">
        <f t="shared" si="22"/>
        <v>1</v>
      </c>
      <c r="BG27" s="72">
        <f t="shared" si="23"/>
        <v>0</v>
      </c>
      <c r="BH27" s="72">
        <f t="shared" si="24"/>
        <v>1</v>
      </c>
      <c r="BI27" s="72">
        <f t="shared" si="25"/>
        <v>0</v>
      </c>
      <c r="BJ27" s="72">
        <f t="shared" si="26"/>
        <v>0</v>
      </c>
      <c r="BK27" s="72">
        <f t="shared" si="27"/>
        <v>1</v>
      </c>
      <c r="BL27" s="72">
        <f t="shared" si="28"/>
        <v>0</v>
      </c>
      <c r="BM27" s="72">
        <f t="shared" si="29"/>
        <v>1</v>
      </c>
      <c r="BN27" s="72">
        <f t="shared" si="30"/>
        <v>0</v>
      </c>
      <c r="BO27" s="72">
        <f t="shared" si="31"/>
        <v>0</v>
      </c>
      <c r="BP27" s="72">
        <f t="shared" si="32"/>
        <v>0</v>
      </c>
      <c r="BQ27" s="72">
        <f t="shared" si="33"/>
        <v>0</v>
      </c>
      <c r="BR27" s="72">
        <f t="shared" si="34"/>
        <v>0</v>
      </c>
      <c r="BS27" s="72">
        <f t="shared" si="35"/>
        <v>0</v>
      </c>
      <c r="BT27" s="72">
        <f t="shared" si="36"/>
        <v>0</v>
      </c>
      <c r="BU27" s="72">
        <f t="shared" si="37"/>
        <v>0</v>
      </c>
      <c r="BW27">
        <f t="shared" si="38"/>
        <v>0</v>
      </c>
      <c r="BX27">
        <f t="shared" si="39"/>
        <v>1</v>
      </c>
      <c r="BY27">
        <f t="shared" si="40"/>
        <v>1</v>
      </c>
      <c r="BZ27">
        <f t="shared" si="41"/>
        <v>0</v>
      </c>
      <c r="CA27">
        <f t="shared" si="68"/>
        <v>0</v>
      </c>
      <c r="CB27">
        <f t="shared" si="69"/>
        <v>1</v>
      </c>
      <c r="CD27">
        <f t="shared" si="42"/>
        <v>0</v>
      </c>
      <c r="CE27">
        <f t="shared" si="43"/>
        <v>0</v>
      </c>
      <c r="CF27">
        <f t="shared" si="44"/>
        <v>1</v>
      </c>
      <c r="CG27">
        <f t="shared" si="45"/>
        <v>0</v>
      </c>
      <c r="CH27">
        <f t="shared" si="70"/>
        <v>0</v>
      </c>
      <c r="CI27">
        <f t="shared" si="71"/>
        <v>0</v>
      </c>
      <c r="CK27">
        <f t="shared" si="46"/>
        <v>0</v>
      </c>
      <c r="CL27">
        <f t="shared" si="47"/>
        <v>0</v>
      </c>
      <c r="CM27">
        <f t="shared" si="48"/>
        <v>1</v>
      </c>
      <c r="CN27">
        <f t="shared" si="49"/>
        <v>0</v>
      </c>
      <c r="CO27">
        <f t="shared" si="72"/>
        <v>0</v>
      </c>
      <c r="CP27">
        <f t="shared" si="73"/>
        <v>0</v>
      </c>
      <c r="CR27">
        <f t="shared" si="50"/>
        <v>0</v>
      </c>
      <c r="CS27">
        <f t="shared" si="51"/>
        <v>1</v>
      </c>
      <c r="CT27">
        <f t="shared" si="52"/>
        <v>0</v>
      </c>
      <c r="CU27">
        <f t="shared" si="53"/>
        <v>0</v>
      </c>
      <c r="CV27">
        <f t="shared" si="74"/>
        <v>0</v>
      </c>
      <c r="CW27">
        <f t="shared" si="75"/>
        <v>0</v>
      </c>
      <c r="CY27">
        <f t="shared" si="54"/>
        <v>0</v>
      </c>
      <c r="CZ27">
        <f t="shared" si="55"/>
        <v>1</v>
      </c>
      <c r="DA27">
        <f t="shared" si="56"/>
        <v>0</v>
      </c>
      <c r="DB27">
        <f t="shared" si="57"/>
        <v>0</v>
      </c>
      <c r="DC27">
        <f t="shared" si="76"/>
        <v>0</v>
      </c>
      <c r="DD27">
        <f t="shared" si="77"/>
        <v>0</v>
      </c>
      <c r="DF27" s="79">
        <f t="shared" si="78"/>
        <v>0</v>
      </c>
      <c r="DG27" s="79">
        <f t="shared" si="79"/>
        <v>0</v>
      </c>
      <c r="DH27">
        <f t="shared" si="124"/>
        <v>1</v>
      </c>
      <c r="DI27">
        <f t="shared" si="89"/>
        <v>0</v>
      </c>
      <c r="DK27" s="79">
        <f t="shared" si="58"/>
        <v>0</v>
      </c>
      <c r="DL27" s="79">
        <f t="shared" si="59"/>
        <v>0</v>
      </c>
      <c r="DM27">
        <f t="shared" ref="DM27:DN27" si="197">IF(DK27+DL27=0,DM26,(DM26+DK27)*DK27)</f>
        <v>2</v>
      </c>
      <c r="DN27">
        <f t="shared" si="197"/>
        <v>0</v>
      </c>
      <c r="DP27" s="79">
        <f t="shared" si="60"/>
        <v>0</v>
      </c>
      <c r="DQ27" s="79">
        <f t="shared" si="61"/>
        <v>0</v>
      </c>
      <c r="DR27">
        <f t="shared" ref="DR27:DS27" si="198">IF(DP27+DQ27=0,DR26,(DR26+DP27)*DP27)</f>
        <v>0</v>
      </c>
      <c r="DS27">
        <f t="shared" si="198"/>
        <v>1</v>
      </c>
      <c r="DU27" s="79">
        <f t="shared" si="62"/>
        <v>0</v>
      </c>
      <c r="DV27" s="79">
        <f t="shared" si="63"/>
        <v>0</v>
      </c>
      <c r="DW27">
        <f t="shared" ref="DW27:DX27" si="199">IF(DU27+DV27=0,DW26,(DW26+DU27)*DU27)</f>
        <v>0</v>
      </c>
      <c r="DX27">
        <f t="shared" si="199"/>
        <v>2</v>
      </c>
      <c r="DZ27" s="79">
        <f t="shared" si="64"/>
        <v>1</v>
      </c>
      <c r="EA27" s="79">
        <f t="shared" si="65"/>
        <v>0</v>
      </c>
      <c r="EB27">
        <f t="shared" ref="EB27:EC27" si="200">IF(DZ27+EA27=0,EB26,(EB26+DZ27)*DZ27)</f>
        <v>1</v>
      </c>
      <c r="EC27">
        <f t="shared" si="200"/>
        <v>0</v>
      </c>
      <c r="EH27" s="80"/>
      <c r="EI27" s="69"/>
      <c r="EK27" s="80"/>
      <c r="EL27" s="69"/>
      <c r="EN27" s="80"/>
      <c r="EO27" s="69"/>
      <c r="EQ27" s="80"/>
      <c r="ER27" s="69"/>
    </row>
    <row r="28" spans="1:148">
      <c r="A28" s="29">
        <v>27</v>
      </c>
      <c r="B28" s="64" t="s">
        <v>18</v>
      </c>
      <c r="C28" s="64" t="s">
        <v>46</v>
      </c>
      <c r="D28" s="64" t="s">
        <v>47</v>
      </c>
      <c r="E28" s="64" t="s">
        <v>38</v>
      </c>
      <c r="F28" s="63"/>
      <c r="G28" s="64" t="s">
        <v>321</v>
      </c>
      <c r="H28" s="64" t="s">
        <v>37</v>
      </c>
      <c r="I28" s="64" t="s">
        <v>26</v>
      </c>
      <c r="J28" s="64" t="s">
        <v>20</v>
      </c>
      <c r="L28" s="30"/>
      <c r="M28" s="41" t="s">
        <v>84</v>
      </c>
      <c r="N28" s="42">
        <f t="shared" si="80"/>
        <v>0</v>
      </c>
      <c r="O28" s="43">
        <f t="shared" si="81"/>
        <v>0</v>
      </c>
      <c r="P28" s="44" t="str">
        <f t="shared" ref="P28:P38" si="201">IF(N28+O28=0,"-",N28/(N28+O28))</f>
        <v>-</v>
      </c>
      <c r="Q28" s="42">
        <f t="shared" si="82"/>
        <v>0</v>
      </c>
      <c r="R28" s="43">
        <f t="shared" si="83"/>
        <v>0</v>
      </c>
      <c r="S28" s="44" t="str">
        <f t="shared" ref="S28:S38" si="202">IF(Q28+R28=0,"-",Q28/(Q28+R28))</f>
        <v>-</v>
      </c>
      <c r="T28" s="42">
        <f t="shared" si="84"/>
        <v>0</v>
      </c>
      <c r="U28" s="43">
        <f t="shared" si="85"/>
        <v>0</v>
      </c>
      <c r="V28" s="44" t="str">
        <f t="shared" ref="V28:V38" si="203">IF(T28+U28=0,"-",T28/(T28+U28))</f>
        <v>-</v>
      </c>
      <c r="W28" s="42">
        <f t="shared" si="86"/>
        <v>0</v>
      </c>
      <c r="X28" s="43">
        <f t="shared" si="87"/>
        <v>0</v>
      </c>
      <c r="Y28" s="45" t="str">
        <f t="shared" ref="Y28:Y38" si="204">IF(W28+X28=0,"-",W28/(W28+X28))</f>
        <v>-</v>
      </c>
      <c r="Z28" s="46">
        <f t="shared" ref="Z28:Z38" si="205">N28+Q28+T28+W28</f>
        <v>0</v>
      </c>
      <c r="AA28" s="28">
        <f t="shared" ref="AA28:AA38" si="206">O28+R28+U28+X28</f>
        <v>0</v>
      </c>
      <c r="AB28" s="47" t="str">
        <f t="shared" ref="AB28:AB38" si="207">IF(Z28+AA28=0,"-",Z28/(Z28+AA28))</f>
        <v>-</v>
      </c>
      <c r="AH28" s="72">
        <f t="shared" si="66"/>
        <v>1</v>
      </c>
      <c r="AI28" s="72">
        <f t="shared" si="67"/>
        <v>0</v>
      </c>
      <c r="AJ28" s="72">
        <f t="shared" si="0"/>
        <v>1</v>
      </c>
      <c r="AK28" s="72">
        <f t="shared" si="1"/>
        <v>0</v>
      </c>
      <c r="AL28" s="72">
        <f t="shared" si="2"/>
        <v>0</v>
      </c>
      <c r="AM28" s="72">
        <f t="shared" si="3"/>
        <v>1</v>
      </c>
      <c r="AN28" s="72">
        <f t="shared" si="4"/>
        <v>0</v>
      </c>
      <c r="AO28" s="72">
        <f t="shared" si="5"/>
        <v>1</v>
      </c>
      <c r="AP28" s="72">
        <f t="shared" si="6"/>
        <v>0</v>
      </c>
      <c r="AQ28" s="72">
        <f t="shared" si="7"/>
        <v>1</v>
      </c>
      <c r="AR28" s="72">
        <f t="shared" si="8"/>
        <v>0</v>
      </c>
      <c r="AS28" s="72">
        <f t="shared" si="9"/>
        <v>1</v>
      </c>
      <c r="AT28" s="72">
        <f t="shared" si="10"/>
        <v>1</v>
      </c>
      <c r="AU28" s="72">
        <f t="shared" si="11"/>
        <v>1</v>
      </c>
      <c r="AV28" s="72">
        <f t="shared" si="12"/>
        <v>0</v>
      </c>
      <c r="AW28" s="72">
        <f t="shared" si="13"/>
        <v>1</v>
      </c>
      <c r="AX28" s="72">
        <f t="shared" si="14"/>
        <v>0</v>
      </c>
      <c r="AY28" s="72">
        <f t="shared" si="15"/>
        <v>1</v>
      </c>
      <c r="AZ28" s="72">
        <f t="shared" si="16"/>
        <v>0</v>
      </c>
      <c r="BA28" s="72">
        <f t="shared" si="17"/>
        <v>2</v>
      </c>
      <c r="BB28" s="72">
        <f t="shared" si="18"/>
        <v>0</v>
      </c>
      <c r="BC28" s="72">
        <f t="shared" si="19"/>
        <v>1</v>
      </c>
      <c r="BD28" s="72">
        <f t="shared" si="20"/>
        <v>0</v>
      </c>
      <c r="BE28" s="72">
        <f t="shared" si="21"/>
        <v>1</v>
      </c>
      <c r="BF28" s="72">
        <f t="shared" si="22"/>
        <v>0</v>
      </c>
      <c r="BG28" s="72">
        <f t="shared" si="23"/>
        <v>2</v>
      </c>
      <c r="BH28" s="72">
        <f t="shared" si="24"/>
        <v>0</v>
      </c>
      <c r="BI28" s="72">
        <f t="shared" si="25"/>
        <v>1</v>
      </c>
      <c r="BJ28" s="72">
        <f t="shared" si="26"/>
        <v>1</v>
      </c>
      <c r="BK28" s="72">
        <f t="shared" si="27"/>
        <v>1</v>
      </c>
      <c r="BL28" s="72">
        <f t="shared" si="28"/>
        <v>1</v>
      </c>
      <c r="BM28" s="72">
        <f t="shared" si="29"/>
        <v>1</v>
      </c>
      <c r="BN28" s="72">
        <f t="shared" si="30"/>
        <v>0</v>
      </c>
      <c r="BO28" s="72">
        <f t="shared" si="31"/>
        <v>1</v>
      </c>
      <c r="BP28" s="72">
        <f t="shared" si="32"/>
        <v>1</v>
      </c>
      <c r="BQ28" s="72">
        <f t="shared" si="33"/>
        <v>1</v>
      </c>
      <c r="BR28" s="72">
        <f t="shared" si="34"/>
        <v>0</v>
      </c>
      <c r="BS28" s="72">
        <f t="shared" si="35"/>
        <v>2</v>
      </c>
      <c r="BT28" s="72">
        <f t="shared" si="36"/>
        <v>0</v>
      </c>
      <c r="BU28" s="72">
        <f t="shared" si="37"/>
        <v>0</v>
      </c>
      <c r="BW28">
        <f t="shared" si="38"/>
        <v>1</v>
      </c>
      <c r="BX28">
        <f t="shared" si="39"/>
        <v>0</v>
      </c>
      <c r="BY28">
        <f t="shared" si="40"/>
        <v>0</v>
      </c>
      <c r="BZ28">
        <f t="shared" si="41"/>
        <v>0</v>
      </c>
      <c r="CA28">
        <f t="shared" si="68"/>
        <v>0</v>
      </c>
      <c r="CB28">
        <f t="shared" si="69"/>
        <v>0</v>
      </c>
      <c r="CD28">
        <f t="shared" si="42"/>
        <v>1</v>
      </c>
      <c r="CE28">
        <f t="shared" si="43"/>
        <v>0</v>
      </c>
      <c r="CF28">
        <f t="shared" si="44"/>
        <v>0</v>
      </c>
      <c r="CG28">
        <f t="shared" si="45"/>
        <v>0</v>
      </c>
      <c r="CH28">
        <f t="shared" si="70"/>
        <v>0</v>
      </c>
      <c r="CI28">
        <f t="shared" si="71"/>
        <v>0</v>
      </c>
      <c r="CK28">
        <f t="shared" si="46"/>
        <v>1</v>
      </c>
      <c r="CL28">
        <f t="shared" si="47"/>
        <v>0</v>
      </c>
      <c r="CM28">
        <f t="shared" si="48"/>
        <v>0</v>
      </c>
      <c r="CN28">
        <f t="shared" si="49"/>
        <v>0</v>
      </c>
      <c r="CO28">
        <f t="shared" si="72"/>
        <v>0</v>
      </c>
      <c r="CP28">
        <f t="shared" si="73"/>
        <v>0</v>
      </c>
      <c r="CR28">
        <f t="shared" si="50"/>
        <v>0</v>
      </c>
      <c r="CS28">
        <f t="shared" si="51"/>
        <v>0</v>
      </c>
      <c r="CT28">
        <f t="shared" si="52"/>
        <v>0</v>
      </c>
      <c r="CU28">
        <f t="shared" si="53"/>
        <v>0</v>
      </c>
      <c r="CV28">
        <f t="shared" si="74"/>
        <v>0</v>
      </c>
      <c r="CW28">
        <f t="shared" si="75"/>
        <v>0</v>
      </c>
      <c r="CY28">
        <f t="shared" si="54"/>
        <v>0</v>
      </c>
      <c r="CZ28">
        <f t="shared" si="55"/>
        <v>0</v>
      </c>
      <c r="DA28">
        <f t="shared" si="56"/>
        <v>0</v>
      </c>
      <c r="DB28">
        <f t="shared" si="57"/>
        <v>0</v>
      </c>
      <c r="DC28">
        <f t="shared" si="76"/>
        <v>0</v>
      </c>
      <c r="DD28">
        <f t="shared" si="77"/>
        <v>0</v>
      </c>
      <c r="DF28" s="79">
        <f t="shared" si="78"/>
        <v>0</v>
      </c>
      <c r="DG28" s="79">
        <f t="shared" si="79"/>
        <v>0</v>
      </c>
      <c r="DH28">
        <f t="shared" si="124"/>
        <v>1</v>
      </c>
      <c r="DI28">
        <f t="shared" si="89"/>
        <v>0</v>
      </c>
      <c r="DK28" s="79">
        <f t="shared" si="58"/>
        <v>0</v>
      </c>
      <c r="DL28" s="79">
        <f t="shared" si="59"/>
        <v>1</v>
      </c>
      <c r="DM28">
        <f t="shared" ref="DM28:DN28" si="208">IF(DK28+DL28=0,DM27,(DM27+DK28)*DK28)</f>
        <v>0</v>
      </c>
      <c r="DN28">
        <f t="shared" si="208"/>
        <v>1</v>
      </c>
      <c r="DP28" s="79">
        <f t="shared" si="60"/>
        <v>1</v>
      </c>
      <c r="DQ28" s="79">
        <f t="shared" si="61"/>
        <v>0</v>
      </c>
      <c r="DR28">
        <f t="shared" ref="DR28:DS28" si="209">IF(DP28+DQ28=0,DR27,(DR27+DP28)*DP28)</f>
        <v>1</v>
      </c>
      <c r="DS28">
        <f t="shared" si="209"/>
        <v>0</v>
      </c>
      <c r="DU28" s="79">
        <f t="shared" si="62"/>
        <v>0</v>
      </c>
      <c r="DV28" s="79">
        <f t="shared" si="63"/>
        <v>1</v>
      </c>
      <c r="DW28">
        <f t="shared" ref="DW28:DX28" si="210">IF(DU28+DV28=0,DW27,(DW27+DU28)*DU28)</f>
        <v>0</v>
      </c>
      <c r="DX28">
        <f t="shared" si="210"/>
        <v>3</v>
      </c>
      <c r="DZ28" s="79">
        <f t="shared" si="64"/>
        <v>0</v>
      </c>
      <c r="EA28" s="79">
        <f t="shared" si="65"/>
        <v>0</v>
      </c>
      <c r="EB28">
        <f t="shared" ref="EB28:EC28" si="211">IF(DZ28+EA28=0,EB27,(EB27+DZ28)*DZ28)</f>
        <v>1</v>
      </c>
      <c r="EC28">
        <f t="shared" si="211"/>
        <v>0</v>
      </c>
      <c r="EH28" s="80"/>
      <c r="EI28" s="69"/>
      <c r="EK28" s="80"/>
      <c r="EL28" s="69"/>
      <c r="EN28" s="80"/>
      <c r="EO28" s="69"/>
      <c r="EQ28" s="80"/>
      <c r="ER28" s="69"/>
    </row>
    <row r="29" spans="1:148">
      <c r="A29" s="29">
        <v>28</v>
      </c>
      <c r="B29" s="64" t="s">
        <v>28</v>
      </c>
      <c r="C29" s="64" t="s">
        <v>19</v>
      </c>
      <c r="D29" s="64" t="s">
        <v>34</v>
      </c>
      <c r="E29" s="64" t="s">
        <v>33</v>
      </c>
      <c r="F29" s="63"/>
      <c r="G29" s="64" t="s">
        <v>32</v>
      </c>
      <c r="H29" s="64" t="s">
        <v>31</v>
      </c>
      <c r="I29" s="64" t="s">
        <v>17</v>
      </c>
      <c r="J29" s="64" t="s">
        <v>339</v>
      </c>
      <c r="L29" s="30"/>
      <c r="M29" s="41" t="s">
        <v>85</v>
      </c>
      <c r="N29" s="42">
        <f t="shared" si="80"/>
        <v>0</v>
      </c>
      <c r="O29" s="43">
        <f t="shared" si="81"/>
        <v>0</v>
      </c>
      <c r="P29" s="44" t="str">
        <f t="shared" si="201"/>
        <v>-</v>
      </c>
      <c r="Q29" s="42">
        <f t="shared" si="82"/>
        <v>0</v>
      </c>
      <c r="R29" s="43">
        <f t="shared" si="83"/>
        <v>0</v>
      </c>
      <c r="S29" s="44" t="str">
        <f t="shared" si="202"/>
        <v>-</v>
      </c>
      <c r="T29" s="42">
        <f t="shared" si="84"/>
        <v>0</v>
      </c>
      <c r="U29" s="43">
        <f t="shared" si="85"/>
        <v>0</v>
      </c>
      <c r="V29" s="44" t="str">
        <f t="shared" si="203"/>
        <v>-</v>
      </c>
      <c r="W29" s="42">
        <f t="shared" si="86"/>
        <v>0</v>
      </c>
      <c r="X29" s="43">
        <f t="shared" si="87"/>
        <v>0</v>
      </c>
      <c r="Y29" s="45" t="str">
        <f t="shared" si="204"/>
        <v>-</v>
      </c>
      <c r="Z29" s="46">
        <f t="shared" si="205"/>
        <v>0</v>
      </c>
      <c r="AA29" s="28">
        <f t="shared" si="206"/>
        <v>0</v>
      </c>
      <c r="AB29" s="47" t="str">
        <f t="shared" si="207"/>
        <v>-</v>
      </c>
      <c r="AH29" s="72">
        <f t="shared" si="66"/>
        <v>0</v>
      </c>
      <c r="AI29" s="72">
        <f t="shared" si="67"/>
        <v>0</v>
      </c>
      <c r="AJ29" s="72">
        <f t="shared" si="0"/>
        <v>0</v>
      </c>
      <c r="AK29" s="72">
        <f t="shared" si="1"/>
        <v>0</v>
      </c>
      <c r="AL29" s="72">
        <f t="shared" si="2"/>
        <v>0</v>
      </c>
      <c r="AM29" s="72">
        <f t="shared" si="3"/>
        <v>0</v>
      </c>
      <c r="AN29" s="72">
        <f t="shared" si="4"/>
        <v>0</v>
      </c>
      <c r="AO29" s="72">
        <f t="shared" si="5"/>
        <v>1</v>
      </c>
      <c r="AP29" s="72">
        <f t="shared" si="6"/>
        <v>0</v>
      </c>
      <c r="AQ29" s="72">
        <f t="shared" si="7"/>
        <v>1</v>
      </c>
      <c r="AR29" s="72">
        <f t="shared" si="8"/>
        <v>0</v>
      </c>
      <c r="AS29" s="72">
        <f t="shared" si="9"/>
        <v>1</v>
      </c>
      <c r="AT29" s="72">
        <f t="shared" si="10"/>
        <v>0</v>
      </c>
      <c r="AU29" s="72">
        <f t="shared" si="11"/>
        <v>0</v>
      </c>
      <c r="AV29" s="72">
        <f t="shared" si="12"/>
        <v>1</v>
      </c>
      <c r="AW29" s="72">
        <f t="shared" si="13"/>
        <v>0</v>
      </c>
      <c r="AX29" s="72">
        <f t="shared" si="14"/>
        <v>1</v>
      </c>
      <c r="AY29" s="72">
        <f t="shared" si="15"/>
        <v>0</v>
      </c>
      <c r="AZ29" s="72">
        <f t="shared" si="16"/>
        <v>0</v>
      </c>
      <c r="BA29" s="72">
        <f t="shared" si="17"/>
        <v>0</v>
      </c>
      <c r="BB29" s="72">
        <f t="shared" si="18"/>
        <v>0</v>
      </c>
      <c r="BC29" s="72">
        <f t="shared" si="19"/>
        <v>0</v>
      </c>
      <c r="BD29" s="72">
        <f t="shared" si="20"/>
        <v>1</v>
      </c>
      <c r="BE29" s="72">
        <f t="shared" si="21"/>
        <v>0</v>
      </c>
      <c r="BF29" s="72">
        <f t="shared" si="22"/>
        <v>0</v>
      </c>
      <c r="BG29" s="72">
        <f t="shared" si="23"/>
        <v>0</v>
      </c>
      <c r="BH29" s="72">
        <f t="shared" si="24"/>
        <v>0</v>
      </c>
      <c r="BI29" s="72">
        <f t="shared" si="25"/>
        <v>0</v>
      </c>
      <c r="BJ29" s="72">
        <f t="shared" si="26"/>
        <v>0</v>
      </c>
      <c r="BK29" s="72">
        <f t="shared" si="27"/>
        <v>0</v>
      </c>
      <c r="BL29" s="72">
        <f t="shared" si="28"/>
        <v>0</v>
      </c>
      <c r="BM29" s="72">
        <f t="shared" si="29"/>
        <v>0</v>
      </c>
      <c r="BN29" s="72">
        <f t="shared" si="30"/>
        <v>0</v>
      </c>
      <c r="BO29" s="72">
        <f t="shared" si="31"/>
        <v>0</v>
      </c>
      <c r="BP29" s="72">
        <f t="shared" si="32"/>
        <v>0</v>
      </c>
      <c r="BQ29" s="72">
        <f t="shared" si="33"/>
        <v>0</v>
      </c>
      <c r="BR29" s="72">
        <f t="shared" si="34"/>
        <v>0</v>
      </c>
      <c r="BS29" s="72">
        <f t="shared" si="35"/>
        <v>0</v>
      </c>
      <c r="BT29" s="72">
        <f t="shared" si="36"/>
        <v>0</v>
      </c>
      <c r="BU29" s="72">
        <f t="shared" si="37"/>
        <v>0</v>
      </c>
      <c r="BW29">
        <f t="shared" si="38"/>
        <v>0</v>
      </c>
      <c r="BX29">
        <f t="shared" si="39"/>
        <v>0</v>
      </c>
      <c r="BY29">
        <f t="shared" si="40"/>
        <v>0</v>
      </c>
      <c r="BZ29">
        <f t="shared" si="41"/>
        <v>1</v>
      </c>
      <c r="CA29">
        <f t="shared" si="68"/>
        <v>0</v>
      </c>
      <c r="CB29">
        <f t="shared" si="69"/>
        <v>0</v>
      </c>
      <c r="CD29">
        <f t="shared" si="42"/>
        <v>0</v>
      </c>
      <c r="CE29">
        <f t="shared" si="43"/>
        <v>0</v>
      </c>
      <c r="CF29">
        <f t="shared" si="44"/>
        <v>0</v>
      </c>
      <c r="CG29">
        <f t="shared" si="45"/>
        <v>0</v>
      </c>
      <c r="CH29">
        <f t="shared" si="70"/>
        <v>0</v>
      </c>
      <c r="CI29">
        <f t="shared" si="71"/>
        <v>0</v>
      </c>
      <c r="CK29">
        <f t="shared" si="46"/>
        <v>0</v>
      </c>
      <c r="CL29">
        <f t="shared" si="47"/>
        <v>0</v>
      </c>
      <c r="CM29">
        <f t="shared" si="48"/>
        <v>0</v>
      </c>
      <c r="CN29">
        <f t="shared" si="49"/>
        <v>1</v>
      </c>
      <c r="CO29">
        <f t="shared" si="72"/>
        <v>0</v>
      </c>
      <c r="CP29">
        <f t="shared" si="73"/>
        <v>0</v>
      </c>
      <c r="CR29">
        <f t="shared" si="50"/>
        <v>0</v>
      </c>
      <c r="CS29">
        <f t="shared" si="51"/>
        <v>1</v>
      </c>
      <c r="CT29">
        <f t="shared" si="52"/>
        <v>1</v>
      </c>
      <c r="CU29">
        <f t="shared" si="53"/>
        <v>0</v>
      </c>
      <c r="CV29">
        <f t="shared" si="74"/>
        <v>0</v>
      </c>
      <c r="CW29">
        <f t="shared" si="75"/>
        <v>1</v>
      </c>
      <c r="CY29">
        <f t="shared" si="54"/>
        <v>0</v>
      </c>
      <c r="CZ29">
        <f t="shared" si="55"/>
        <v>0</v>
      </c>
      <c r="DA29">
        <f t="shared" si="56"/>
        <v>1</v>
      </c>
      <c r="DB29">
        <f t="shared" si="57"/>
        <v>1</v>
      </c>
      <c r="DC29">
        <f t="shared" si="76"/>
        <v>0</v>
      </c>
      <c r="DD29">
        <f t="shared" si="77"/>
        <v>0</v>
      </c>
      <c r="DF29" s="79">
        <f t="shared" si="78"/>
        <v>0</v>
      </c>
      <c r="DG29" s="79">
        <f t="shared" si="79"/>
        <v>0</v>
      </c>
      <c r="DH29">
        <f t="shared" si="124"/>
        <v>1</v>
      </c>
      <c r="DI29">
        <f t="shared" si="89"/>
        <v>0</v>
      </c>
      <c r="DK29" s="79">
        <f t="shared" si="58"/>
        <v>0</v>
      </c>
      <c r="DL29" s="79">
        <f t="shared" si="59"/>
        <v>0</v>
      </c>
      <c r="DM29">
        <f t="shared" ref="DM29:DN29" si="212">IF(DK29+DL29=0,DM28,(DM28+DK29)*DK29)</f>
        <v>0</v>
      </c>
      <c r="DN29">
        <f t="shared" si="212"/>
        <v>1</v>
      </c>
      <c r="DP29" s="79">
        <f t="shared" si="60"/>
        <v>0</v>
      </c>
      <c r="DQ29" s="79">
        <f t="shared" si="61"/>
        <v>0</v>
      </c>
      <c r="DR29">
        <f t="shared" ref="DR29:DS29" si="213">IF(DP29+DQ29=0,DR28,(DR28+DP29)*DP29)</f>
        <v>1</v>
      </c>
      <c r="DS29">
        <f t="shared" si="213"/>
        <v>0</v>
      </c>
      <c r="DU29" s="79">
        <f t="shared" si="62"/>
        <v>0</v>
      </c>
      <c r="DV29" s="79">
        <f t="shared" si="63"/>
        <v>0</v>
      </c>
      <c r="DW29">
        <f t="shared" ref="DW29:DX29" si="214">IF(DU29+DV29=0,DW28,(DW28+DU29)*DU29)</f>
        <v>0</v>
      </c>
      <c r="DX29">
        <f t="shared" si="214"/>
        <v>3</v>
      </c>
      <c r="DZ29" s="79">
        <f t="shared" si="64"/>
        <v>0</v>
      </c>
      <c r="EA29" s="79">
        <f t="shared" si="65"/>
        <v>0</v>
      </c>
      <c r="EB29">
        <f t="shared" ref="EB29:EC29" si="215">IF(DZ29+EA29=0,EB28,(EB28+DZ29)*DZ29)</f>
        <v>1</v>
      </c>
      <c r="EC29">
        <f t="shared" si="215"/>
        <v>0</v>
      </c>
      <c r="EH29" s="80"/>
      <c r="EI29" s="69"/>
      <c r="EK29" s="80"/>
      <c r="EL29" s="69"/>
      <c r="EN29" s="80"/>
      <c r="EO29" s="69"/>
      <c r="EQ29" s="80"/>
      <c r="ER29" s="69"/>
    </row>
    <row r="30" spans="1:148">
      <c r="A30" s="29">
        <v>29</v>
      </c>
      <c r="B30" s="64" t="s">
        <v>17</v>
      </c>
      <c r="C30" s="64" t="s">
        <v>31</v>
      </c>
      <c r="D30" s="64" t="s">
        <v>18</v>
      </c>
      <c r="E30" s="64" t="s">
        <v>20</v>
      </c>
      <c r="F30" s="63"/>
      <c r="G30" s="64" t="s">
        <v>32</v>
      </c>
      <c r="H30" s="64" t="s">
        <v>37</v>
      </c>
      <c r="I30" s="64" t="s">
        <v>28</v>
      </c>
      <c r="J30" s="64" t="s">
        <v>38</v>
      </c>
      <c r="L30" s="30"/>
      <c r="M30" s="41" t="s">
        <v>88</v>
      </c>
      <c r="N30" s="42">
        <f t="shared" si="80"/>
        <v>3</v>
      </c>
      <c r="O30" s="43">
        <f t="shared" si="81"/>
        <v>3</v>
      </c>
      <c r="P30" s="44">
        <f t="shared" si="201"/>
        <v>0.5</v>
      </c>
      <c r="Q30" s="42">
        <f t="shared" si="82"/>
        <v>0</v>
      </c>
      <c r="R30" s="43">
        <f t="shared" si="83"/>
        <v>2</v>
      </c>
      <c r="S30" s="44">
        <f t="shared" si="202"/>
        <v>0</v>
      </c>
      <c r="T30" s="42">
        <f t="shared" si="84"/>
        <v>3</v>
      </c>
      <c r="U30" s="43">
        <f t="shared" si="85"/>
        <v>3</v>
      </c>
      <c r="V30" s="44">
        <f t="shared" si="203"/>
        <v>0.5</v>
      </c>
      <c r="W30" s="42">
        <f t="shared" si="86"/>
        <v>8</v>
      </c>
      <c r="X30" s="43">
        <f t="shared" si="87"/>
        <v>6</v>
      </c>
      <c r="Y30" s="45">
        <f t="shared" si="204"/>
        <v>0.5714285714285714</v>
      </c>
      <c r="Z30" s="46">
        <f t="shared" si="205"/>
        <v>14</v>
      </c>
      <c r="AA30" s="28">
        <f t="shared" si="206"/>
        <v>14</v>
      </c>
      <c r="AB30" s="47">
        <f t="shared" si="207"/>
        <v>0.5</v>
      </c>
      <c r="AH30" s="72">
        <f t="shared" si="66"/>
        <v>0</v>
      </c>
      <c r="AI30" s="72">
        <f t="shared" si="67"/>
        <v>0</v>
      </c>
      <c r="AJ30" s="72">
        <f t="shared" si="0"/>
        <v>0</v>
      </c>
      <c r="AK30" s="72">
        <f t="shared" si="1"/>
        <v>0</v>
      </c>
      <c r="AL30" s="72">
        <f t="shared" si="2"/>
        <v>0</v>
      </c>
      <c r="AM30" s="72">
        <f t="shared" si="3"/>
        <v>0</v>
      </c>
      <c r="AN30" s="72">
        <f t="shared" si="4"/>
        <v>1</v>
      </c>
      <c r="AO30" s="72">
        <f t="shared" si="5"/>
        <v>0</v>
      </c>
      <c r="AP30" s="72">
        <f t="shared" si="6"/>
        <v>1</v>
      </c>
      <c r="AQ30" s="72">
        <f t="shared" si="7"/>
        <v>0</v>
      </c>
      <c r="AR30" s="72">
        <f t="shared" si="8"/>
        <v>0</v>
      </c>
      <c r="AS30" s="72">
        <f t="shared" si="9"/>
        <v>1</v>
      </c>
      <c r="AT30" s="72">
        <f t="shared" si="10"/>
        <v>0</v>
      </c>
      <c r="AU30" s="72">
        <f t="shared" si="11"/>
        <v>0</v>
      </c>
      <c r="AV30" s="72">
        <f t="shared" si="12"/>
        <v>0</v>
      </c>
      <c r="AW30" s="72">
        <f t="shared" si="13"/>
        <v>0</v>
      </c>
      <c r="AX30" s="72">
        <f t="shared" si="14"/>
        <v>0</v>
      </c>
      <c r="AY30" s="72">
        <f t="shared" si="15"/>
        <v>0</v>
      </c>
      <c r="AZ30" s="72">
        <f t="shared" si="16"/>
        <v>1</v>
      </c>
      <c r="BA30" s="72">
        <f t="shared" si="17"/>
        <v>0</v>
      </c>
      <c r="BB30" s="72">
        <f t="shared" si="18"/>
        <v>0</v>
      </c>
      <c r="BC30" s="72">
        <f t="shared" si="19"/>
        <v>0</v>
      </c>
      <c r="BD30" s="72">
        <f t="shared" si="20"/>
        <v>0</v>
      </c>
      <c r="BE30" s="72">
        <f t="shared" si="21"/>
        <v>0</v>
      </c>
      <c r="BF30" s="72">
        <f t="shared" si="22"/>
        <v>0</v>
      </c>
      <c r="BG30" s="72">
        <f t="shared" si="23"/>
        <v>0</v>
      </c>
      <c r="BH30" s="72">
        <f t="shared" si="24"/>
        <v>0</v>
      </c>
      <c r="BI30" s="72">
        <f t="shared" si="25"/>
        <v>0</v>
      </c>
      <c r="BJ30" s="72">
        <f t="shared" si="26"/>
        <v>0</v>
      </c>
      <c r="BK30" s="72">
        <f t="shared" si="27"/>
        <v>0</v>
      </c>
      <c r="BL30" s="72">
        <f t="shared" si="28"/>
        <v>0</v>
      </c>
      <c r="BM30" s="72">
        <f t="shared" si="29"/>
        <v>1</v>
      </c>
      <c r="BN30" s="72">
        <f t="shared" si="30"/>
        <v>0</v>
      </c>
      <c r="BO30" s="72">
        <f t="shared" si="31"/>
        <v>0</v>
      </c>
      <c r="BP30" s="72">
        <f t="shared" si="32"/>
        <v>1</v>
      </c>
      <c r="BQ30" s="72">
        <f t="shared" si="33"/>
        <v>0</v>
      </c>
      <c r="BR30" s="72">
        <f t="shared" si="34"/>
        <v>0</v>
      </c>
      <c r="BS30" s="72">
        <f t="shared" si="35"/>
        <v>1</v>
      </c>
      <c r="BT30" s="72">
        <f t="shared" si="36"/>
        <v>0</v>
      </c>
      <c r="BU30" s="72">
        <f t="shared" si="37"/>
        <v>0</v>
      </c>
      <c r="BW30">
        <f t="shared" si="38"/>
        <v>0</v>
      </c>
      <c r="BX30">
        <f t="shared" si="39"/>
        <v>0</v>
      </c>
      <c r="BY30">
        <f t="shared" si="40"/>
        <v>0</v>
      </c>
      <c r="BZ30">
        <f t="shared" si="41"/>
        <v>1</v>
      </c>
      <c r="CA30">
        <f t="shared" si="68"/>
        <v>0</v>
      </c>
      <c r="CB30">
        <f t="shared" si="69"/>
        <v>0</v>
      </c>
      <c r="CD30">
        <f t="shared" si="42"/>
        <v>0</v>
      </c>
      <c r="CE30">
        <f t="shared" si="43"/>
        <v>0</v>
      </c>
      <c r="CF30">
        <f t="shared" si="44"/>
        <v>0</v>
      </c>
      <c r="CG30">
        <f t="shared" si="45"/>
        <v>0</v>
      </c>
      <c r="CH30">
        <f t="shared" si="70"/>
        <v>0</v>
      </c>
      <c r="CI30">
        <f t="shared" si="71"/>
        <v>0</v>
      </c>
      <c r="CK30">
        <f t="shared" si="46"/>
        <v>0</v>
      </c>
      <c r="CL30">
        <f t="shared" si="47"/>
        <v>1</v>
      </c>
      <c r="CM30">
        <f t="shared" si="48"/>
        <v>0</v>
      </c>
      <c r="CN30">
        <f t="shared" si="49"/>
        <v>0</v>
      </c>
      <c r="CO30">
        <f t="shared" si="72"/>
        <v>0</v>
      </c>
      <c r="CP30">
        <f t="shared" si="73"/>
        <v>0</v>
      </c>
      <c r="CR30">
        <f t="shared" si="50"/>
        <v>1</v>
      </c>
      <c r="CS30">
        <f t="shared" si="51"/>
        <v>0</v>
      </c>
      <c r="CT30">
        <f t="shared" si="52"/>
        <v>0</v>
      </c>
      <c r="CU30">
        <f t="shared" si="53"/>
        <v>0</v>
      </c>
      <c r="CV30">
        <f t="shared" si="74"/>
        <v>0</v>
      </c>
      <c r="CW30">
        <f t="shared" si="75"/>
        <v>0</v>
      </c>
      <c r="CY30">
        <f t="shared" si="54"/>
        <v>1</v>
      </c>
      <c r="CZ30">
        <f t="shared" si="55"/>
        <v>0</v>
      </c>
      <c r="DA30">
        <f t="shared" si="56"/>
        <v>0</v>
      </c>
      <c r="DB30">
        <f t="shared" si="57"/>
        <v>1</v>
      </c>
      <c r="DC30">
        <f t="shared" si="76"/>
        <v>1</v>
      </c>
      <c r="DD30">
        <f t="shared" si="77"/>
        <v>0</v>
      </c>
      <c r="DF30" s="79">
        <f t="shared" si="78"/>
        <v>0</v>
      </c>
      <c r="DG30" s="79">
        <f t="shared" si="79"/>
        <v>0</v>
      </c>
      <c r="DH30">
        <f t="shared" si="124"/>
        <v>1</v>
      </c>
      <c r="DI30">
        <f t="shared" si="89"/>
        <v>0</v>
      </c>
      <c r="DK30" s="79">
        <f t="shared" si="58"/>
        <v>1</v>
      </c>
      <c r="DL30" s="79">
        <f t="shared" si="59"/>
        <v>0</v>
      </c>
      <c r="DM30">
        <f t="shared" ref="DM30:DN30" si="216">IF(DK30+DL30=0,DM29,(DM29+DK30)*DK30)</f>
        <v>1</v>
      </c>
      <c r="DN30">
        <f t="shared" si="216"/>
        <v>0</v>
      </c>
      <c r="DP30" s="79">
        <f t="shared" si="60"/>
        <v>1</v>
      </c>
      <c r="DQ30" s="79">
        <f t="shared" si="61"/>
        <v>0</v>
      </c>
      <c r="DR30">
        <f t="shared" ref="DR30:DS30" si="217">IF(DP30+DQ30=0,DR29,(DR29+DP30)*DP30)</f>
        <v>2</v>
      </c>
      <c r="DS30">
        <f t="shared" si="217"/>
        <v>0</v>
      </c>
      <c r="DU30" s="79">
        <f t="shared" si="62"/>
        <v>0</v>
      </c>
      <c r="DV30" s="79">
        <f t="shared" si="63"/>
        <v>0</v>
      </c>
      <c r="DW30">
        <f t="shared" ref="DW30:DX30" si="218">IF(DU30+DV30=0,DW29,(DW29+DU30)*DU30)</f>
        <v>0</v>
      </c>
      <c r="DX30">
        <f t="shared" si="218"/>
        <v>3</v>
      </c>
      <c r="DZ30" s="79">
        <f t="shared" si="64"/>
        <v>0</v>
      </c>
      <c r="EA30" s="79">
        <f t="shared" si="65"/>
        <v>0</v>
      </c>
      <c r="EB30">
        <f t="shared" ref="EB30:EC30" si="219">IF(DZ30+EA30=0,EB29,(EB29+DZ30)*DZ30)</f>
        <v>1</v>
      </c>
      <c r="EC30">
        <f t="shared" si="219"/>
        <v>0</v>
      </c>
      <c r="EH30" s="80"/>
      <c r="EI30" s="69"/>
      <c r="EK30" s="80"/>
      <c r="EL30" s="69"/>
      <c r="EN30" s="80"/>
      <c r="EO30" s="69"/>
      <c r="EQ30" s="80"/>
      <c r="ER30" s="69"/>
    </row>
    <row r="31" spans="1:148">
      <c r="A31" s="29">
        <v>30</v>
      </c>
      <c r="B31" s="64" t="s">
        <v>17</v>
      </c>
      <c r="C31" s="64" t="s">
        <v>37</v>
      </c>
      <c r="D31" s="64" t="s">
        <v>36</v>
      </c>
      <c r="E31" s="64" t="s">
        <v>32</v>
      </c>
      <c r="F31" s="63"/>
      <c r="G31" s="64" t="s">
        <v>18</v>
      </c>
      <c r="H31" s="64" t="s">
        <v>38</v>
      </c>
      <c r="I31" s="64" t="s">
        <v>28</v>
      </c>
      <c r="J31" s="64" t="s">
        <v>20</v>
      </c>
      <c r="M31" s="41" t="s">
        <v>89</v>
      </c>
      <c r="N31" s="42">
        <f t="shared" si="80"/>
        <v>0</v>
      </c>
      <c r="O31" s="43">
        <f t="shared" si="81"/>
        <v>0</v>
      </c>
      <c r="P31" s="44" t="str">
        <f t="shared" si="201"/>
        <v>-</v>
      </c>
      <c r="Q31" s="42">
        <f t="shared" si="82"/>
        <v>0</v>
      </c>
      <c r="R31" s="43">
        <f t="shared" si="83"/>
        <v>0</v>
      </c>
      <c r="S31" s="44" t="str">
        <f t="shared" si="202"/>
        <v>-</v>
      </c>
      <c r="T31" s="42">
        <f t="shared" si="84"/>
        <v>0</v>
      </c>
      <c r="U31" s="43">
        <f t="shared" si="85"/>
        <v>0</v>
      </c>
      <c r="V31" s="44" t="str">
        <f t="shared" si="203"/>
        <v>-</v>
      </c>
      <c r="W31" s="42">
        <f t="shared" si="86"/>
        <v>0</v>
      </c>
      <c r="X31" s="43">
        <f t="shared" si="87"/>
        <v>0</v>
      </c>
      <c r="Y31" s="45" t="str">
        <f t="shared" si="204"/>
        <v>-</v>
      </c>
      <c r="Z31" s="46">
        <f t="shared" si="205"/>
        <v>0</v>
      </c>
      <c r="AA31" s="28">
        <f t="shared" si="206"/>
        <v>0</v>
      </c>
      <c r="AB31" s="47" t="str">
        <f t="shared" si="207"/>
        <v>-</v>
      </c>
      <c r="AH31" s="72">
        <f t="shared" si="66"/>
        <v>0</v>
      </c>
      <c r="AI31" s="72">
        <f t="shared" si="67"/>
        <v>0</v>
      </c>
      <c r="AJ31" s="72">
        <f t="shared" si="0"/>
        <v>0</v>
      </c>
      <c r="AK31" s="72">
        <f t="shared" si="1"/>
        <v>0</v>
      </c>
      <c r="AL31" s="72">
        <f t="shared" si="2"/>
        <v>0</v>
      </c>
      <c r="AM31" s="72">
        <f t="shared" si="3"/>
        <v>0</v>
      </c>
      <c r="AN31" s="72">
        <f t="shared" si="4"/>
        <v>1</v>
      </c>
      <c r="AO31" s="72">
        <f t="shared" si="5"/>
        <v>0</v>
      </c>
      <c r="AP31" s="72">
        <f t="shared" si="6"/>
        <v>0</v>
      </c>
      <c r="AQ31" s="72">
        <f t="shared" si="7"/>
        <v>0</v>
      </c>
      <c r="AR31" s="72">
        <f t="shared" si="8"/>
        <v>1</v>
      </c>
      <c r="AS31" s="72">
        <f t="shared" si="9"/>
        <v>0</v>
      </c>
      <c r="AT31" s="72">
        <f t="shared" si="10"/>
        <v>0</v>
      </c>
      <c r="AU31" s="72">
        <f t="shared" si="11"/>
        <v>0</v>
      </c>
      <c r="AV31" s="72">
        <f t="shared" si="12"/>
        <v>0</v>
      </c>
      <c r="AW31" s="72">
        <f t="shared" si="13"/>
        <v>0</v>
      </c>
      <c r="AX31" s="72">
        <f t="shared" si="14"/>
        <v>0</v>
      </c>
      <c r="AY31" s="72">
        <f t="shared" si="15"/>
        <v>0</v>
      </c>
      <c r="AZ31" s="72">
        <f t="shared" si="16"/>
        <v>0</v>
      </c>
      <c r="BA31" s="72">
        <f t="shared" si="17"/>
        <v>1</v>
      </c>
      <c r="BB31" s="72">
        <f t="shared" si="18"/>
        <v>0</v>
      </c>
      <c r="BC31" s="72">
        <f t="shared" si="19"/>
        <v>0</v>
      </c>
      <c r="BD31" s="72">
        <f t="shared" si="20"/>
        <v>0</v>
      </c>
      <c r="BE31" s="72">
        <f t="shared" si="21"/>
        <v>0</v>
      </c>
      <c r="BF31" s="72">
        <f t="shared" si="22"/>
        <v>0</v>
      </c>
      <c r="BG31" s="72">
        <f t="shared" si="23"/>
        <v>0</v>
      </c>
      <c r="BH31" s="72">
        <f t="shared" si="24"/>
        <v>0</v>
      </c>
      <c r="BI31" s="72">
        <f t="shared" si="25"/>
        <v>0</v>
      </c>
      <c r="BJ31" s="72">
        <f t="shared" si="26"/>
        <v>0</v>
      </c>
      <c r="BK31" s="72">
        <f t="shared" si="27"/>
        <v>0</v>
      </c>
      <c r="BL31" s="72">
        <f t="shared" si="28"/>
        <v>0</v>
      </c>
      <c r="BM31" s="72">
        <f t="shared" si="29"/>
        <v>1</v>
      </c>
      <c r="BN31" s="72">
        <f t="shared" si="30"/>
        <v>1</v>
      </c>
      <c r="BO31" s="72">
        <f t="shared" si="31"/>
        <v>0</v>
      </c>
      <c r="BP31" s="72">
        <f t="shared" si="32"/>
        <v>0</v>
      </c>
      <c r="BQ31" s="72">
        <f t="shared" si="33"/>
        <v>1</v>
      </c>
      <c r="BR31" s="72">
        <f t="shared" si="34"/>
        <v>1</v>
      </c>
      <c r="BS31" s="72">
        <f t="shared" si="35"/>
        <v>0</v>
      </c>
      <c r="BT31" s="72">
        <f t="shared" si="36"/>
        <v>0</v>
      </c>
      <c r="BU31" s="72">
        <f t="shared" si="37"/>
        <v>0</v>
      </c>
      <c r="BW31">
        <f t="shared" si="38"/>
        <v>0</v>
      </c>
      <c r="BX31">
        <f t="shared" si="39"/>
        <v>1</v>
      </c>
      <c r="BY31">
        <f t="shared" si="40"/>
        <v>0</v>
      </c>
      <c r="BZ31">
        <f t="shared" si="41"/>
        <v>0</v>
      </c>
      <c r="CA31">
        <f t="shared" si="68"/>
        <v>0</v>
      </c>
      <c r="CB31">
        <f t="shared" si="69"/>
        <v>0</v>
      </c>
      <c r="CD31">
        <f t="shared" si="42"/>
        <v>0</v>
      </c>
      <c r="CE31">
        <f t="shared" si="43"/>
        <v>0</v>
      </c>
      <c r="CF31">
        <f t="shared" si="44"/>
        <v>0</v>
      </c>
      <c r="CG31">
        <f t="shared" si="45"/>
        <v>0</v>
      </c>
      <c r="CH31">
        <f t="shared" si="70"/>
        <v>0</v>
      </c>
      <c r="CI31">
        <f t="shared" si="71"/>
        <v>0</v>
      </c>
      <c r="CK31">
        <f t="shared" si="46"/>
        <v>0</v>
      </c>
      <c r="CL31">
        <f t="shared" si="47"/>
        <v>0</v>
      </c>
      <c r="CM31">
        <f t="shared" si="48"/>
        <v>0</v>
      </c>
      <c r="CN31">
        <f t="shared" si="49"/>
        <v>0</v>
      </c>
      <c r="CO31">
        <f t="shared" si="72"/>
        <v>0</v>
      </c>
      <c r="CP31">
        <f t="shared" si="73"/>
        <v>0</v>
      </c>
      <c r="CR31">
        <f t="shared" si="50"/>
        <v>1</v>
      </c>
      <c r="CS31">
        <f t="shared" si="51"/>
        <v>0</v>
      </c>
      <c r="CT31">
        <f t="shared" si="52"/>
        <v>0</v>
      </c>
      <c r="CU31">
        <f t="shared" si="53"/>
        <v>0</v>
      </c>
      <c r="CV31">
        <f t="shared" si="74"/>
        <v>0</v>
      </c>
      <c r="CW31">
        <f t="shared" si="75"/>
        <v>0</v>
      </c>
      <c r="CY31">
        <f t="shared" si="54"/>
        <v>1</v>
      </c>
      <c r="CZ31">
        <f t="shared" si="55"/>
        <v>1</v>
      </c>
      <c r="DA31">
        <f t="shared" si="56"/>
        <v>0</v>
      </c>
      <c r="DB31">
        <f t="shared" si="57"/>
        <v>0</v>
      </c>
      <c r="DC31">
        <f t="shared" si="76"/>
        <v>0</v>
      </c>
      <c r="DD31">
        <f t="shared" si="77"/>
        <v>0</v>
      </c>
      <c r="DF31" s="79">
        <f t="shared" si="78"/>
        <v>0</v>
      </c>
      <c r="DG31" s="79">
        <f t="shared" si="79"/>
        <v>0</v>
      </c>
      <c r="DH31">
        <f t="shared" si="124"/>
        <v>1</v>
      </c>
      <c r="DI31">
        <f t="shared" si="89"/>
        <v>0</v>
      </c>
      <c r="DK31" s="79">
        <f t="shared" si="58"/>
        <v>0</v>
      </c>
      <c r="DL31" s="79">
        <f t="shared" si="59"/>
        <v>1</v>
      </c>
      <c r="DM31">
        <f t="shared" ref="DM31:DN31" si="220">IF(DK31+DL31=0,DM30,(DM30+DK31)*DK31)</f>
        <v>0</v>
      </c>
      <c r="DN31">
        <f t="shared" si="220"/>
        <v>1</v>
      </c>
      <c r="DP31" s="79">
        <f t="shared" si="60"/>
        <v>0</v>
      </c>
      <c r="DQ31" s="79">
        <f t="shared" si="61"/>
        <v>1</v>
      </c>
      <c r="DR31">
        <f t="shared" ref="DR31:DS31" si="221">IF(DP31+DQ31=0,DR30,(DR30+DP31)*DP31)</f>
        <v>0</v>
      </c>
      <c r="DS31">
        <f t="shared" si="221"/>
        <v>1</v>
      </c>
      <c r="DU31" s="79">
        <f t="shared" si="62"/>
        <v>0</v>
      </c>
      <c r="DV31" s="79">
        <f t="shared" si="63"/>
        <v>0</v>
      </c>
      <c r="DW31">
        <f t="shared" ref="DW31:DX31" si="222">IF(DU31+DV31=0,DW30,(DW30+DU31)*DU31)</f>
        <v>0</v>
      </c>
      <c r="DX31">
        <f t="shared" si="222"/>
        <v>3</v>
      </c>
      <c r="DZ31" s="79">
        <f t="shared" si="64"/>
        <v>0</v>
      </c>
      <c r="EA31" s="79">
        <f t="shared" si="65"/>
        <v>0</v>
      </c>
      <c r="EB31">
        <f t="shared" ref="EB31:EC31" si="223">IF(DZ31+EA31=0,EB30,(EB30+DZ31)*DZ31)</f>
        <v>1</v>
      </c>
      <c r="EC31">
        <f t="shared" si="223"/>
        <v>0</v>
      </c>
      <c r="EH31" s="80"/>
      <c r="EI31" s="69"/>
      <c r="EK31" s="80"/>
      <c r="EL31" s="69"/>
      <c r="EN31" s="80"/>
      <c r="EO31" s="69"/>
      <c r="EQ31" s="80"/>
      <c r="ER31" s="69"/>
    </row>
    <row r="32" spans="1:148">
      <c r="A32" s="29">
        <v>31</v>
      </c>
      <c r="B32" s="64" t="s">
        <v>32</v>
      </c>
      <c r="C32" s="64" t="s">
        <v>37</v>
      </c>
      <c r="D32" s="64" t="s">
        <v>36</v>
      </c>
      <c r="E32" s="64" t="s">
        <v>20</v>
      </c>
      <c r="F32" s="63"/>
      <c r="G32" s="64" t="s">
        <v>28</v>
      </c>
      <c r="H32" s="64" t="s">
        <v>38</v>
      </c>
      <c r="I32" s="64" t="s">
        <v>33</v>
      </c>
      <c r="J32" s="64" t="s">
        <v>18</v>
      </c>
      <c r="M32" s="41" t="s">
        <v>90</v>
      </c>
      <c r="N32" s="42">
        <f t="shared" si="80"/>
        <v>0</v>
      </c>
      <c r="O32" s="43">
        <f t="shared" si="81"/>
        <v>0</v>
      </c>
      <c r="P32" s="44" t="str">
        <f t="shared" si="201"/>
        <v>-</v>
      </c>
      <c r="Q32" s="42">
        <f t="shared" si="82"/>
        <v>0</v>
      </c>
      <c r="R32" s="43">
        <f t="shared" si="83"/>
        <v>0</v>
      </c>
      <c r="S32" s="44" t="str">
        <f t="shared" si="202"/>
        <v>-</v>
      </c>
      <c r="T32" s="42">
        <f t="shared" si="84"/>
        <v>0</v>
      </c>
      <c r="U32" s="43">
        <f t="shared" si="85"/>
        <v>0</v>
      </c>
      <c r="V32" s="44" t="str">
        <f t="shared" si="203"/>
        <v>-</v>
      </c>
      <c r="W32" s="42">
        <f t="shared" si="86"/>
        <v>0</v>
      </c>
      <c r="X32" s="43">
        <f t="shared" si="87"/>
        <v>0</v>
      </c>
      <c r="Y32" s="45" t="str">
        <f t="shared" si="204"/>
        <v>-</v>
      </c>
      <c r="Z32" s="46">
        <f t="shared" si="205"/>
        <v>0</v>
      </c>
      <c r="AA32" s="28">
        <f t="shared" si="206"/>
        <v>0</v>
      </c>
      <c r="AB32" s="47" t="str">
        <f t="shared" si="207"/>
        <v>-</v>
      </c>
      <c r="AH32" s="72">
        <f t="shared" si="66"/>
        <v>0</v>
      </c>
      <c r="AI32" s="72">
        <f t="shared" si="67"/>
        <v>0</v>
      </c>
      <c r="AJ32" s="72">
        <f t="shared" si="0"/>
        <v>0</v>
      </c>
      <c r="AK32" s="72">
        <f t="shared" si="1"/>
        <v>0</v>
      </c>
      <c r="AL32" s="72">
        <f t="shared" si="2"/>
        <v>0</v>
      </c>
      <c r="AM32" s="72">
        <f t="shared" si="3"/>
        <v>0</v>
      </c>
      <c r="AN32" s="72">
        <f t="shared" si="4"/>
        <v>0</v>
      </c>
      <c r="AO32" s="72">
        <f t="shared" si="5"/>
        <v>0</v>
      </c>
      <c r="AP32" s="72">
        <f t="shared" si="6"/>
        <v>0</v>
      </c>
      <c r="AQ32" s="72">
        <f t="shared" si="7"/>
        <v>0</v>
      </c>
      <c r="AR32" s="72">
        <f t="shared" si="8"/>
        <v>1</v>
      </c>
      <c r="AS32" s="72">
        <f t="shared" si="9"/>
        <v>0</v>
      </c>
      <c r="AT32" s="72">
        <f t="shared" si="10"/>
        <v>0</v>
      </c>
      <c r="AU32" s="72">
        <f t="shared" si="11"/>
        <v>0</v>
      </c>
      <c r="AV32" s="72">
        <f t="shared" si="12"/>
        <v>0</v>
      </c>
      <c r="AW32" s="72">
        <f t="shared" si="13"/>
        <v>1</v>
      </c>
      <c r="AX32" s="72">
        <f t="shared" si="14"/>
        <v>0</v>
      </c>
      <c r="AY32" s="72">
        <f t="shared" si="15"/>
        <v>0</v>
      </c>
      <c r="AZ32" s="72">
        <f t="shared" si="16"/>
        <v>1</v>
      </c>
      <c r="BA32" s="72">
        <f t="shared" si="17"/>
        <v>0</v>
      </c>
      <c r="BB32" s="72">
        <f t="shared" si="18"/>
        <v>0</v>
      </c>
      <c r="BC32" s="72">
        <f t="shared" si="19"/>
        <v>0</v>
      </c>
      <c r="BD32" s="72">
        <f t="shared" si="20"/>
        <v>0</v>
      </c>
      <c r="BE32" s="72">
        <f t="shared" si="21"/>
        <v>0</v>
      </c>
      <c r="BF32" s="72">
        <f t="shared" si="22"/>
        <v>0</v>
      </c>
      <c r="BG32" s="72">
        <f t="shared" si="23"/>
        <v>0</v>
      </c>
      <c r="BH32" s="72">
        <f t="shared" si="24"/>
        <v>0</v>
      </c>
      <c r="BI32" s="72">
        <f t="shared" si="25"/>
        <v>0</v>
      </c>
      <c r="BJ32" s="72">
        <f t="shared" si="26"/>
        <v>0</v>
      </c>
      <c r="BK32" s="72">
        <f t="shared" si="27"/>
        <v>0</v>
      </c>
      <c r="BL32" s="72">
        <f t="shared" si="28"/>
        <v>0</v>
      </c>
      <c r="BM32" s="72">
        <f t="shared" si="29"/>
        <v>1</v>
      </c>
      <c r="BN32" s="72">
        <f t="shared" si="30"/>
        <v>1</v>
      </c>
      <c r="BO32" s="72">
        <f t="shared" si="31"/>
        <v>0</v>
      </c>
      <c r="BP32" s="72">
        <f t="shared" si="32"/>
        <v>0</v>
      </c>
      <c r="BQ32" s="72">
        <f t="shared" si="33"/>
        <v>1</v>
      </c>
      <c r="BR32" s="72">
        <f t="shared" si="34"/>
        <v>1</v>
      </c>
      <c r="BS32" s="72">
        <f t="shared" si="35"/>
        <v>0</v>
      </c>
      <c r="BT32" s="72">
        <f t="shared" si="36"/>
        <v>0</v>
      </c>
      <c r="BU32" s="72">
        <f t="shared" si="37"/>
        <v>0</v>
      </c>
      <c r="BW32">
        <f t="shared" si="38"/>
        <v>0</v>
      </c>
      <c r="BX32">
        <f t="shared" si="39"/>
        <v>1</v>
      </c>
      <c r="BY32">
        <f t="shared" si="40"/>
        <v>0</v>
      </c>
      <c r="BZ32">
        <f t="shared" si="41"/>
        <v>0</v>
      </c>
      <c r="CA32">
        <f t="shared" si="68"/>
        <v>0</v>
      </c>
      <c r="CB32">
        <f t="shared" si="69"/>
        <v>0</v>
      </c>
      <c r="CD32">
        <f t="shared" si="42"/>
        <v>0</v>
      </c>
      <c r="CE32">
        <f t="shared" si="43"/>
        <v>0</v>
      </c>
      <c r="CF32">
        <f t="shared" si="44"/>
        <v>0</v>
      </c>
      <c r="CG32">
        <f t="shared" si="45"/>
        <v>0</v>
      </c>
      <c r="CH32">
        <f t="shared" si="70"/>
        <v>0</v>
      </c>
      <c r="CI32">
        <f t="shared" si="71"/>
        <v>0</v>
      </c>
      <c r="CK32">
        <f t="shared" si="46"/>
        <v>0</v>
      </c>
      <c r="CL32">
        <f t="shared" si="47"/>
        <v>0</v>
      </c>
      <c r="CM32">
        <f t="shared" si="48"/>
        <v>0</v>
      </c>
      <c r="CN32">
        <f t="shared" si="49"/>
        <v>0</v>
      </c>
      <c r="CO32">
        <f t="shared" si="72"/>
        <v>0</v>
      </c>
      <c r="CP32">
        <f t="shared" si="73"/>
        <v>0</v>
      </c>
      <c r="CR32">
        <f t="shared" si="50"/>
        <v>0</v>
      </c>
      <c r="CS32">
        <f t="shared" si="51"/>
        <v>0</v>
      </c>
      <c r="CT32">
        <f t="shared" si="52"/>
        <v>0</v>
      </c>
      <c r="CU32">
        <f t="shared" si="53"/>
        <v>0</v>
      </c>
      <c r="CV32">
        <f t="shared" si="74"/>
        <v>0</v>
      </c>
      <c r="CW32">
        <f t="shared" si="75"/>
        <v>0</v>
      </c>
      <c r="CY32">
        <f t="shared" si="54"/>
        <v>0</v>
      </c>
      <c r="CZ32">
        <f t="shared" si="55"/>
        <v>1</v>
      </c>
      <c r="DA32">
        <f t="shared" si="56"/>
        <v>0</v>
      </c>
      <c r="DB32">
        <f t="shared" si="57"/>
        <v>0</v>
      </c>
      <c r="DC32">
        <f t="shared" si="76"/>
        <v>0</v>
      </c>
      <c r="DD32">
        <f t="shared" si="77"/>
        <v>0</v>
      </c>
      <c r="DF32" s="79">
        <f t="shared" si="78"/>
        <v>0</v>
      </c>
      <c r="DG32" s="79">
        <f t="shared" si="79"/>
        <v>0</v>
      </c>
      <c r="DH32">
        <f t="shared" si="124"/>
        <v>1</v>
      </c>
      <c r="DI32">
        <f t="shared" si="89"/>
        <v>0</v>
      </c>
      <c r="DK32" s="79">
        <f t="shared" si="58"/>
        <v>1</v>
      </c>
      <c r="DL32" s="79">
        <f t="shared" si="59"/>
        <v>0</v>
      </c>
      <c r="DM32">
        <f t="shared" ref="DM32:DN32" si="224">IF(DK32+DL32=0,DM31,(DM31+DK32)*DK32)</f>
        <v>1</v>
      </c>
      <c r="DN32">
        <f t="shared" si="224"/>
        <v>0</v>
      </c>
      <c r="DP32" s="79">
        <f t="shared" si="60"/>
        <v>0</v>
      </c>
      <c r="DQ32" s="79">
        <f t="shared" si="61"/>
        <v>1</v>
      </c>
      <c r="DR32">
        <f t="shared" ref="DR32:DS32" si="225">IF(DP32+DQ32=0,DR31,(DR31+DP32)*DP32)</f>
        <v>0</v>
      </c>
      <c r="DS32">
        <f t="shared" si="225"/>
        <v>2</v>
      </c>
      <c r="DU32" s="79">
        <f t="shared" si="62"/>
        <v>0</v>
      </c>
      <c r="DV32" s="79">
        <f t="shared" si="63"/>
        <v>0</v>
      </c>
      <c r="DW32">
        <f t="shared" ref="DW32:DX32" si="226">IF(DU32+DV32=0,DW31,(DW31+DU32)*DU32)</f>
        <v>0</v>
      </c>
      <c r="DX32">
        <f t="shared" si="226"/>
        <v>3</v>
      </c>
      <c r="DZ32" s="79">
        <f t="shared" si="64"/>
        <v>0</v>
      </c>
      <c r="EA32" s="79">
        <f t="shared" si="65"/>
        <v>0</v>
      </c>
      <c r="EB32">
        <f t="shared" ref="EB32:EC32" si="227">IF(DZ32+EA32=0,EB31,(EB31+DZ32)*DZ32)</f>
        <v>1</v>
      </c>
      <c r="EC32">
        <f t="shared" si="227"/>
        <v>0</v>
      </c>
      <c r="EH32" s="80"/>
      <c r="EI32" s="69"/>
      <c r="EK32" s="80"/>
      <c r="EL32" s="69"/>
      <c r="EN32" s="80"/>
      <c r="EO32" s="69"/>
      <c r="EQ32" s="80"/>
      <c r="ER32" s="69"/>
    </row>
    <row r="33" spans="1:148">
      <c r="A33" s="29">
        <v>32</v>
      </c>
      <c r="B33" s="64" t="s">
        <v>34</v>
      </c>
      <c r="C33" s="64" t="s">
        <v>18</v>
      </c>
      <c r="D33" s="64" t="s">
        <v>42</v>
      </c>
      <c r="E33" s="64" t="s">
        <v>47</v>
      </c>
      <c r="F33" s="63"/>
      <c r="G33" s="64" t="s">
        <v>321</v>
      </c>
      <c r="H33" s="64" t="s">
        <v>46</v>
      </c>
      <c r="I33" s="64" t="s">
        <v>40</v>
      </c>
      <c r="J33" s="64" t="s">
        <v>44</v>
      </c>
      <c r="M33" s="41" t="s">
        <v>94</v>
      </c>
      <c r="N33" s="42">
        <f t="shared" si="80"/>
        <v>0</v>
      </c>
      <c r="O33" s="43">
        <f t="shared" si="81"/>
        <v>0</v>
      </c>
      <c r="P33" s="44" t="str">
        <f t="shared" si="201"/>
        <v>-</v>
      </c>
      <c r="Q33" s="42">
        <f t="shared" si="82"/>
        <v>0</v>
      </c>
      <c r="R33" s="43">
        <f t="shared" si="83"/>
        <v>0</v>
      </c>
      <c r="S33" s="44" t="str">
        <f t="shared" si="202"/>
        <v>-</v>
      </c>
      <c r="T33" s="42">
        <f t="shared" si="84"/>
        <v>0</v>
      </c>
      <c r="U33" s="43">
        <f t="shared" si="85"/>
        <v>1</v>
      </c>
      <c r="V33" s="44">
        <f t="shared" si="203"/>
        <v>0</v>
      </c>
      <c r="W33" s="42">
        <f t="shared" si="86"/>
        <v>0</v>
      </c>
      <c r="X33" s="43">
        <f t="shared" si="87"/>
        <v>2</v>
      </c>
      <c r="Y33" s="45">
        <f t="shared" si="204"/>
        <v>0</v>
      </c>
      <c r="Z33" s="46">
        <f t="shared" si="205"/>
        <v>0</v>
      </c>
      <c r="AA33" s="28">
        <f t="shared" si="206"/>
        <v>3</v>
      </c>
      <c r="AB33" s="47">
        <f t="shared" si="207"/>
        <v>0</v>
      </c>
      <c r="AH33" s="72">
        <f t="shared" si="66"/>
        <v>1</v>
      </c>
      <c r="AI33" s="72">
        <f t="shared" si="67"/>
        <v>1</v>
      </c>
      <c r="AJ33" s="72">
        <f t="shared" si="0"/>
        <v>1</v>
      </c>
      <c r="AK33" s="72">
        <f t="shared" si="1"/>
        <v>1</v>
      </c>
      <c r="AL33" s="72">
        <f t="shared" si="2"/>
        <v>0</v>
      </c>
      <c r="AM33" s="72">
        <f t="shared" si="3"/>
        <v>1</v>
      </c>
      <c r="AN33" s="72">
        <f t="shared" si="4"/>
        <v>0</v>
      </c>
      <c r="AO33" s="72">
        <f t="shared" si="5"/>
        <v>0</v>
      </c>
      <c r="AP33" s="72">
        <f t="shared" si="6"/>
        <v>0</v>
      </c>
      <c r="AQ33" s="72">
        <f t="shared" si="7"/>
        <v>0</v>
      </c>
      <c r="AR33" s="72">
        <f t="shared" si="8"/>
        <v>0</v>
      </c>
      <c r="AS33" s="72">
        <f t="shared" si="9"/>
        <v>0</v>
      </c>
      <c r="AT33" s="72">
        <f t="shared" si="10"/>
        <v>0</v>
      </c>
      <c r="AU33" s="72">
        <f t="shared" si="11"/>
        <v>1</v>
      </c>
      <c r="AV33" s="72">
        <f t="shared" si="12"/>
        <v>0</v>
      </c>
      <c r="AW33" s="72">
        <f t="shared" si="13"/>
        <v>0</v>
      </c>
      <c r="AX33" s="72">
        <f t="shared" si="14"/>
        <v>0</v>
      </c>
      <c r="AY33" s="72">
        <f t="shared" si="15"/>
        <v>0</v>
      </c>
      <c r="AZ33" s="72">
        <f t="shared" si="16"/>
        <v>0</v>
      </c>
      <c r="BA33" s="72">
        <f t="shared" si="17"/>
        <v>0</v>
      </c>
      <c r="BB33" s="72">
        <f t="shared" si="18"/>
        <v>0</v>
      </c>
      <c r="BC33" s="72">
        <f t="shared" si="19"/>
        <v>1</v>
      </c>
      <c r="BD33" s="72">
        <f t="shared" si="20"/>
        <v>1</v>
      </c>
      <c r="BE33" s="72">
        <f t="shared" si="21"/>
        <v>0</v>
      </c>
      <c r="BF33" s="72">
        <f t="shared" si="22"/>
        <v>0</v>
      </c>
      <c r="BG33" s="72">
        <f t="shared" si="23"/>
        <v>1</v>
      </c>
      <c r="BH33" s="72">
        <f t="shared" si="24"/>
        <v>0</v>
      </c>
      <c r="BI33" s="72">
        <f t="shared" si="25"/>
        <v>1</v>
      </c>
      <c r="BJ33" s="72">
        <f t="shared" si="26"/>
        <v>1</v>
      </c>
      <c r="BK33" s="72">
        <f t="shared" si="27"/>
        <v>0</v>
      </c>
      <c r="BL33" s="72">
        <f t="shared" si="28"/>
        <v>0</v>
      </c>
      <c r="BM33" s="72">
        <f t="shared" si="29"/>
        <v>0</v>
      </c>
      <c r="BN33" s="72">
        <f t="shared" si="30"/>
        <v>0</v>
      </c>
      <c r="BO33" s="72">
        <f t="shared" si="31"/>
        <v>0</v>
      </c>
      <c r="BP33" s="72">
        <f t="shared" si="32"/>
        <v>1</v>
      </c>
      <c r="BQ33" s="72">
        <f t="shared" si="33"/>
        <v>0</v>
      </c>
      <c r="BR33" s="72">
        <f t="shared" si="34"/>
        <v>0</v>
      </c>
      <c r="BS33" s="72">
        <f t="shared" si="35"/>
        <v>0</v>
      </c>
      <c r="BT33" s="72">
        <f t="shared" si="36"/>
        <v>0</v>
      </c>
      <c r="BU33" s="72">
        <f t="shared" si="37"/>
        <v>0</v>
      </c>
      <c r="BW33">
        <f t="shared" si="38"/>
        <v>1</v>
      </c>
      <c r="BX33">
        <f t="shared" si="39"/>
        <v>0</v>
      </c>
      <c r="BY33">
        <f t="shared" si="40"/>
        <v>0</v>
      </c>
      <c r="BZ33">
        <f t="shared" si="41"/>
        <v>0</v>
      </c>
      <c r="CA33">
        <f t="shared" si="68"/>
        <v>0</v>
      </c>
      <c r="CB33">
        <f t="shared" si="69"/>
        <v>0</v>
      </c>
      <c r="CD33">
        <f t="shared" si="42"/>
        <v>1</v>
      </c>
      <c r="CE33">
        <f t="shared" si="43"/>
        <v>0</v>
      </c>
      <c r="CF33">
        <f t="shared" si="44"/>
        <v>0</v>
      </c>
      <c r="CG33">
        <f t="shared" si="45"/>
        <v>1</v>
      </c>
      <c r="CH33">
        <f t="shared" si="70"/>
        <v>1</v>
      </c>
      <c r="CI33">
        <f t="shared" si="71"/>
        <v>0</v>
      </c>
      <c r="CK33">
        <f t="shared" si="46"/>
        <v>1</v>
      </c>
      <c r="CL33">
        <f t="shared" si="47"/>
        <v>0</v>
      </c>
      <c r="CM33">
        <f t="shared" si="48"/>
        <v>0</v>
      </c>
      <c r="CN33">
        <f t="shared" si="49"/>
        <v>0</v>
      </c>
      <c r="CO33">
        <f t="shared" si="72"/>
        <v>0</v>
      </c>
      <c r="CP33">
        <f t="shared" si="73"/>
        <v>0</v>
      </c>
      <c r="CR33">
        <f t="shared" si="50"/>
        <v>0</v>
      </c>
      <c r="CS33">
        <f t="shared" si="51"/>
        <v>1</v>
      </c>
      <c r="CT33">
        <f t="shared" si="52"/>
        <v>0</v>
      </c>
      <c r="CU33">
        <f t="shared" si="53"/>
        <v>0</v>
      </c>
      <c r="CV33">
        <f t="shared" si="74"/>
        <v>0</v>
      </c>
      <c r="CW33">
        <f t="shared" si="75"/>
        <v>0</v>
      </c>
      <c r="CY33">
        <f t="shared" si="54"/>
        <v>0</v>
      </c>
      <c r="CZ33">
        <f t="shared" si="55"/>
        <v>0</v>
      </c>
      <c r="DA33">
        <f t="shared" si="56"/>
        <v>0</v>
      </c>
      <c r="DB33">
        <f t="shared" si="57"/>
        <v>0</v>
      </c>
      <c r="DC33">
        <f t="shared" si="76"/>
        <v>0</v>
      </c>
      <c r="DD33">
        <f t="shared" si="77"/>
        <v>0</v>
      </c>
      <c r="DF33" s="79">
        <f t="shared" si="78"/>
        <v>0</v>
      </c>
      <c r="DG33" s="79">
        <f t="shared" si="79"/>
        <v>0</v>
      </c>
      <c r="DH33">
        <f t="shared" si="124"/>
        <v>1</v>
      </c>
      <c r="DI33">
        <f t="shared" si="89"/>
        <v>0</v>
      </c>
      <c r="DK33" s="79">
        <f t="shared" si="58"/>
        <v>0</v>
      </c>
      <c r="DL33" s="79">
        <f t="shared" si="59"/>
        <v>0</v>
      </c>
      <c r="DM33">
        <f t="shared" ref="DM33:DN33" si="228">IF(DK33+DL33=0,DM32,(DM32+DK33)*DK33)</f>
        <v>1</v>
      </c>
      <c r="DN33">
        <f t="shared" si="228"/>
        <v>0</v>
      </c>
      <c r="DP33" s="79">
        <f t="shared" si="60"/>
        <v>1</v>
      </c>
      <c r="DQ33" s="79">
        <f t="shared" si="61"/>
        <v>0</v>
      </c>
      <c r="DR33">
        <f t="shared" ref="DR33:DS33" si="229">IF(DP33+DQ33=0,DR32,(DR32+DP33)*DP33)</f>
        <v>1</v>
      </c>
      <c r="DS33">
        <f t="shared" si="229"/>
        <v>0</v>
      </c>
      <c r="DU33" s="79">
        <f t="shared" si="62"/>
        <v>0</v>
      </c>
      <c r="DV33" s="79">
        <f t="shared" si="63"/>
        <v>0</v>
      </c>
      <c r="DW33">
        <f t="shared" ref="DW33:DX33" si="230">IF(DU33+DV33=0,DW32,(DW32+DU33)*DU33)</f>
        <v>0</v>
      </c>
      <c r="DX33">
        <f t="shared" si="230"/>
        <v>3</v>
      </c>
      <c r="DZ33" s="79">
        <f t="shared" si="64"/>
        <v>0</v>
      </c>
      <c r="EA33" s="79">
        <f t="shared" si="65"/>
        <v>1</v>
      </c>
      <c r="EB33">
        <f t="shared" ref="EB33:EC33" si="231">IF(DZ33+EA33=0,EB32,(EB32+DZ33)*DZ33)</f>
        <v>0</v>
      </c>
      <c r="EC33">
        <f t="shared" si="231"/>
        <v>1</v>
      </c>
      <c r="EH33" s="80"/>
      <c r="EI33" s="69"/>
      <c r="EK33" s="80"/>
      <c r="EL33" s="69"/>
      <c r="EN33" s="80"/>
      <c r="EO33" s="69"/>
      <c r="EQ33" s="80"/>
      <c r="ER33" s="69"/>
    </row>
    <row r="34" spans="1:148">
      <c r="A34" s="29">
        <v>33</v>
      </c>
      <c r="B34" s="64" t="s">
        <v>34</v>
      </c>
      <c r="C34" s="64" t="s">
        <v>46</v>
      </c>
      <c r="D34" s="64" t="s">
        <v>40</v>
      </c>
      <c r="E34" s="64" t="s">
        <v>47</v>
      </c>
      <c r="F34" s="63"/>
      <c r="G34" s="64" t="s">
        <v>321</v>
      </c>
      <c r="H34" s="64" t="s">
        <v>18</v>
      </c>
      <c r="I34" s="64" t="s">
        <v>42</v>
      </c>
      <c r="J34" s="64" t="s">
        <v>44</v>
      </c>
      <c r="M34" s="41" t="s">
        <v>95</v>
      </c>
      <c r="N34" s="42">
        <f t="shared" si="80"/>
        <v>4</v>
      </c>
      <c r="O34" s="43">
        <f t="shared" si="81"/>
        <v>7</v>
      </c>
      <c r="P34" s="44">
        <f t="shared" si="201"/>
        <v>0.36363636363636365</v>
      </c>
      <c r="Q34" s="42">
        <f t="shared" si="82"/>
        <v>7</v>
      </c>
      <c r="R34" s="43">
        <f t="shared" si="83"/>
        <v>3</v>
      </c>
      <c r="S34" s="44">
        <f t="shared" si="202"/>
        <v>0.7</v>
      </c>
      <c r="T34" s="42">
        <f t="shared" si="84"/>
        <v>7</v>
      </c>
      <c r="U34" s="43">
        <f t="shared" si="85"/>
        <v>3</v>
      </c>
      <c r="V34" s="44">
        <f t="shared" si="203"/>
        <v>0.7</v>
      </c>
      <c r="W34" s="42">
        <f t="shared" si="86"/>
        <v>0</v>
      </c>
      <c r="X34" s="43">
        <f t="shared" si="87"/>
        <v>1</v>
      </c>
      <c r="Y34" s="45">
        <f t="shared" si="204"/>
        <v>0</v>
      </c>
      <c r="Z34" s="46">
        <f t="shared" si="205"/>
        <v>18</v>
      </c>
      <c r="AA34" s="28">
        <f t="shared" si="206"/>
        <v>14</v>
      </c>
      <c r="AB34" s="47">
        <f t="shared" si="207"/>
        <v>0.5625</v>
      </c>
      <c r="AH34" s="72">
        <f t="shared" si="66"/>
        <v>1</v>
      </c>
      <c r="AI34" s="72">
        <f t="shared" si="67"/>
        <v>1</v>
      </c>
      <c r="AJ34" s="72">
        <f t="shared" si="0"/>
        <v>1</v>
      </c>
      <c r="AK34" s="72">
        <f t="shared" si="1"/>
        <v>1</v>
      </c>
      <c r="AL34" s="72">
        <f t="shared" si="2"/>
        <v>0</v>
      </c>
      <c r="AM34" s="72">
        <f t="shared" si="3"/>
        <v>1</v>
      </c>
      <c r="AN34" s="72">
        <f t="shared" si="4"/>
        <v>0</v>
      </c>
      <c r="AO34" s="72">
        <f t="shared" si="5"/>
        <v>0</v>
      </c>
      <c r="AP34" s="72">
        <f t="shared" si="6"/>
        <v>0</v>
      </c>
      <c r="AQ34" s="72">
        <f t="shared" si="7"/>
        <v>0</v>
      </c>
      <c r="AR34" s="72">
        <f t="shared" si="8"/>
        <v>0</v>
      </c>
      <c r="AS34" s="72">
        <f t="shared" si="9"/>
        <v>0</v>
      </c>
      <c r="AT34" s="72">
        <f t="shared" si="10"/>
        <v>1</v>
      </c>
      <c r="AU34" s="72">
        <f t="shared" si="11"/>
        <v>0</v>
      </c>
      <c r="AV34" s="72">
        <f t="shared" si="12"/>
        <v>0</v>
      </c>
      <c r="AW34" s="72">
        <f t="shared" si="13"/>
        <v>0</v>
      </c>
      <c r="AX34" s="72">
        <f t="shared" si="14"/>
        <v>0</v>
      </c>
      <c r="AY34" s="72">
        <f t="shared" si="15"/>
        <v>0</v>
      </c>
      <c r="AZ34" s="72">
        <f t="shared" si="16"/>
        <v>0</v>
      </c>
      <c r="BA34" s="72">
        <f t="shared" si="17"/>
        <v>0</v>
      </c>
      <c r="BB34" s="72">
        <f t="shared" si="18"/>
        <v>0</v>
      </c>
      <c r="BC34" s="72">
        <f t="shared" si="19"/>
        <v>1</v>
      </c>
      <c r="BD34" s="72">
        <f t="shared" si="20"/>
        <v>1</v>
      </c>
      <c r="BE34" s="72">
        <f t="shared" si="21"/>
        <v>0</v>
      </c>
      <c r="BF34" s="72">
        <f t="shared" si="22"/>
        <v>0</v>
      </c>
      <c r="BG34" s="72">
        <f t="shared" si="23"/>
        <v>1</v>
      </c>
      <c r="BH34" s="72">
        <f t="shared" si="24"/>
        <v>1</v>
      </c>
      <c r="BI34" s="72">
        <f t="shared" si="25"/>
        <v>0</v>
      </c>
      <c r="BJ34" s="72">
        <f t="shared" si="26"/>
        <v>1</v>
      </c>
      <c r="BK34" s="72">
        <f t="shared" si="27"/>
        <v>0</v>
      </c>
      <c r="BL34" s="72">
        <f t="shared" si="28"/>
        <v>0</v>
      </c>
      <c r="BM34" s="72">
        <f t="shared" si="29"/>
        <v>0</v>
      </c>
      <c r="BN34" s="72">
        <f t="shared" si="30"/>
        <v>0</v>
      </c>
      <c r="BO34" s="72">
        <f t="shared" si="31"/>
        <v>0</v>
      </c>
      <c r="BP34" s="72">
        <f t="shared" si="32"/>
        <v>0</v>
      </c>
      <c r="BQ34" s="72">
        <f t="shared" si="33"/>
        <v>1</v>
      </c>
      <c r="BR34" s="72">
        <f t="shared" si="34"/>
        <v>0</v>
      </c>
      <c r="BS34" s="72">
        <f t="shared" si="35"/>
        <v>0</v>
      </c>
      <c r="BT34" s="72">
        <f t="shared" si="36"/>
        <v>0</v>
      </c>
      <c r="BU34" s="72">
        <f t="shared" si="37"/>
        <v>0</v>
      </c>
      <c r="BW34">
        <f t="shared" si="38"/>
        <v>1</v>
      </c>
      <c r="BX34">
        <f t="shared" si="39"/>
        <v>0</v>
      </c>
      <c r="BY34">
        <f t="shared" si="40"/>
        <v>0</v>
      </c>
      <c r="BZ34">
        <f t="shared" si="41"/>
        <v>0</v>
      </c>
      <c r="CA34">
        <f t="shared" si="68"/>
        <v>0</v>
      </c>
      <c r="CB34">
        <f t="shared" si="69"/>
        <v>0</v>
      </c>
      <c r="CD34">
        <f t="shared" si="42"/>
        <v>1</v>
      </c>
      <c r="CE34">
        <f t="shared" si="43"/>
        <v>0</v>
      </c>
      <c r="CF34">
        <f t="shared" si="44"/>
        <v>0</v>
      </c>
      <c r="CG34">
        <f t="shared" si="45"/>
        <v>1</v>
      </c>
      <c r="CH34">
        <f t="shared" si="70"/>
        <v>1</v>
      </c>
      <c r="CI34">
        <f t="shared" si="71"/>
        <v>0</v>
      </c>
      <c r="CK34">
        <f t="shared" si="46"/>
        <v>1</v>
      </c>
      <c r="CL34">
        <f t="shared" si="47"/>
        <v>0</v>
      </c>
      <c r="CM34">
        <f t="shared" si="48"/>
        <v>0</v>
      </c>
      <c r="CN34">
        <f t="shared" si="49"/>
        <v>0</v>
      </c>
      <c r="CO34">
        <f t="shared" si="72"/>
        <v>0</v>
      </c>
      <c r="CP34">
        <f t="shared" si="73"/>
        <v>0</v>
      </c>
      <c r="CR34">
        <f t="shared" si="50"/>
        <v>0</v>
      </c>
      <c r="CS34">
        <f t="shared" si="51"/>
        <v>1</v>
      </c>
      <c r="CT34">
        <f t="shared" si="52"/>
        <v>0</v>
      </c>
      <c r="CU34">
        <f t="shared" si="53"/>
        <v>0</v>
      </c>
      <c r="CV34">
        <f t="shared" si="74"/>
        <v>0</v>
      </c>
      <c r="CW34">
        <f t="shared" si="75"/>
        <v>0</v>
      </c>
      <c r="CY34">
        <f t="shared" si="54"/>
        <v>0</v>
      </c>
      <c r="CZ34">
        <f t="shared" si="55"/>
        <v>0</v>
      </c>
      <c r="DA34">
        <f t="shared" si="56"/>
        <v>0</v>
      </c>
      <c r="DB34">
        <f t="shared" si="57"/>
        <v>0</v>
      </c>
      <c r="DC34">
        <f t="shared" si="76"/>
        <v>0</v>
      </c>
      <c r="DD34">
        <f t="shared" si="77"/>
        <v>0</v>
      </c>
      <c r="DF34" s="79">
        <f t="shared" si="78"/>
        <v>0</v>
      </c>
      <c r="DG34" s="79">
        <f t="shared" si="79"/>
        <v>0</v>
      </c>
      <c r="DH34">
        <f t="shared" si="124"/>
        <v>1</v>
      </c>
      <c r="DI34">
        <f t="shared" si="89"/>
        <v>0</v>
      </c>
      <c r="DK34" s="79">
        <f t="shared" si="58"/>
        <v>0</v>
      </c>
      <c r="DL34" s="79">
        <f t="shared" si="59"/>
        <v>0</v>
      </c>
      <c r="DM34">
        <f t="shared" ref="DM34:DN34" si="232">IF(DK34+DL34=0,DM33,(DM33+DK34)*DK34)</f>
        <v>1</v>
      </c>
      <c r="DN34">
        <f t="shared" si="232"/>
        <v>0</v>
      </c>
      <c r="DP34" s="79">
        <f t="shared" si="60"/>
        <v>0</v>
      </c>
      <c r="DQ34" s="79">
        <f t="shared" si="61"/>
        <v>1</v>
      </c>
      <c r="DR34">
        <f t="shared" ref="DR34:DS34" si="233">IF(DP34+DQ34=0,DR33,(DR33+DP34)*DP34)</f>
        <v>0</v>
      </c>
      <c r="DS34">
        <f t="shared" si="233"/>
        <v>1</v>
      </c>
      <c r="DU34" s="79">
        <f t="shared" si="62"/>
        <v>0</v>
      </c>
      <c r="DV34" s="79">
        <f t="shared" si="63"/>
        <v>0</v>
      </c>
      <c r="DW34">
        <f t="shared" ref="DW34:DX34" si="234">IF(DU34+DV34=0,DW33,(DW33+DU34)*DU34)</f>
        <v>0</v>
      </c>
      <c r="DX34">
        <f t="shared" si="234"/>
        <v>3</v>
      </c>
      <c r="DZ34" s="79">
        <f t="shared" si="64"/>
        <v>1</v>
      </c>
      <c r="EA34" s="79">
        <f t="shared" si="65"/>
        <v>0</v>
      </c>
      <c r="EB34">
        <f t="shared" ref="EB34:EC34" si="235">IF(DZ34+EA34=0,EB33,(EB33+DZ34)*DZ34)</f>
        <v>1</v>
      </c>
      <c r="EC34">
        <f t="shared" si="235"/>
        <v>0</v>
      </c>
      <c r="EH34" s="80"/>
      <c r="EI34" s="69"/>
      <c r="EK34" s="80"/>
      <c r="EL34" s="69"/>
      <c r="EN34" s="80"/>
      <c r="EO34" s="69"/>
      <c r="EQ34" s="80"/>
      <c r="ER34" s="69"/>
    </row>
    <row r="35" spans="1:148">
      <c r="A35" s="29">
        <v>34</v>
      </c>
      <c r="B35" s="64" t="s">
        <v>33</v>
      </c>
      <c r="C35" s="64" t="s">
        <v>31</v>
      </c>
      <c r="D35" s="64" t="s">
        <v>23</v>
      </c>
      <c r="E35" s="64" t="s">
        <v>17</v>
      </c>
      <c r="F35" s="63"/>
      <c r="G35" s="64" t="s">
        <v>26</v>
      </c>
      <c r="H35" s="64" t="s">
        <v>38</v>
      </c>
      <c r="I35" s="64" t="s">
        <v>28</v>
      </c>
      <c r="J35" s="64" t="s">
        <v>37</v>
      </c>
      <c r="M35" s="41" t="s">
        <v>96</v>
      </c>
      <c r="N35" s="42">
        <f t="shared" si="80"/>
        <v>0</v>
      </c>
      <c r="O35" s="43">
        <f t="shared" si="81"/>
        <v>0</v>
      </c>
      <c r="P35" s="44" t="str">
        <f t="shared" si="201"/>
        <v>-</v>
      </c>
      <c r="Q35" s="42">
        <f t="shared" si="82"/>
        <v>0</v>
      </c>
      <c r="R35" s="43">
        <f t="shared" si="83"/>
        <v>0</v>
      </c>
      <c r="S35" s="44" t="str">
        <f t="shared" si="202"/>
        <v>-</v>
      </c>
      <c r="T35" s="42">
        <f t="shared" si="84"/>
        <v>0</v>
      </c>
      <c r="U35" s="43">
        <f t="shared" si="85"/>
        <v>0</v>
      </c>
      <c r="V35" s="44" t="str">
        <f t="shared" si="203"/>
        <v>-</v>
      </c>
      <c r="W35" s="42">
        <f t="shared" si="86"/>
        <v>0</v>
      </c>
      <c r="X35" s="43">
        <f t="shared" si="87"/>
        <v>0</v>
      </c>
      <c r="Y35" s="45" t="str">
        <f t="shared" si="204"/>
        <v>-</v>
      </c>
      <c r="Z35" s="46">
        <f t="shared" si="205"/>
        <v>0</v>
      </c>
      <c r="AA35" s="28">
        <f t="shared" si="206"/>
        <v>0</v>
      </c>
      <c r="AB35" s="47" t="str">
        <f t="shared" si="207"/>
        <v>-</v>
      </c>
      <c r="AH35" s="72">
        <f t="shared" si="66"/>
        <v>0</v>
      </c>
      <c r="AI35" s="72">
        <f t="shared" si="67"/>
        <v>0</v>
      </c>
      <c r="AJ35" s="72">
        <f t="shared" si="0"/>
        <v>0</v>
      </c>
      <c r="AK35" s="72">
        <f t="shared" si="1"/>
        <v>0</v>
      </c>
      <c r="AL35" s="72">
        <f t="shared" si="2"/>
        <v>0</v>
      </c>
      <c r="AM35" s="72">
        <f t="shared" si="3"/>
        <v>1</v>
      </c>
      <c r="AN35" s="72">
        <f t="shared" si="4"/>
        <v>1</v>
      </c>
      <c r="AO35" s="72">
        <f t="shared" si="5"/>
        <v>1</v>
      </c>
      <c r="AP35" s="72">
        <f t="shared" si="6"/>
        <v>1</v>
      </c>
      <c r="AQ35" s="72">
        <f t="shared" si="7"/>
        <v>1</v>
      </c>
      <c r="AR35" s="72">
        <f t="shared" si="8"/>
        <v>0</v>
      </c>
      <c r="AS35" s="72">
        <f t="shared" si="9"/>
        <v>1</v>
      </c>
      <c r="AT35" s="72">
        <f t="shared" si="10"/>
        <v>0</v>
      </c>
      <c r="AU35" s="72">
        <f t="shared" si="11"/>
        <v>1</v>
      </c>
      <c r="AV35" s="72">
        <f t="shared" si="12"/>
        <v>1</v>
      </c>
      <c r="AW35" s="72">
        <f t="shared" si="13"/>
        <v>1</v>
      </c>
      <c r="AX35" s="72">
        <f t="shared" si="14"/>
        <v>0</v>
      </c>
      <c r="AY35" s="72">
        <f t="shared" si="15"/>
        <v>1</v>
      </c>
      <c r="AZ35" s="72">
        <f t="shared" si="16"/>
        <v>0</v>
      </c>
      <c r="BA35" s="72">
        <f t="shared" si="17"/>
        <v>1</v>
      </c>
      <c r="BB35" s="72">
        <f t="shared" si="18"/>
        <v>0</v>
      </c>
      <c r="BC35" s="72">
        <f t="shared" si="19"/>
        <v>1</v>
      </c>
      <c r="BD35" s="72">
        <f t="shared" si="20"/>
        <v>0</v>
      </c>
      <c r="BE35" s="72">
        <f t="shared" si="21"/>
        <v>1</v>
      </c>
      <c r="BF35" s="72">
        <f t="shared" si="22"/>
        <v>0</v>
      </c>
      <c r="BG35" s="72">
        <f t="shared" si="23"/>
        <v>1</v>
      </c>
      <c r="BH35" s="72">
        <f t="shared" si="24"/>
        <v>0</v>
      </c>
      <c r="BI35" s="72">
        <f t="shared" si="25"/>
        <v>1</v>
      </c>
      <c r="BJ35" s="72">
        <f t="shared" si="26"/>
        <v>0</v>
      </c>
      <c r="BK35" s="72">
        <f t="shared" si="27"/>
        <v>1</v>
      </c>
      <c r="BL35" s="72">
        <f t="shared" si="28"/>
        <v>0</v>
      </c>
      <c r="BM35" s="72">
        <f t="shared" si="29"/>
        <v>2</v>
      </c>
      <c r="BN35" s="72">
        <f t="shared" si="30"/>
        <v>0</v>
      </c>
      <c r="BO35" s="72">
        <f t="shared" si="31"/>
        <v>1</v>
      </c>
      <c r="BP35" s="72">
        <f t="shared" si="32"/>
        <v>0</v>
      </c>
      <c r="BQ35" s="72">
        <f t="shared" si="33"/>
        <v>1</v>
      </c>
      <c r="BR35" s="72">
        <f t="shared" si="34"/>
        <v>0</v>
      </c>
      <c r="BS35" s="72">
        <f t="shared" si="35"/>
        <v>2</v>
      </c>
      <c r="BT35" s="72">
        <f t="shared" si="36"/>
        <v>0</v>
      </c>
      <c r="BU35" s="72">
        <f t="shared" si="37"/>
        <v>0</v>
      </c>
      <c r="BW35">
        <f t="shared" si="38"/>
        <v>0</v>
      </c>
      <c r="BX35">
        <f t="shared" si="39"/>
        <v>0</v>
      </c>
      <c r="BY35">
        <f t="shared" si="40"/>
        <v>0</v>
      </c>
      <c r="BZ35">
        <f t="shared" si="41"/>
        <v>0</v>
      </c>
      <c r="CA35">
        <f t="shared" si="68"/>
        <v>0</v>
      </c>
      <c r="CB35">
        <f t="shared" si="69"/>
        <v>0</v>
      </c>
      <c r="CD35">
        <f t="shared" si="42"/>
        <v>0</v>
      </c>
      <c r="CE35">
        <f t="shared" si="43"/>
        <v>0</v>
      </c>
      <c r="CF35">
        <f t="shared" si="44"/>
        <v>0</v>
      </c>
      <c r="CG35">
        <f t="shared" si="45"/>
        <v>0</v>
      </c>
      <c r="CH35">
        <f t="shared" si="70"/>
        <v>0</v>
      </c>
      <c r="CI35">
        <f t="shared" si="71"/>
        <v>0</v>
      </c>
      <c r="CK35">
        <f t="shared" si="46"/>
        <v>0</v>
      </c>
      <c r="CL35">
        <f t="shared" si="47"/>
        <v>1</v>
      </c>
      <c r="CM35">
        <f t="shared" si="48"/>
        <v>0</v>
      </c>
      <c r="CN35">
        <f t="shared" si="49"/>
        <v>0</v>
      </c>
      <c r="CO35">
        <f t="shared" si="72"/>
        <v>0</v>
      </c>
      <c r="CP35">
        <f t="shared" si="73"/>
        <v>0</v>
      </c>
      <c r="CR35">
        <f t="shared" si="50"/>
        <v>1</v>
      </c>
      <c r="CS35">
        <f t="shared" si="51"/>
        <v>0</v>
      </c>
      <c r="CT35">
        <f t="shared" si="52"/>
        <v>0</v>
      </c>
      <c r="CU35">
        <f t="shared" si="53"/>
        <v>0</v>
      </c>
      <c r="CV35">
        <f t="shared" si="74"/>
        <v>0</v>
      </c>
      <c r="CW35">
        <f t="shared" si="75"/>
        <v>0</v>
      </c>
      <c r="CY35">
        <f t="shared" si="54"/>
        <v>1</v>
      </c>
      <c r="CZ35">
        <f t="shared" si="55"/>
        <v>0</v>
      </c>
      <c r="DA35">
        <f t="shared" si="56"/>
        <v>0</v>
      </c>
      <c r="DB35">
        <f t="shared" si="57"/>
        <v>0</v>
      </c>
      <c r="DC35">
        <f t="shared" si="76"/>
        <v>0</v>
      </c>
      <c r="DD35">
        <f t="shared" si="77"/>
        <v>0</v>
      </c>
      <c r="DF35" s="79">
        <f t="shared" si="78"/>
        <v>1</v>
      </c>
      <c r="DG35" s="79">
        <f t="shared" si="79"/>
        <v>0</v>
      </c>
      <c r="DH35">
        <f t="shared" si="124"/>
        <v>2</v>
      </c>
      <c r="DI35">
        <f t="shared" si="89"/>
        <v>0</v>
      </c>
      <c r="DK35" s="79">
        <f t="shared" si="58"/>
        <v>0</v>
      </c>
      <c r="DL35" s="79">
        <f t="shared" si="59"/>
        <v>0</v>
      </c>
      <c r="DM35">
        <f t="shared" ref="DM35:DN35" si="236">IF(DK35+DL35=0,DM34,(DM34+DK35)*DK35)</f>
        <v>1</v>
      </c>
      <c r="DN35">
        <f t="shared" si="236"/>
        <v>0</v>
      </c>
      <c r="DP35" s="79">
        <f t="shared" si="60"/>
        <v>0</v>
      </c>
      <c r="DQ35" s="79">
        <f t="shared" si="61"/>
        <v>0</v>
      </c>
      <c r="DR35">
        <f t="shared" ref="DR35:DS35" si="237">IF(DP35+DQ35=0,DR34,(DR34+DP35)*DP35)</f>
        <v>0</v>
      </c>
      <c r="DS35">
        <f t="shared" si="237"/>
        <v>1</v>
      </c>
      <c r="DU35" s="79">
        <f t="shared" si="62"/>
        <v>0</v>
      </c>
      <c r="DV35" s="79">
        <f t="shared" si="63"/>
        <v>1</v>
      </c>
      <c r="DW35">
        <f t="shared" ref="DW35:DX35" si="238">IF(DU35+DV35=0,DW34,(DW34+DU35)*DU35)</f>
        <v>0</v>
      </c>
      <c r="DX35">
        <f t="shared" si="238"/>
        <v>4</v>
      </c>
      <c r="DZ35" s="79">
        <f t="shared" si="64"/>
        <v>0</v>
      </c>
      <c r="EA35" s="79">
        <f t="shared" si="65"/>
        <v>0</v>
      </c>
      <c r="EB35">
        <f t="shared" ref="EB35:EC35" si="239">IF(DZ35+EA35=0,EB34,(EB34+DZ35)*DZ35)</f>
        <v>1</v>
      </c>
      <c r="EC35">
        <f t="shared" si="239"/>
        <v>0</v>
      </c>
      <c r="EH35" s="80"/>
      <c r="EI35" s="69"/>
      <c r="EK35" s="80"/>
      <c r="EL35" s="69"/>
      <c r="EN35" s="80"/>
      <c r="EO35" s="69"/>
      <c r="EQ35" s="80"/>
      <c r="ER35" s="69"/>
    </row>
    <row r="36" spans="1:148">
      <c r="A36" s="29">
        <v>35</v>
      </c>
      <c r="B36" s="29" t="s">
        <v>321</v>
      </c>
      <c r="C36" s="29" t="s">
        <v>46</v>
      </c>
      <c r="D36" s="29" t="s">
        <v>44</v>
      </c>
      <c r="E36" s="29" t="s">
        <v>42</v>
      </c>
      <c r="F36" s="30"/>
      <c r="G36" s="29" t="s">
        <v>20</v>
      </c>
      <c r="H36" s="29" t="s">
        <v>34</v>
      </c>
      <c r="I36" s="29" t="s">
        <v>40</v>
      </c>
      <c r="J36" s="29" t="s">
        <v>47</v>
      </c>
      <c r="M36" s="41" t="s">
        <v>97</v>
      </c>
      <c r="N36" s="42">
        <f t="shared" si="80"/>
        <v>2</v>
      </c>
      <c r="O36" s="43">
        <f t="shared" si="81"/>
        <v>4</v>
      </c>
      <c r="P36" s="44">
        <f t="shared" si="201"/>
        <v>0.33333333333333331</v>
      </c>
      <c r="Q36" s="42">
        <f t="shared" si="82"/>
        <v>4</v>
      </c>
      <c r="R36" s="43">
        <f t="shared" si="83"/>
        <v>8</v>
      </c>
      <c r="S36" s="44">
        <f t="shared" si="202"/>
        <v>0.33333333333333331</v>
      </c>
      <c r="T36" s="42">
        <f t="shared" si="84"/>
        <v>8</v>
      </c>
      <c r="U36" s="43">
        <f t="shared" si="85"/>
        <v>7</v>
      </c>
      <c r="V36" s="44">
        <f t="shared" si="203"/>
        <v>0.53333333333333333</v>
      </c>
      <c r="W36" s="42">
        <f t="shared" si="86"/>
        <v>0</v>
      </c>
      <c r="X36" s="43">
        <f t="shared" si="87"/>
        <v>0</v>
      </c>
      <c r="Y36" s="45" t="str">
        <f t="shared" si="204"/>
        <v>-</v>
      </c>
      <c r="Z36" s="46">
        <f t="shared" si="205"/>
        <v>14</v>
      </c>
      <c r="AA36" s="28">
        <f t="shared" si="206"/>
        <v>19</v>
      </c>
      <c r="AB36" s="47">
        <f t="shared" si="207"/>
        <v>0.42424242424242425</v>
      </c>
      <c r="AH36" s="72">
        <f t="shared" si="66"/>
        <v>1</v>
      </c>
      <c r="AI36" s="72">
        <f t="shared" si="67"/>
        <v>1</v>
      </c>
      <c r="AJ36" s="72">
        <f t="shared" si="0"/>
        <v>1</v>
      </c>
      <c r="AK36" s="72">
        <f t="shared" si="1"/>
        <v>1</v>
      </c>
      <c r="AL36" s="72">
        <f t="shared" si="2"/>
        <v>1</v>
      </c>
      <c r="AM36" s="72">
        <f t="shared" si="3"/>
        <v>0</v>
      </c>
      <c r="AN36" s="72">
        <f t="shared" si="4"/>
        <v>0</v>
      </c>
      <c r="AO36" s="72">
        <f t="shared" si="5"/>
        <v>0</v>
      </c>
      <c r="AP36" s="72">
        <f t="shared" si="6"/>
        <v>0</v>
      </c>
      <c r="AQ36" s="72">
        <f t="shared" si="7"/>
        <v>0</v>
      </c>
      <c r="AR36" s="72">
        <f t="shared" si="8"/>
        <v>0</v>
      </c>
      <c r="AS36" s="72">
        <f t="shared" si="9"/>
        <v>0</v>
      </c>
      <c r="AT36" s="72">
        <f t="shared" si="10"/>
        <v>1</v>
      </c>
      <c r="AU36" s="72">
        <f t="shared" si="11"/>
        <v>0</v>
      </c>
      <c r="AV36" s="72">
        <f t="shared" si="12"/>
        <v>0</v>
      </c>
      <c r="AW36" s="72">
        <f t="shared" si="13"/>
        <v>0</v>
      </c>
      <c r="AX36" s="72">
        <f t="shared" si="14"/>
        <v>0</v>
      </c>
      <c r="AY36" s="72">
        <f t="shared" si="15"/>
        <v>0</v>
      </c>
      <c r="AZ36" s="72">
        <f t="shared" si="16"/>
        <v>0</v>
      </c>
      <c r="BA36" s="72">
        <f t="shared" si="17"/>
        <v>1</v>
      </c>
      <c r="BB36" s="72">
        <f t="shared" si="18"/>
        <v>1</v>
      </c>
      <c r="BC36" s="72">
        <f t="shared" si="19"/>
        <v>0</v>
      </c>
      <c r="BD36" s="72">
        <f t="shared" si="20"/>
        <v>0</v>
      </c>
      <c r="BE36" s="72">
        <f t="shared" si="21"/>
        <v>1</v>
      </c>
      <c r="BF36" s="72">
        <f t="shared" si="22"/>
        <v>1</v>
      </c>
      <c r="BG36" s="72">
        <f t="shared" si="23"/>
        <v>0</v>
      </c>
      <c r="BH36" s="72">
        <f t="shared" si="24"/>
        <v>0</v>
      </c>
      <c r="BI36" s="72">
        <f t="shared" si="25"/>
        <v>1</v>
      </c>
      <c r="BJ36" s="72">
        <f t="shared" si="26"/>
        <v>0</v>
      </c>
      <c r="BK36" s="72">
        <f t="shared" si="27"/>
        <v>1</v>
      </c>
      <c r="BL36" s="72">
        <f t="shared" si="28"/>
        <v>0</v>
      </c>
      <c r="BM36" s="72">
        <f t="shared" si="29"/>
        <v>0</v>
      </c>
      <c r="BN36" s="72">
        <f t="shared" si="30"/>
        <v>0</v>
      </c>
      <c r="BO36" s="72">
        <f t="shared" si="31"/>
        <v>0</v>
      </c>
      <c r="BP36" s="72">
        <f t="shared" si="32"/>
        <v>0</v>
      </c>
      <c r="BQ36" s="72">
        <f t="shared" si="33"/>
        <v>0</v>
      </c>
      <c r="BR36" s="72">
        <f t="shared" si="34"/>
        <v>0</v>
      </c>
      <c r="BS36" s="72">
        <f t="shared" si="35"/>
        <v>0</v>
      </c>
      <c r="BT36" s="72">
        <f t="shared" si="36"/>
        <v>0</v>
      </c>
      <c r="BU36" s="72">
        <f t="shared" si="37"/>
        <v>0</v>
      </c>
      <c r="BW36">
        <f t="shared" si="38"/>
        <v>0</v>
      </c>
      <c r="BX36">
        <f t="shared" si="39"/>
        <v>0</v>
      </c>
      <c r="BY36">
        <f t="shared" si="40"/>
        <v>1</v>
      </c>
      <c r="BZ36">
        <f t="shared" si="41"/>
        <v>0</v>
      </c>
      <c r="CA36">
        <f t="shared" si="68"/>
        <v>0</v>
      </c>
      <c r="CB36">
        <f t="shared" si="69"/>
        <v>0</v>
      </c>
      <c r="CD36">
        <f t="shared" si="42"/>
        <v>0</v>
      </c>
      <c r="CE36">
        <f t="shared" si="43"/>
        <v>1</v>
      </c>
      <c r="CF36">
        <f t="shared" si="44"/>
        <v>1</v>
      </c>
      <c r="CG36">
        <f t="shared" si="45"/>
        <v>0</v>
      </c>
      <c r="CH36">
        <f t="shared" si="70"/>
        <v>0</v>
      </c>
      <c r="CI36">
        <f t="shared" si="71"/>
        <v>1</v>
      </c>
      <c r="CK36">
        <f t="shared" si="46"/>
        <v>0</v>
      </c>
      <c r="CL36">
        <f t="shared" si="47"/>
        <v>0</v>
      </c>
      <c r="CM36">
        <f t="shared" si="48"/>
        <v>1</v>
      </c>
      <c r="CN36">
        <f t="shared" si="49"/>
        <v>0</v>
      </c>
      <c r="CO36">
        <f t="shared" si="72"/>
        <v>0</v>
      </c>
      <c r="CP36">
        <f t="shared" si="73"/>
        <v>0</v>
      </c>
      <c r="CR36">
        <f t="shared" si="50"/>
        <v>0</v>
      </c>
      <c r="CS36">
        <f t="shared" si="51"/>
        <v>0</v>
      </c>
      <c r="CT36">
        <f t="shared" si="52"/>
        <v>0</v>
      </c>
      <c r="CU36">
        <f t="shared" si="53"/>
        <v>1</v>
      </c>
      <c r="CV36">
        <f t="shared" si="74"/>
        <v>0</v>
      </c>
      <c r="CW36">
        <f t="shared" si="75"/>
        <v>0</v>
      </c>
      <c r="CY36">
        <f t="shared" si="54"/>
        <v>0</v>
      </c>
      <c r="CZ36">
        <f t="shared" si="55"/>
        <v>0</v>
      </c>
      <c r="DA36">
        <f t="shared" si="56"/>
        <v>0</v>
      </c>
      <c r="DB36">
        <f t="shared" si="57"/>
        <v>0</v>
      </c>
      <c r="DC36">
        <f t="shared" si="76"/>
        <v>0</v>
      </c>
      <c r="DD36">
        <f t="shared" si="77"/>
        <v>0</v>
      </c>
      <c r="DF36" s="79">
        <f t="shared" si="78"/>
        <v>0</v>
      </c>
      <c r="DG36" s="79">
        <f t="shared" si="79"/>
        <v>0</v>
      </c>
      <c r="DH36">
        <f t="shared" si="124"/>
        <v>2</v>
      </c>
      <c r="DI36">
        <f t="shared" si="89"/>
        <v>0</v>
      </c>
      <c r="DK36" s="79">
        <f t="shared" si="58"/>
        <v>0</v>
      </c>
      <c r="DL36" s="79">
        <f t="shared" si="59"/>
        <v>1</v>
      </c>
      <c r="DM36">
        <f t="shared" ref="DM36:DN36" si="240">IF(DK36+DL36=0,DM35,(DM35+DK36)*DK36)</f>
        <v>0</v>
      </c>
      <c r="DN36">
        <f t="shared" si="240"/>
        <v>1</v>
      </c>
      <c r="DP36" s="79">
        <f t="shared" si="60"/>
        <v>0</v>
      </c>
      <c r="DQ36" s="79">
        <f t="shared" si="61"/>
        <v>0</v>
      </c>
      <c r="DR36">
        <f t="shared" ref="DR36:DS36" si="241">IF(DP36+DQ36=0,DR35,(DR35+DP36)*DP36)</f>
        <v>0</v>
      </c>
      <c r="DS36">
        <f t="shared" si="241"/>
        <v>1</v>
      </c>
      <c r="DU36" s="79">
        <f t="shared" si="62"/>
        <v>0</v>
      </c>
      <c r="DV36" s="79">
        <f t="shared" si="63"/>
        <v>0</v>
      </c>
      <c r="DW36">
        <f t="shared" ref="DW36:DX36" si="242">IF(DU36+DV36=0,DW35,(DW35+DU36)*DU36)</f>
        <v>0</v>
      </c>
      <c r="DX36">
        <f t="shared" si="242"/>
        <v>4</v>
      </c>
      <c r="DZ36" s="79">
        <f t="shared" si="64"/>
        <v>0</v>
      </c>
      <c r="EA36" s="79">
        <f t="shared" si="65"/>
        <v>1</v>
      </c>
      <c r="EB36">
        <f t="shared" ref="EB36:EC36" si="243">IF(DZ36+EA36=0,EB35,(EB35+DZ36)*DZ36)</f>
        <v>0</v>
      </c>
      <c r="EC36">
        <f t="shared" si="243"/>
        <v>1</v>
      </c>
      <c r="EH36" s="80"/>
      <c r="EI36" s="69"/>
      <c r="EK36" s="80"/>
      <c r="EL36" s="69"/>
      <c r="EN36" s="80"/>
      <c r="EO36" s="69"/>
      <c r="EQ36" s="80"/>
      <c r="ER36" s="69"/>
    </row>
    <row r="37" spans="1:148">
      <c r="A37" s="29">
        <v>36</v>
      </c>
      <c r="B37" s="29" t="s">
        <v>17</v>
      </c>
      <c r="C37" s="29" t="s">
        <v>31</v>
      </c>
      <c r="D37" s="29" t="s">
        <v>38</v>
      </c>
      <c r="E37" s="29" t="s">
        <v>26</v>
      </c>
      <c r="F37" s="30"/>
      <c r="G37" s="29" t="s">
        <v>28</v>
      </c>
      <c r="H37" s="29" t="s">
        <v>37</v>
      </c>
      <c r="I37" s="29" t="s">
        <v>23</v>
      </c>
      <c r="J37" s="29" t="s">
        <v>33</v>
      </c>
      <c r="M37" s="41" t="s">
        <v>100</v>
      </c>
      <c r="N37" s="42">
        <f t="shared" si="80"/>
        <v>0</v>
      </c>
      <c r="O37" s="43">
        <f t="shared" si="81"/>
        <v>0</v>
      </c>
      <c r="P37" s="44" t="str">
        <f t="shared" si="201"/>
        <v>-</v>
      </c>
      <c r="Q37" s="42">
        <f t="shared" si="82"/>
        <v>0</v>
      </c>
      <c r="R37" s="43">
        <f t="shared" si="83"/>
        <v>0</v>
      </c>
      <c r="S37" s="44" t="str">
        <f t="shared" si="202"/>
        <v>-</v>
      </c>
      <c r="T37" s="42">
        <f t="shared" si="84"/>
        <v>0</v>
      </c>
      <c r="U37" s="43">
        <f t="shared" si="85"/>
        <v>0</v>
      </c>
      <c r="V37" s="44" t="str">
        <f t="shared" si="203"/>
        <v>-</v>
      </c>
      <c r="W37" s="42">
        <f t="shared" si="86"/>
        <v>0</v>
      </c>
      <c r="X37" s="43">
        <f t="shared" si="87"/>
        <v>0</v>
      </c>
      <c r="Y37" s="45" t="str">
        <f t="shared" si="204"/>
        <v>-</v>
      </c>
      <c r="Z37" s="46">
        <f t="shared" si="205"/>
        <v>0</v>
      </c>
      <c r="AA37" s="28">
        <f t="shared" si="206"/>
        <v>0</v>
      </c>
      <c r="AB37" s="47" t="str">
        <f t="shared" si="207"/>
        <v>-</v>
      </c>
      <c r="AH37" s="72">
        <f t="shared" si="66"/>
        <v>0</v>
      </c>
      <c r="AI37" s="72">
        <f t="shared" si="67"/>
        <v>0</v>
      </c>
      <c r="AJ37" s="72">
        <f t="shared" si="0"/>
        <v>0</v>
      </c>
      <c r="AK37" s="72">
        <f t="shared" si="1"/>
        <v>0</v>
      </c>
      <c r="AL37" s="72">
        <f t="shared" si="2"/>
        <v>1</v>
      </c>
      <c r="AM37" s="72">
        <f t="shared" si="3"/>
        <v>0</v>
      </c>
      <c r="AN37" s="72">
        <f t="shared" si="4"/>
        <v>2</v>
      </c>
      <c r="AO37" s="72">
        <f t="shared" si="5"/>
        <v>0</v>
      </c>
      <c r="AP37" s="72">
        <f t="shared" si="6"/>
        <v>2</v>
      </c>
      <c r="AQ37" s="72">
        <f t="shared" si="7"/>
        <v>0</v>
      </c>
      <c r="AR37" s="72">
        <f t="shared" si="8"/>
        <v>1</v>
      </c>
      <c r="AS37" s="72">
        <f t="shared" si="9"/>
        <v>0</v>
      </c>
      <c r="AT37" s="72">
        <f t="shared" si="10"/>
        <v>1</v>
      </c>
      <c r="AU37" s="72">
        <f t="shared" si="11"/>
        <v>0</v>
      </c>
      <c r="AV37" s="72">
        <f t="shared" si="12"/>
        <v>1</v>
      </c>
      <c r="AW37" s="72">
        <f t="shared" si="13"/>
        <v>1</v>
      </c>
      <c r="AX37" s="72">
        <f t="shared" si="14"/>
        <v>1</v>
      </c>
      <c r="AY37" s="72">
        <f t="shared" si="15"/>
        <v>0</v>
      </c>
      <c r="AZ37" s="72">
        <f t="shared" si="16"/>
        <v>1</v>
      </c>
      <c r="BA37" s="72">
        <f t="shared" si="17"/>
        <v>0</v>
      </c>
      <c r="BB37" s="72">
        <f t="shared" si="18"/>
        <v>1</v>
      </c>
      <c r="BC37" s="72">
        <f t="shared" si="19"/>
        <v>0</v>
      </c>
      <c r="BD37" s="72">
        <f t="shared" si="20"/>
        <v>1</v>
      </c>
      <c r="BE37" s="72">
        <f t="shared" si="21"/>
        <v>0</v>
      </c>
      <c r="BF37" s="72">
        <f t="shared" si="22"/>
        <v>1</v>
      </c>
      <c r="BG37" s="72">
        <f t="shared" si="23"/>
        <v>0</v>
      </c>
      <c r="BH37" s="72">
        <f t="shared" si="24"/>
        <v>1</v>
      </c>
      <c r="BI37" s="72">
        <f t="shared" si="25"/>
        <v>0</v>
      </c>
      <c r="BJ37" s="72">
        <f t="shared" si="26"/>
        <v>1</v>
      </c>
      <c r="BK37" s="72">
        <f t="shared" si="27"/>
        <v>0</v>
      </c>
      <c r="BL37" s="72">
        <f t="shared" si="28"/>
        <v>2</v>
      </c>
      <c r="BM37" s="72">
        <f t="shared" si="29"/>
        <v>0</v>
      </c>
      <c r="BN37" s="72">
        <f t="shared" si="30"/>
        <v>1</v>
      </c>
      <c r="BO37" s="72">
        <f t="shared" si="31"/>
        <v>0</v>
      </c>
      <c r="BP37" s="72">
        <f t="shared" si="32"/>
        <v>1</v>
      </c>
      <c r="BQ37" s="72">
        <f t="shared" si="33"/>
        <v>0</v>
      </c>
      <c r="BR37" s="72">
        <f t="shared" si="34"/>
        <v>1</v>
      </c>
      <c r="BS37" s="72">
        <f t="shared" si="35"/>
        <v>1</v>
      </c>
      <c r="BT37" s="72">
        <f t="shared" si="36"/>
        <v>0</v>
      </c>
      <c r="BU37" s="72">
        <f t="shared" si="37"/>
        <v>0</v>
      </c>
      <c r="BW37">
        <f t="shared" si="38"/>
        <v>0</v>
      </c>
      <c r="BX37">
        <f t="shared" si="39"/>
        <v>0</v>
      </c>
      <c r="BY37">
        <f t="shared" si="40"/>
        <v>0</v>
      </c>
      <c r="BZ37">
        <f t="shared" si="41"/>
        <v>0</v>
      </c>
      <c r="CA37">
        <f t="shared" si="68"/>
        <v>0</v>
      </c>
      <c r="CB37">
        <f t="shared" si="69"/>
        <v>0</v>
      </c>
      <c r="CD37">
        <f t="shared" si="42"/>
        <v>0</v>
      </c>
      <c r="CE37">
        <f t="shared" si="43"/>
        <v>0</v>
      </c>
      <c r="CF37">
        <f t="shared" si="44"/>
        <v>0</v>
      </c>
      <c r="CG37">
        <f t="shared" si="45"/>
        <v>0</v>
      </c>
      <c r="CH37">
        <f t="shared" si="70"/>
        <v>0</v>
      </c>
      <c r="CI37">
        <f t="shared" si="71"/>
        <v>0</v>
      </c>
      <c r="CK37">
        <f t="shared" si="46"/>
        <v>0</v>
      </c>
      <c r="CL37">
        <f t="shared" si="47"/>
        <v>1</v>
      </c>
      <c r="CM37">
        <f t="shared" si="48"/>
        <v>0</v>
      </c>
      <c r="CN37">
        <f t="shared" si="49"/>
        <v>0</v>
      </c>
      <c r="CO37">
        <f t="shared" si="72"/>
        <v>0</v>
      </c>
      <c r="CP37">
        <f t="shared" si="73"/>
        <v>0</v>
      </c>
      <c r="CR37">
        <f t="shared" si="50"/>
        <v>1</v>
      </c>
      <c r="CS37">
        <f t="shared" si="51"/>
        <v>0</v>
      </c>
      <c r="CT37">
        <f t="shared" si="52"/>
        <v>0</v>
      </c>
      <c r="CU37">
        <f t="shared" si="53"/>
        <v>0</v>
      </c>
      <c r="CV37">
        <f t="shared" si="74"/>
        <v>0</v>
      </c>
      <c r="CW37">
        <f t="shared" si="75"/>
        <v>0</v>
      </c>
      <c r="CY37">
        <f t="shared" si="54"/>
        <v>1</v>
      </c>
      <c r="CZ37">
        <f t="shared" si="55"/>
        <v>0</v>
      </c>
      <c r="DA37">
        <f t="shared" si="56"/>
        <v>0</v>
      </c>
      <c r="DB37">
        <f t="shared" si="57"/>
        <v>0</v>
      </c>
      <c r="DC37">
        <f t="shared" si="76"/>
        <v>0</v>
      </c>
      <c r="DD37">
        <f t="shared" si="77"/>
        <v>0</v>
      </c>
      <c r="DF37" s="79">
        <f t="shared" si="78"/>
        <v>0</v>
      </c>
      <c r="DG37" s="79">
        <f t="shared" si="79"/>
        <v>1</v>
      </c>
      <c r="DH37">
        <f t="shared" si="124"/>
        <v>0</v>
      </c>
      <c r="DI37">
        <f t="shared" si="89"/>
        <v>1</v>
      </c>
      <c r="DK37" s="79">
        <f t="shared" si="58"/>
        <v>0</v>
      </c>
      <c r="DL37" s="79">
        <f t="shared" si="59"/>
        <v>0</v>
      </c>
      <c r="DM37">
        <f t="shared" ref="DM37:DN37" si="244">IF(DK37+DL37=0,DM36,(DM36+DK37)*DK37)</f>
        <v>0</v>
      </c>
      <c r="DN37">
        <f t="shared" si="244"/>
        <v>1</v>
      </c>
      <c r="DP37" s="79">
        <f t="shared" si="60"/>
        <v>0</v>
      </c>
      <c r="DQ37" s="79">
        <f t="shared" si="61"/>
        <v>0</v>
      </c>
      <c r="DR37">
        <f t="shared" ref="DR37:DS37" si="245">IF(DP37+DQ37=0,DR36,(DR36+DP37)*DP37)</f>
        <v>0</v>
      </c>
      <c r="DS37">
        <f t="shared" si="245"/>
        <v>1</v>
      </c>
      <c r="DU37" s="79">
        <f t="shared" si="62"/>
        <v>1</v>
      </c>
      <c r="DV37" s="79">
        <f t="shared" si="63"/>
        <v>0</v>
      </c>
      <c r="DW37">
        <f t="shared" ref="DW37:DX37" si="246">IF(DU37+DV37=0,DW36,(DW36+DU37)*DU37)</f>
        <v>1</v>
      </c>
      <c r="DX37">
        <f t="shared" si="246"/>
        <v>0</v>
      </c>
      <c r="DZ37" s="79">
        <f t="shared" si="64"/>
        <v>0</v>
      </c>
      <c r="EA37" s="79">
        <f t="shared" si="65"/>
        <v>0</v>
      </c>
      <c r="EB37">
        <f t="shared" ref="EB37:EC37" si="247">IF(DZ37+EA37=0,EB36,(EB36+DZ37)*DZ37)</f>
        <v>0</v>
      </c>
      <c r="EC37">
        <f t="shared" si="247"/>
        <v>1</v>
      </c>
      <c r="EH37" s="80"/>
      <c r="EI37" s="69"/>
      <c r="EK37" s="80"/>
      <c r="EL37" s="69"/>
      <c r="EN37" s="80"/>
      <c r="EO37" s="69"/>
      <c r="EQ37" s="80"/>
      <c r="ER37" s="69"/>
    </row>
    <row r="38" spans="1:148">
      <c r="A38" s="29">
        <v>37</v>
      </c>
      <c r="B38" s="29" t="s">
        <v>42</v>
      </c>
      <c r="C38" s="29" t="s">
        <v>46</v>
      </c>
      <c r="D38" s="29" t="s">
        <v>44</v>
      </c>
      <c r="E38" s="29" t="s">
        <v>20</v>
      </c>
      <c r="F38" s="30"/>
      <c r="G38" s="29" t="s">
        <v>40</v>
      </c>
      <c r="H38" s="29" t="s">
        <v>34</v>
      </c>
      <c r="I38" s="29" t="s">
        <v>321</v>
      </c>
      <c r="J38" s="29" t="s">
        <v>47</v>
      </c>
      <c r="M38" s="41" t="s">
        <v>101</v>
      </c>
      <c r="N38" s="42">
        <f t="shared" si="80"/>
        <v>0</v>
      </c>
      <c r="O38" s="43">
        <f t="shared" si="81"/>
        <v>0</v>
      </c>
      <c r="P38" s="44" t="str">
        <f t="shared" si="201"/>
        <v>-</v>
      </c>
      <c r="Q38" s="42">
        <f t="shared" si="82"/>
        <v>0</v>
      </c>
      <c r="R38" s="43">
        <f t="shared" si="83"/>
        <v>0</v>
      </c>
      <c r="S38" s="44" t="str">
        <f t="shared" si="202"/>
        <v>-</v>
      </c>
      <c r="T38" s="42">
        <f t="shared" si="84"/>
        <v>0</v>
      </c>
      <c r="U38" s="43">
        <f t="shared" si="85"/>
        <v>0</v>
      </c>
      <c r="V38" s="44" t="str">
        <f t="shared" si="203"/>
        <v>-</v>
      </c>
      <c r="W38" s="42">
        <f t="shared" si="86"/>
        <v>0</v>
      </c>
      <c r="X38" s="43">
        <f t="shared" si="87"/>
        <v>0</v>
      </c>
      <c r="Y38" s="45" t="str">
        <f t="shared" si="204"/>
        <v>-</v>
      </c>
      <c r="Z38" s="46">
        <f t="shared" si="205"/>
        <v>0</v>
      </c>
      <c r="AA38" s="28">
        <f t="shared" si="206"/>
        <v>0</v>
      </c>
      <c r="AB38" s="47" t="str">
        <f t="shared" si="207"/>
        <v>-</v>
      </c>
      <c r="AH38" s="72">
        <f t="shared" si="66"/>
        <v>1</v>
      </c>
      <c r="AI38" s="72">
        <f t="shared" si="67"/>
        <v>1</v>
      </c>
      <c r="AJ38" s="72">
        <f t="shared" si="0"/>
        <v>1</v>
      </c>
      <c r="AK38" s="72">
        <f t="shared" si="1"/>
        <v>1</v>
      </c>
      <c r="AL38" s="72">
        <f t="shared" si="2"/>
        <v>1</v>
      </c>
      <c r="AM38" s="72">
        <f t="shared" si="3"/>
        <v>0</v>
      </c>
      <c r="AN38" s="72">
        <f t="shared" si="4"/>
        <v>0</v>
      </c>
      <c r="AO38" s="72">
        <f t="shared" si="5"/>
        <v>0</v>
      </c>
      <c r="AP38" s="72">
        <f t="shared" si="6"/>
        <v>0</v>
      </c>
      <c r="AQ38" s="72">
        <f t="shared" si="7"/>
        <v>0</v>
      </c>
      <c r="AR38" s="72">
        <f t="shared" si="8"/>
        <v>0</v>
      </c>
      <c r="AS38" s="72">
        <f t="shared" si="9"/>
        <v>0</v>
      </c>
      <c r="AT38" s="72">
        <f t="shared" si="10"/>
        <v>1</v>
      </c>
      <c r="AU38" s="72">
        <f t="shared" si="11"/>
        <v>0</v>
      </c>
      <c r="AV38" s="72">
        <f t="shared" si="12"/>
        <v>0</v>
      </c>
      <c r="AW38" s="72">
        <f t="shared" si="13"/>
        <v>0</v>
      </c>
      <c r="AX38" s="72">
        <f t="shared" si="14"/>
        <v>0</v>
      </c>
      <c r="AY38" s="72">
        <f t="shared" si="15"/>
        <v>0</v>
      </c>
      <c r="AZ38" s="72">
        <f t="shared" si="16"/>
        <v>1</v>
      </c>
      <c r="BA38" s="72">
        <f t="shared" si="17"/>
        <v>0</v>
      </c>
      <c r="BB38" s="72">
        <f t="shared" si="18"/>
        <v>1</v>
      </c>
      <c r="BC38" s="72">
        <f t="shared" si="19"/>
        <v>0</v>
      </c>
      <c r="BD38" s="72">
        <f t="shared" si="20"/>
        <v>0</v>
      </c>
      <c r="BE38" s="72">
        <f t="shared" si="21"/>
        <v>1</v>
      </c>
      <c r="BF38" s="72">
        <f t="shared" si="22"/>
        <v>0</v>
      </c>
      <c r="BG38" s="72">
        <f t="shared" si="23"/>
        <v>1</v>
      </c>
      <c r="BH38" s="72">
        <f t="shared" si="24"/>
        <v>0</v>
      </c>
      <c r="BI38" s="72">
        <f t="shared" si="25"/>
        <v>1</v>
      </c>
      <c r="BJ38" s="72">
        <f t="shared" si="26"/>
        <v>0</v>
      </c>
      <c r="BK38" s="72">
        <f t="shared" si="27"/>
        <v>1</v>
      </c>
      <c r="BL38" s="72">
        <f t="shared" si="28"/>
        <v>0</v>
      </c>
      <c r="BM38" s="72">
        <f t="shared" si="29"/>
        <v>0</v>
      </c>
      <c r="BN38" s="72">
        <f t="shared" si="30"/>
        <v>0</v>
      </c>
      <c r="BO38" s="72">
        <f t="shared" si="31"/>
        <v>0</v>
      </c>
      <c r="BP38" s="72">
        <f t="shared" si="32"/>
        <v>0</v>
      </c>
      <c r="BQ38" s="72">
        <f t="shared" si="33"/>
        <v>0</v>
      </c>
      <c r="BR38" s="72">
        <f t="shared" si="34"/>
        <v>0</v>
      </c>
      <c r="BS38" s="72">
        <f t="shared" si="35"/>
        <v>0</v>
      </c>
      <c r="BT38" s="72">
        <f t="shared" si="36"/>
        <v>0</v>
      </c>
      <c r="BU38" s="72">
        <f t="shared" si="37"/>
        <v>0</v>
      </c>
      <c r="BW38">
        <f t="shared" si="38"/>
        <v>0</v>
      </c>
      <c r="BX38">
        <f t="shared" si="39"/>
        <v>0</v>
      </c>
      <c r="BY38">
        <f t="shared" si="40"/>
        <v>1</v>
      </c>
      <c r="BZ38">
        <f t="shared" si="41"/>
        <v>0</v>
      </c>
      <c r="CA38">
        <f t="shared" si="68"/>
        <v>0</v>
      </c>
      <c r="CB38">
        <f t="shared" si="69"/>
        <v>0</v>
      </c>
      <c r="CD38">
        <f t="shared" si="42"/>
        <v>0</v>
      </c>
      <c r="CE38">
        <f t="shared" si="43"/>
        <v>1</v>
      </c>
      <c r="CF38">
        <f t="shared" si="44"/>
        <v>1</v>
      </c>
      <c r="CG38">
        <f t="shared" si="45"/>
        <v>0</v>
      </c>
      <c r="CH38">
        <f t="shared" si="70"/>
        <v>0</v>
      </c>
      <c r="CI38">
        <f t="shared" si="71"/>
        <v>1</v>
      </c>
      <c r="CK38">
        <f t="shared" si="46"/>
        <v>0</v>
      </c>
      <c r="CL38">
        <f t="shared" si="47"/>
        <v>0</v>
      </c>
      <c r="CM38">
        <f t="shared" si="48"/>
        <v>1</v>
      </c>
      <c r="CN38">
        <f t="shared" si="49"/>
        <v>0</v>
      </c>
      <c r="CO38">
        <f t="shared" si="72"/>
        <v>0</v>
      </c>
      <c r="CP38">
        <f t="shared" si="73"/>
        <v>0</v>
      </c>
      <c r="CR38">
        <f t="shared" si="50"/>
        <v>0</v>
      </c>
      <c r="CS38">
        <f t="shared" si="51"/>
        <v>0</v>
      </c>
      <c r="CT38">
        <f t="shared" si="52"/>
        <v>0</v>
      </c>
      <c r="CU38">
        <f t="shared" si="53"/>
        <v>1</v>
      </c>
      <c r="CV38">
        <f t="shared" si="74"/>
        <v>0</v>
      </c>
      <c r="CW38">
        <f t="shared" si="75"/>
        <v>0</v>
      </c>
      <c r="CY38">
        <f t="shared" si="54"/>
        <v>0</v>
      </c>
      <c r="CZ38">
        <f t="shared" si="55"/>
        <v>0</v>
      </c>
      <c r="DA38">
        <f t="shared" si="56"/>
        <v>0</v>
      </c>
      <c r="DB38">
        <f t="shared" si="57"/>
        <v>0</v>
      </c>
      <c r="DC38">
        <f t="shared" si="76"/>
        <v>0</v>
      </c>
      <c r="DD38">
        <f t="shared" si="77"/>
        <v>0</v>
      </c>
      <c r="DF38" s="79">
        <f t="shared" si="78"/>
        <v>0</v>
      </c>
      <c r="DG38" s="79">
        <f t="shared" si="79"/>
        <v>0</v>
      </c>
      <c r="DH38">
        <f t="shared" si="124"/>
        <v>0</v>
      </c>
      <c r="DI38">
        <f t="shared" si="89"/>
        <v>1</v>
      </c>
      <c r="DK38" s="79">
        <f t="shared" si="58"/>
        <v>1</v>
      </c>
      <c r="DL38" s="79">
        <f t="shared" si="59"/>
        <v>0</v>
      </c>
      <c r="DM38">
        <f t="shared" ref="DM38:DN38" si="248">IF(DK38+DL38=0,DM37,(DM37+DK38)*DK38)</f>
        <v>1</v>
      </c>
      <c r="DN38">
        <f t="shared" si="248"/>
        <v>0</v>
      </c>
      <c r="DP38" s="79">
        <f t="shared" si="60"/>
        <v>0</v>
      </c>
      <c r="DQ38" s="79">
        <f t="shared" si="61"/>
        <v>0</v>
      </c>
      <c r="DR38">
        <f t="shared" ref="DR38:DS38" si="249">IF(DP38+DQ38=0,DR37,(DR37+DP38)*DP38)</f>
        <v>0</v>
      </c>
      <c r="DS38">
        <f t="shared" si="249"/>
        <v>1</v>
      </c>
      <c r="DU38" s="79">
        <f t="shared" si="62"/>
        <v>0</v>
      </c>
      <c r="DV38" s="79">
        <f t="shared" si="63"/>
        <v>0</v>
      </c>
      <c r="DW38">
        <f t="shared" ref="DW38:DX38" si="250">IF(DU38+DV38=0,DW37,(DW37+DU38)*DU38)</f>
        <v>1</v>
      </c>
      <c r="DX38">
        <f t="shared" si="250"/>
        <v>0</v>
      </c>
      <c r="DZ38" s="79">
        <f t="shared" si="64"/>
        <v>0</v>
      </c>
      <c r="EA38" s="79">
        <f t="shared" si="65"/>
        <v>1</v>
      </c>
      <c r="EB38">
        <f t="shared" ref="EB38:EC38" si="251">IF(DZ38+EA38=0,EB37,(EB37+DZ38)*DZ38)</f>
        <v>0</v>
      </c>
      <c r="EC38">
        <f t="shared" si="251"/>
        <v>2</v>
      </c>
      <c r="EH38" s="80"/>
      <c r="EI38" s="69"/>
      <c r="EK38" s="80"/>
      <c r="EL38" s="69"/>
      <c r="EN38" s="80"/>
      <c r="EO38" s="69"/>
      <c r="EQ38" s="80"/>
      <c r="ER38" s="69"/>
    </row>
    <row r="39" spans="1:148">
      <c r="A39" s="29">
        <v>38</v>
      </c>
      <c r="B39" s="29" t="s">
        <v>32</v>
      </c>
      <c r="C39" s="29" t="s">
        <v>18</v>
      </c>
      <c r="D39" s="29" t="s">
        <v>44</v>
      </c>
      <c r="E39" s="29" t="s">
        <v>34</v>
      </c>
      <c r="F39" s="30"/>
      <c r="G39" s="29" t="s">
        <v>33</v>
      </c>
      <c r="H39" s="29" t="s">
        <v>36</v>
      </c>
      <c r="I39" s="29" t="s">
        <v>23</v>
      </c>
      <c r="J39" s="29" t="s">
        <v>47</v>
      </c>
      <c r="M39" s="169" t="s">
        <v>320</v>
      </c>
      <c r="N39" s="42">
        <f t="shared" si="80"/>
        <v>9</v>
      </c>
      <c r="O39" s="43">
        <f t="shared" si="81"/>
        <v>10</v>
      </c>
      <c r="P39" s="44">
        <f t="shared" ref="P39" si="252">IF(N39+O39=0,"-",N39/(N39+O39))</f>
        <v>0.47368421052631576</v>
      </c>
      <c r="Q39" s="42">
        <f t="shared" si="82"/>
        <v>1</v>
      </c>
      <c r="R39" s="43">
        <f t="shared" si="83"/>
        <v>0</v>
      </c>
      <c r="S39" s="44">
        <f t="shared" ref="S39" si="253">IF(Q39+R39=0,"-",Q39/(Q39+R39))</f>
        <v>1</v>
      </c>
      <c r="T39" s="42">
        <f t="shared" si="84"/>
        <v>1</v>
      </c>
      <c r="U39" s="43">
        <f t="shared" si="85"/>
        <v>2</v>
      </c>
      <c r="V39" s="44">
        <f t="shared" ref="V39" si="254">IF(T39+U39=0,"-",T39/(T39+U39))</f>
        <v>0.33333333333333331</v>
      </c>
      <c r="W39" s="42">
        <f t="shared" si="86"/>
        <v>0</v>
      </c>
      <c r="X39" s="43">
        <f t="shared" si="87"/>
        <v>0</v>
      </c>
      <c r="Y39" s="45" t="str">
        <f t="shared" ref="Y39" si="255">IF(W39+X39=0,"-",W39/(W39+X39))</f>
        <v>-</v>
      </c>
      <c r="Z39" s="46">
        <f t="shared" ref="Z39" si="256">N39+Q39+T39+W39</f>
        <v>11</v>
      </c>
      <c r="AA39" s="28">
        <f t="shared" ref="AA39" si="257">O39+R39+U39+X39</f>
        <v>12</v>
      </c>
      <c r="AB39" s="47">
        <f t="shared" ref="AB39" si="258">IF(Z39+AA39=0,"-",Z39/(Z39+AA39))</f>
        <v>0.47826086956521741</v>
      </c>
      <c r="AH39" s="72">
        <f t="shared" si="66"/>
        <v>1</v>
      </c>
      <c r="AI39" s="72">
        <f t="shared" si="67"/>
        <v>1</v>
      </c>
      <c r="AJ39" s="72">
        <f t="shared" si="0"/>
        <v>1</v>
      </c>
      <c r="AK39" s="72">
        <f t="shared" si="1"/>
        <v>1</v>
      </c>
      <c r="AL39" s="72">
        <f t="shared" si="2"/>
        <v>1</v>
      </c>
      <c r="AM39" s="72">
        <f t="shared" si="3"/>
        <v>0</v>
      </c>
      <c r="AN39" s="72">
        <f t="shared" si="4"/>
        <v>0</v>
      </c>
      <c r="AO39" s="72">
        <f t="shared" si="5"/>
        <v>0</v>
      </c>
      <c r="AP39" s="72">
        <f t="shared" si="6"/>
        <v>0</v>
      </c>
      <c r="AQ39" s="72">
        <f t="shared" si="7"/>
        <v>0</v>
      </c>
      <c r="AR39" s="72">
        <f t="shared" si="8"/>
        <v>1</v>
      </c>
      <c r="AS39" s="72">
        <f t="shared" si="9"/>
        <v>0</v>
      </c>
      <c r="AT39" s="72">
        <f t="shared" si="10"/>
        <v>0</v>
      </c>
      <c r="AU39" s="72">
        <f t="shared" si="11"/>
        <v>0</v>
      </c>
      <c r="AV39" s="72">
        <f t="shared" si="12"/>
        <v>0</v>
      </c>
      <c r="AW39" s="72">
        <f t="shared" si="13"/>
        <v>1</v>
      </c>
      <c r="AX39" s="72">
        <f t="shared" si="14"/>
        <v>0</v>
      </c>
      <c r="AY39" s="72">
        <f t="shared" si="15"/>
        <v>0</v>
      </c>
      <c r="AZ39" s="72">
        <f t="shared" si="16"/>
        <v>0</v>
      </c>
      <c r="BA39" s="72">
        <f t="shared" si="17"/>
        <v>0</v>
      </c>
      <c r="BB39" s="72">
        <f t="shared" si="18"/>
        <v>1</v>
      </c>
      <c r="BC39" s="72">
        <f t="shared" si="19"/>
        <v>0</v>
      </c>
      <c r="BD39" s="72">
        <f t="shared" si="20"/>
        <v>1</v>
      </c>
      <c r="BE39" s="72">
        <f t="shared" si="21"/>
        <v>0</v>
      </c>
      <c r="BF39" s="72">
        <f t="shared" si="22"/>
        <v>0</v>
      </c>
      <c r="BG39" s="72">
        <f t="shared" si="23"/>
        <v>0</v>
      </c>
      <c r="BH39" s="72">
        <f t="shared" si="24"/>
        <v>0</v>
      </c>
      <c r="BI39" s="72">
        <f t="shared" si="25"/>
        <v>0</v>
      </c>
      <c r="BJ39" s="72">
        <f t="shared" si="26"/>
        <v>0</v>
      </c>
      <c r="BK39" s="72">
        <f t="shared" si="27"/>
        <v>1</v>
      </c>
      <c r="BL39" s="72">
        <f t="shared" si="28"/>
        <v>0</v>
      </c>
      <c r="BM39" s="72">
        <f t="shared" si="29"/>
        <v>0</v>
      </c>
      <c r="BN39" s="72">
        <f t="shared" si="30"/>
        <v>0</v>
      </c>
      <c r="BO39" s="72">
        <f t="shared" si="31"/>
        <v>1</v>
      </c>
      <c r="BP39" s="72">
        <f t="shared" si="32"/>
        <v>1</v>
      </c>
      <c r="BQ39" s="72">
        <f t="shared" si="33"/>
        <v>0</v>
      </c>
      <c r="BR39" s="72">
        <f t="shared" si="34"/>
        <v>0</v>
      </c>
      <c r="BS39" s="72">
        <f t="shared" si="35"/>
        <v>0</v>
      </c>
      <c r="BT39" s="72">
        <f t="shared" si="36"/>
        <v>0</v>
      </c>
      <c r="BU39" s="72">
        <f t="shared" si="37"/>
        <v>0</v>
      </c>
      <c r="BW39">
        <f t="shared" si="38"/>
        <v>0</v>
      </c>
      <c r="BX39">
        <f t="shared" si="39"/>
        <v>1</v>
      </c>
      <c r="BY39">
        <f t="shared" si="40"/>
        <v>1</v>
      </c>
      <c r="BZ39">
        <f t="shared" si="41"/>
        <v>0</v>
      </c>
      <c r="CA39">
        <f t="shared" si="68"/>
        <v>0</v>
      </c>
      <c r="CB39">
        <f t="shared" si="69"/>
        <v>1</v>
      </c>
      <c r="CD39">
        <f t="shared" si="42"/>
        <v>0</v>
      </c>
      <c r="CE39">
        <f t="shared" si="43"/>
        <v>1</v>
      </c>
      <c r="CF39">
        <f t="shared" si="44"/>
        <v>1</v>
      </c>
      <c r="CG39">
        <f t="shared" si="45"/>
        <v>0</v>
      </c>
      <c r="CH39">
        <f t="shared" si="70"/>
        <v>0</v>
      </c>
      <c r="CI39">
        <f t="shared" si="71"/>
        <v>1</v>
      </c>
      <c r="CK39">
        <f t="shared" si="46"/>
        <v>0</v>
      </c>
      <c r="CL39">
        <f t="shared" si="47"/>
        <v>0</v>
      </c>
      <c r="CM39">
        <f t="shared" si="48"/>
        <v>1</v>
      </c>
      <c r="CN39">
        <f t="shared" si="49"/>
        <v>0</v>
      </c>
      <c r="CO39">
        <f t="shared" si="72"/>
        <v>0</v>
      </c>
      <c r="CP39">
        <f t="shared" si="73"/>
        <v>0</v>
      </c>
      <c r="CR39">
        <f t="shared" si="50"/>
        <v>0</v>
      </c>
      <c r="CS39">
        <f t="shared" si="51"/>
        <v>1</v>
      </c>
      <c r="CT39">
        <f t="shared" si="52"/>
        <v>0</v>
      </c>
      <c r="CU39">
        <f t="shared" si="53"/>
        <v>0</v>
      </c>
      <c r="CV39">
        <f t="shared" si="74"/>
        <v>0</v>
      </c>
      <c r="CW39">
        <f t="shared" si="75"/>
        <v>0</v>
      </c>
      <c r="CY39">
        <f t="shared" si="54"/>
        <v>0</v>
      </c>
      <c r="CZ39">
        <f t="shared" si="55"/>
        <v>1</v>
      </c>
      <c r="DA39">
        <f t="shared" si="56"/>
        <v>0</v>
      </c>
      <c r="DB39">
        <f t="shared" si="57"/>
        <v>0</v>
      </c>
      <c r="DC39">
        <f t="shared" si="76"/>
        <v>0</v>
      </c>
      <c r="DD39">
        <f t="shared" si="77"/>
        <v>0</v>
      </c>
      <c r="DF39" s="79">
        <f t="shared" si="78"/>
        <v>0</v>
      </c>
      <c r="DG39" s="79">
        <f t="shared" si="79"/>
        <v>1</v>
      </c>
      <c r="DH39">
        <f t="shared" si="124"/>
        <v>0</v>
      </c>
      <c r="DI39">
        <f t="shared" si="89"/>
        <v>2</v>
      </c>
      <c r="DK39" s="79">
        <f t="shared" si="58"/>
        <v>0</v>
      </c>
      <c r="DL39" s="79">
        <f t="shared" si="59"/>
        <v>0</v>
      </c>
      <c r="DM39">
        <f t="shared" ref="DM39:DN39" si="259">IF(DK39+DL39=0,DM38,(DM38+DK39)*DK39)</f>
        <v>1</v>
      </c>
      <c r="DN39">
        <f t="shared" si="259"/>
        <v>0</v>
      </c>
      <c r="DP39" s="79">
        <f t="shared" si="60"/>
        <v>1</v>
      </c>
      <c r="DQ39" s="79">
        <f t="shared" si="61"/>
        <v>0</v>
      </c>
      <c r="DR39">
        <f t="shared" ref="DR39:DS39" si="260">IF(DP39+DQ39=0,DR38,(DR38+DP39)*DP39)</f>
        <v>1</v>
      </c>
      <c r="DS39">
        <f t="shared" si="260"/>
        <v>0</v>
      </c>
      <c r="DU39" s="79">
        <f t="shared" si="62"/>
        <v>0</v>
      </c>
      <c r="DV39" s="79">
        <f t="shared" si="63"/>
        <v>0</v>
      </c>
      <c r="DW39">
        <f t="shared" ref="DW39:DX39" si="261">IF(DU39+DV39=0,DW38,(DW38+DU39)*DU39)</f>
        <v>1</v>
      </c>
      <c r="DX39">
        <f t="shared" si="261"/>
        <v>0</v>
      </c>
      <c r="DZ39" s="79">
        <f t="shared" si="64"/>
        <v>0</v>
      </c>
      <c r="EA39" s="79">
        <f t="shared" si="65"/>
        <v>0</v>
      </c>
      <c r="EB39">
        <f t="shared" ref="EB39:EC39" si="262">IF(DZ39+EA39=0,EB38,(EB38+DZ39)*DZ39)</f>
        <v>0</v>
      </c>
      <c r="EC39">
        <f t="shared" si="262"/>
        <v>2</v>
      </c>
    </row>
    <row r="40" spans="1:148">
      <c r="A40" s="29">
        <v>39</v>
      </c>
      <c r="B40" s="29" t="s">
        <v>38</v>
      </c>
      <c r="C40" s="29" t="s">
        <v>36</v>
      </c>
      <c r="D40" s="29" t="s">
        <v>42</v>
      </c>
      <c r="E40" s="29" t="s">
        <v>23</v>
      </c>
      <c r="F40" s="30"/>
      <c r="G40" s="29" t="s">
        <v>32</v>
      </c>
      <c r="H40" s="29" t="s">
        <v>18</v>
      </c>
      <c r="I40" s="29" t="s">
        <v>44</v>
      </c>
      <c r="J40" s="29" t="s">
        <v>33</v>
      </c>
      <c r="M40" s="175"/>
      <c r="N40" s="42"/>
      <c r="O40" s="43"/>
      <c r="P40" s="44"/>
      <c r="Q40" s="42"/>
      <c r="R40" s="43"/>
      <c r="S40" s="44"/>
      <c r="T40" s="42"/>
      <c r="U40" s="43"/>
      <c r="V40" s="44"/>
      <c r="W40" s="42"/>
      <c r="X40" s="43"/>
      <c r="Y40" s="45"/>
      <c r="Z40" s="46"/>
      <c r="AA40" s="28"/>
      <c r="AB40" s="47"/>
      <c r="AH40" s="72">
        <f t="shared" si="66"/>
        <v>0</v>
      </c>
      <c r="AI40" s="72">
        <f t="shared" si="67"/>
        <v>1</v>
      </c>
      <c r="AJ40" s="72">
        <f t="shared" si="0"/>
        <v>0</v>
      </c>
      <c r="AK40" s="72">
        <f t="shared" si="1"/>
        <v>1</v>
      </c>
      <c r="AL40" s="72">
        <f t="shared" si="2"/>
        <v>0</v>
      </c>
      <c r="AM40" s="72">
        <f t="shared" si="3"/>
        <v>1</v>
      </c>
      <c r="AN40" s="72">
        <f t="shared" si="4"/>
        <v>0</v>
      </c>
      <c r="AO40" s="72">
        <f t="shared" si="5"/>
        <v>0</v>
      </c>
      <c r="AP40" s="72">
        <f t="shared" si="6"/>
        <v>0</v>
      </c>
      <c r="AQ40" s="72">
        <f t="shared" si="7"/>
        <v>0</v>
      </c>
      <c r="AR40" s="72">
        <f t="shared" si="8"/>
        <v>0</v>
      </c>
      <c r="AS40" s="72">
        <f t="shared" si="9"/>
        <v>1</v>
      </c>
      <c r="AT40" s="72">
        <f t="shared" si="10"/>
        <v>0</v>
      </c>
      <c r="AU40" s="72">
        <f t="shared" si="11"/>
        <v>0</v>
      </c>
      <c r="AV40" s="72">
        <f t="shared" si="12"/>
        <v>0</v>
      </c>
      <c r="AW40" s="72">
        <f t="shared" si="13"/>
        <v>1</v>
      </c>
      <c r="AX40" s="72">
        <f t="shared" si="14"/>
        <v>0</v>
      </c>
      <c r="AY40" s="72">
        <f t="shared" si="15"/>
        <v>0</v>
      </c>
      <c r="AZ40" s="72">
        <f t="shared" si="16"/>
        <v>0</v>
      </c>
      <c r="BA40" s="72">
        <f t="shared" si="17"/>
        <v>0</v>
      </c>
      <c r="BB40" s="72">
        <f t="shared" si="18"/>
        <v>0</v>
      </c>
      <c r="BC40" s="72">
        <f t="shared" si="19"/>
        <v>1</v>
      </c>
      <c r="BD40" s="72">
        <f t="shared" si="20"/>
        <v>0</v>
      </c>
      <c r="BE40" s="72">
        <f t="shared" si="21"/>
        <v>0</v>
      </c>
      <c r="BF40" s="72">
        <f t="shared" si="22"/>
        <v>0</v>
      </c>
      <c r="BG40" s="72">
        <f t="shared" si="23"/>
        <v>0</v>
      </c>
      <c r="BH40" s="72">
        <f t="shared" si="24"/>
        <v>0</v>
      </c>
      <c r="BI40" s="72">
        <f t="shared" si="25"/>
        <v>0</v>
      </c>
      <c r="BJ40" s="72">
        <f t="shared" si="26"/>
        <v>0</v>
      </c>
      <c r="BK40" s="72">
        <f t="shared" si="27"/>
        <v>0</v>
      </c>
      <c r="BL40" s="72">
        <f t="shared" si="28"/>
        <v>1</v>
      </c>
      <c r="BM40" s="72">
        <f t="shared" si="29"/>
        <v>0</v>
      </c>
      <c r="BN40" s="72">
        <f t="shared" si="30"/>
        <v>1</v>
      </c>
      <c r="BO40" s="72">
        <f t="shared" si="31"/>
        <v>0</v>
      </c>
      <c r="BP40" s="72">
        <f t="shared" si="32"/>
        <v>0</v>
      </c>
      <c r="BQ40" s="72">
        <f t="shared" si="33"/>
        <v>1</v>
      </c>
      <c r="BR40" s="72">
        <f t="shared" si="34"/>
        <v>0</v>
      </c>
      <c r="BS40" s="72">
        <f t="shared" si="35"/>
        <v>0</v>
      </c>
      <c r="BT40" s="72">
        <f t="shared" si="36"/>
        <v>0</v>
      </c>
      <c r="BU40" s="72">
        <f t="shared" si="37"/>
        <v>0</v>
      </c>
      <c r="BW40">
        <f t="shared" si="38"/>
        <v>0</v>
      </c>
      <c r="BX40">
        <f t="shared" si="39"/>
        <v>0</v>
      </c>
      <c r="BY40">
        <f t="shared" si="40"/>
        <v>0</v>
      </c>
      <c r="BZ40">
        <f t="shared" si="41"/>
        <v>1</v>
      </c>
      <c r="CA40">
        <f t="shared" si="68"/>
        <v>0</v>
      </c>
      <c r="CB40">
        <f t="shared" si="69"/>
        <v>0</v>
      </c>
      <c r="CD40">
        <f t="shared" si="42"/>
        <v>0</v>
      </c>
      <c r="CE40">
        <f t="shared" si="43"/>
        <v>0</v>
      </c>
      <c r="CF40">
        <f t="shared" si="44"/>
        <v>0</v>
      </c>
      <c r="CG40">
        <f t="shared" si="45"/>
        <v>1</v>
      </c>
      <c r="CH40">
        <f t="shared" si="70"/>
        <v>0</v>
      </c>
      <c r="CI40">
        <f t="shared" si="71"/>
        <v>0</v>
      </c>
      <c r="CK40">
        <f t="shared" si="46"/>
        <v>0</v>
      </c>
      <c r="CL40">
        <f t="shared" si="47"/>
        <v>0</v>
      </c>
      <c r="CM40">
        <f t="shared" si="48"/>
        <v>0</v>
      </c>
      <c r="CN40">
        <f t="shared" si="49"/>
        <v>0</v>
      </c>
      <c r="CO40">
        <f t="shared" si="72"/>
        <v>0</v>
      </c>
      <c r="CP40">
        <f t="shared" si="73"/>
        <v>0</v>
      </c>
      <c r="CR40">
        <f t="shared" si="50"/>
        <v>0</v>
      </c>
      <c r="CS40">
        <f t="shared" si="51"/>
        <v>0</v>
      </c>
      <c r="CT40">
        <f t="shared" si="52"/>
        <v>0</v>
      </c>
      <c r="CU40">
        <f t="shared" si="53"/>
        <v>0</v>
      </c>
      <c r="CV40">
        <f t="shared" si="74"/>
        <v>0</v>
      </c>
      <c r="CW40">
        <f t="shared" si="75"/>
        <v>0</v>
      </c>
      <c r="CY40">
        <f t="shared" si="54"/>
        <v>0</v>
      </c>
      <c r="CZ40">
        <f t="shared" si="55"/>
        <v>0</v>
      </c>
      <c r="DA40">
        <f t="shared" si="56"/>
        <v>0</v>
      </c>
      <c r="DB40">
        <f t="shared" si="57"/>
        <v>1</v>
      </c>
      <c r="DC40">
        <f t="shared" si="76"/>
        <v>0</v>
      </c>
      <c r="DD40">
        <f t="shared" si="77"/>
        <v>0</v>
      </c>
      <c r="DF40" s="79">
        <f t="shared" si="78"/>
        <v>1</v>
      </c>
      <c r="DG40" s="79">
        <f t="shared" si="79"/>
        <v>0</v>
      </c>
      <c r="DH40">
        <f t="shared" si="124"/>
        <v>1</v>
      </c>
      <c r="DI40">
        <f t="shared" si="89"/>
        <v>0</v>
      </c>
      <c r="DK40" s="79">
        <f t="shared" si="58"/>
        <v>0</v>
      </c>
      <c r="DL40" s="79">
        <f t="shared" si="59"/>
        <v>0</v>
      </c>
      <c r="DM40">
        <f t="shared" ref="DM40:DN40" si="263">IF(DK40+DL40=0,DM39,(DM39+DK40)*DK40)</f>
        <v>1</v>
      </c>
      <c r="DN40">
        <f t="shared" si="263"/>
        <v>0</v>
      </c>
      <c r="DP40" s="79">
        <f t="shared" si="60"/>
        <v>0</v>
      </c>
      <c r="DQ40" s="79">
        <f t="shared" si="61"/>
        <v>1</v>
      </c>
      <c r="DR40">
        <f t="shared" ref="DR40:DS40" si="264">IF(DP40+DQ40=0,DR39,(DR39+DP40)*DP40)</f>
        <v>0</v>
      </c>
      <c r="DS40">
        <f t="shared" si="264"/>
        <v>1</v>
      </c>
      <c r="DU40" s="79">
        <f t="shared" si="62"/>
        <v>0</v>
      </c>
      <c r="DV40" s="79">
        <f t="shared" si="63"/>
        <v>0</v>
      </c>
      <c r="DW40">
        <f t="shared" ref="DW40:DX40" si="265">IF(DU40+DV40=0,DW39,(DW39+DU40)*DU40)</f>
        <v>1</v>
      </c>
      <c r="DX40">
        <f t="shared" si="265"/>
        <v>0</v>
      </c>
      <c r="DZ40" s="79">
        <f t="shared" si="64"/>
        <v>0</v>
      </c>
      <c r="EA40" s="79">
        <f t="shared" si="65"/>
        <v>0</v>
      </c>
      <c r="EB40">
        <f t="shared" ref="EB40:EC40" si="266">IF(DZ40+EA40=0,EB39,(EB39+DZ40)*DZ40)</f>
        <v>0</v>
      </c>
      <c r="EC40">
        <f t="shared" si="266"/>
        <v>2</v>
      </c>
      <c r="EH40" s="80"/>
    </row>
    <row r="41" spans="1:148">
      <c r="A41" s="174">
        <v>40</v>
      </c>
      <c r="B41" s="174" t="s">
        <v>28</v>
      </c>
      <c r="C41" s="174" t="s">
        <v>46</v>
      </c>
      <c r="D41" s="174" t="s">
        <v>42</v>
      </c>
      <c r="E41" s="174" t="s">
        <v>32</v>
      </c>
      <c r="F41" s="173"/>
      <c r="G41" s="174" t="s">
        <v>321</v>
      </c>
      <c r="H41" s="174" t="s">
        <v>18</v>
      </c>
      <c r="I41" s="174" t="s">
        <v>40</v>
      </c>
      <c r="J41" s="174" t="s">
        <v>20</v>
      </c>
      <c r="M41" s="175"/>
      <c r="N41" s="42"/>
      <c r="O41" s="43"/>
      <c r="P41" s="44"/>
      <c r="Q41" s="42"/>
      <c r="R41" s="43"/>
      <c r="S41" s="44"/>
      <c r="T41" s="42"/>
      <c r="U41" s="43"/>
      <c r="V41" s="44"/>
      <c r="W41" s="42"/>
      <c r="X41" s="43"/>
      <c r="Y41" s="45"/>
      <c r="Z41" s="46"/>
      <c r="AA41" s="28"/>
      <c r="AB41" s="47"/>
      <c r="AH41" s="72">
        <f t="shared" ref="AH41:AH52" si="267">COUNTIF(B41:E41,$M$56)+COUNTIF(B41:E41,$N$56)</f>
        <v>0</v>
      </c>
      <c r="AI41" s="72">
        <f t="shared" ref="AI41:AI52" si="268">COUNTIF(G41:J41,$M$56)+COUNTIF(G41:J41,$N$56)</f>
        <v>0</v>
      </c>
      <c r="AJ41" s="72">
        <f t="shared" ref="AJ41:AJ52" si="269">COUNTIF(B41:E41,$M$57)+COUNTIF(B41:E41,$N$57)</f>
        <v>0</v>
      </c>
      <c r="AK41" s="72">
        <f t="shared" ref="AK41:AK52" si="270">COUNTIF(G41:J41,$M$57)+COUNTIF(G41:J41,$N$57)</f>
        <v>0</v>
      </c>
      <c r="AL41" s="72">
        <f t="shared" ref="AL41:AL52" si="271">COUNTIF(B41:E41,$M$58)+COUNTIF(B41:E41,$N$58)</f>
        <v>0</v>
      </c>
      <c r="AM41" s="72">
        <f t="shared" ref="AM41:AM52" si="272">COUNTIF(G41:J41,$M$58)+COUNTIF(G41:J41,$N$58)</f>
        <v>0</v>
      </c>
      <c r="AN41" s="72">
        <f t="shared" ref="AN41:AN52" si="273">COUNTIF(B41:E41,$M$59)+COUNTIF(B41:E41,$N$59)</f>
        <v>0</v>
      </c>
      <c r="AO41" s="72">
        <f t="shared" ref="AO41:AO52" si="274">COUNTIF(G41:J41,$M$59)+COUNTIF(G41:J41,$N$59)</f>
        <v>0</v>
      </c>
      <c r="AP41" s="72">
        <f t="shared" ref="AP41:AP52" si="275">COUNTIF(B41:E41,$M$60)+COUNTIF(B41:E41,$N$60)</f>
        <v>0</v>
      </c>
      <c r="AQ41" s="72">
        <f t="shared" ref="AQ41:AQ52" si="276">COUNTIF(G41:J41,$M$60)+COUNTIF(G41:J41,$N$60)</f>
        <v>0</v>
      </c>
      <c r="AR41" s="72">
        <f t="shared" ref="AR41:AR52" si="277">COUNTIF(B41:E41,$M$61)+COUNTIF(B41:E41,$N$61)</f>
        <v>1</v>
      </c>
      <c r="AS41" s="72">
        <f t="shared" ref="AS41:AS52" si="278">COUNTIF(G41:J41,$M$61)+COUNTIF(G41:J41,$N$61)</f>
        <v>0</v>
      </c>
      <c r="AT41" s="72">
        <f t="shared" ref="AT41:AT52" si="279">COUNTIF(B41:E41,$M$62)+COUNTIF(B41:E41,$N$62)</f>
        <v>1</v>
      </c>
      <c r="AU41" s="72">
        <f t="shared" ref="AU41:AU52" si="280">COUNTIF(G41:J41,$M$62)+COUNTIF(G41:J41,$N$62)</f>
        <v>0</v>
      </c>
      <c r="AV41" s="72">
        <f t="shared" ref="AV41:AV52" si="281">COUNTIF(B41:E41,$M$63)+COUNTIF(B41:E41,$N$63)</f>
        <v>0</v>
      </c>
      <c r="AW41" s="72">
        <f t="shared" ref="AW41:AW52" si="282">COUNTIF(G41:J41,$M$63)+COUNTIF(G41:J41,$N$63)</f>
        <v>0</v>
      </c>
      <c r="AX41" s="72">
        <f t="shared" ref="AX41:AX52" si="283">COUNTIF(B41:E41,$M$64)+COUNTIF(B41:E41,$N$64)</f>
        <v>0</v>
      </c>
      <c r="AY41" s="72">
        <f t="shared" ref="AY41:AY52" si="284">COUNTIF(G41:J41,$M$64)+COUNTIF(G41:J41,$N$64)</f>
        <v>0</v>
      </c>
      <c r="AZ41" s="72">
        <f t="shared" ref="AZ41:AZ52" si="285">COUNTIF(B41:E41,$M$65)+COUNTIF(B41:E41,$N$65)</f>
        <v>0</v>
      </c>
      <c r="BA41" s="72">
        <f t="shared" ref="BA41:BA52" si="286">COUNTIF(G41:J41,$M$65)+COUNTIF(G41:J41,$N$65)</f>
        <v>1</v>
      </c>
      <c r="BB41" s="72">
        <f t="shared" ref="BB41:BB52" si="287">COUNTIF(B41:E41,$M$66)+COUNTIF(B41:E41,$N$66)</f>
        <v>0</v>
      </c>
      <c r="BC41" s="72">
        <f t="shared" ref="BC41:BC52" si="288">COUNTIF(G41:J41,$M$66)+COUNTIF(G41:J41,$N$66)</f>
        <v>0</v>
      </c>
      <c r="BD41" s="72">
        <f t="shared" ref="BD41:BD52" si="289">COUNTIF(B41:E41,$M$67)+COUNTIF(B41:E41,$N$67)</f>
        <v>0</v>
      </c>
      <c r="BE41" s="72">
        <f t="shared" ref="BE41:BE52" si="290">COUNTIF(G41:J41,$M$67)+COUNTIF(G41:J41,$N$67)</f>
        <v>0</v>
      </c>
      <c r="BF41" s="72">
        <f t="shared" ref="BF41:BF52" si="291">COUNTIF(B41:E41,$M$68)+COUNTIF(B41:E41,$N$68)</f>
        <v>0</v>
      </c>
      <c r="BG41" s="72">
        <f t="shared" ref="BG41:BG52" si="292">COUNTIF(G41:J41,$M$68)+COUNTIF(G41:J41,$N$68)</f>
        <v>1</v>
      </c>
      <c r="BH41" s="72">
        <f t="shared" ref="BH41:BH52" si="293">COUNTIF(B41:E41,$M$69)+COUNTIF(B41:E41,$N$69)</f>
        <v>0</v>
      </c>
      <c r="BI41" s="72">
        <f t="shared" ref="BI41:BI52" si="294">COUNTIF(G41:J41,$M$69)+COUNTIF(G41:J41,$N$69)</f>
        <v>1</v>
      </c>
      <c r="BJ41" s="72">
        <f t="shared" ref="BJ41:BJ52" si="295">COUNTIF(B41:E41,$M$70)+COUNTIF(B41:E41,$N$70)</f>
        <v>0</v>
      </c>
      <c r="BK41" s="72">
        <f t="shared" ref="BK41:BK52" si="296">COUNTIF(G41:J41,$M$70)+COUNTIF(G41:J41,$N$70)</f>
        <v>0</v>
      </c>
      <c r="BL41" s="72">
        <f t="shared" ref="BL41:BL52" si="297">COUNTIF(B41:E41,$M$71)+COUNTIF(B41:E41,$N$71)</f>
        <v>0</v>
      </c>
      <c r="BM41" s="72">
        <f t="shared" ref="BM41:BM52" si="298">COUNTIF(G41:J41,$M$71)+COUNTIF(G41:J41,$N$71)</f>
        <v>0</v>
      </c>
      <c r="BN41" s="72">
        <f t="shared" ref="BN41:BN52" si="299">COUNTIF(B41:E41,$M$72)+COUNTIF(B41:E41,$N$72)</f>
        <v>0</v>
      </c>
      <c r="BO41" s="72">
        <f t="shared" ref="BO41:BO52" si="300">COUNTIF(G41:J41,$M$72)+COUNTIF(G41:J41,$N$72)</f>
        <v>0</v>
      </c>
      <c r="BP41" s="72">
        <f t="shared" ref="BP41:BP52" si="301">COUNTIF(B41:E41,$M$73)+COUNTIF(B41:E41,$N$73)</f>
        <v>0</v>
      </c>
      <c r="BQ41" s="72">
        <f t="shared" ref="BQ41:BQ52" si="302">COUNTIF(G41:J41,$M$73)+COUNTIF(G41:J41,$N$73)</f>
        <v>1</v>
      </c>
      <c r="BR41" s="72">
        <f t="shared" ref="BR41:BR52" si="303">COUNTIF(B41:E41,$M$74)+COUNTIF(B41:E41,$N$74)</f>
        <v>0</v>
      </c>
      <c r="BS41" s="72">
        <f t="shared" ref="BS41:BS52" si="304">COUNTIF(G41:J41,$M$74)+COUNTIF(G41:J41,$N$74)</f>
        <v>0</v>
      </c>
      <c r="BT41" s="72">
        <f t="shared" ref="BT41:BT52" si="305">COUNTIF(B41:E41,$M$75)+COUNTIF(B41:E41,$N$75)</f>
        <v>0</v>
      </c>
      <c r="BU41" s="72">
        <f t="shared" ref="BU41:BU52" si="306">COUNTIF(G41:J41,$M$75)+COUNTIF(G41:J41,$N$75)</f>
        <v>0</v>
      </c>
      <c r="BW41">
        <f t="shared" ref="BW41:BW52" si="307">COUNTIF(B41:E41,$U$56)</f>
        <v>0</v>
      </c>
      <c r="BX41">
        <f t="shared" ref="BX41:BX52" si="308">COUNTIF(B41:E41,$X$56)</f>
        <v>1</v>
      </c>
      <c r="BY41">
        <f t="shared" ref="BY41:BY52" si="309">COUNTIF(G41:J41,$U$56)</f>
        <v>0</v>
      </c>
      <c r="BZ41">
        <f t="shared" ref="BZ41:BZ52" si="310">COUNTIF(G41:J41,$X$56)</f>
        <v>0</v>
      </c>
      <c r="CA41">
        <f t="shared" ref="CA41:CA52" si="311">IF(BW41+BX41+BY41+BZ41=1,0,IF(BW41+BX41=1,IF(BY41+BZ41=1,IF(BW41=0,0,1)),0))</f>
        <v>0</v>
      </c>
      <c r="CB41">
        <f t="shared" ref="CB41:CB52" si="312">IF(BW41+BX41+BY41+BZ41=1,0,IF(BW41+BX41=1,IF(BY41+BZ41=1,IF(BX41=0,0,1)),0))</f>
        <v>0</v>
      </c>
      <c r="CD41">
        <f t="shared" ref="CD41:CD52" si="313">COUNTIF(B41:E41,$U$57)</f>
        <v>0</v>
      </c>
      <c r="CE41">
        <f t="shared" ref="CE41:CE52" si="314">COUNTIF(B41:E41,$X$57)</f>
        <v>0</v>
      </c>
      <c r="CF41">
        <f t="shared" ref="CF41:CF52" si="315">COUNTIF(G41:J41,$U$57)</f>
        <v>0</v>
      </c>
      <c r="CG41">
        <f t="shared" ref="CG41:CG52" si="316">COUNTIF(G41:J41,$X$57)</f>
        <v>0</v>
      </c>
      <c r="CH41">
        <f t="shared" ref="CH41:CH52" si="317">IF(CD41+CE41+CF41+CG41=1,0,IF(CD41+CE41=1,IF(CF41+CG41=1,IF(CD41=0,0,1)),0))</f>
        <v>0</v>
      </c>
      <c r="CI41">
        <f t="shared" ref="CI41:CI52" si="318">IF(CD41+CE41+CF41+CG41=1,0,IF(CD41+CE41=1,IF(CF41+CG41=1,IF(CE41=0,0,1)),0))</f>
        <v>0</v>
      </c>
      <c r="CK41">
        <f t="shared" ref="CK41:CK52" si="319">COUNTIF(B41:E41,$U$58)</f>
        <v>0</v>
      </c>
      <c r="CL41">
        <f t="shared" ref="CL41:CL52" si="320">COUNTIF(B41:E41,$X$58)</f>
        <v>0</v>
      </c>
      <c r="CM41">
        <f t="shared" ref="CM41:CM52" si="321">COUNTIF(G41:J41,$U$58)</f>
        <v>0</v>
      </c>
      <c r="CN41">
        <f t="shared" ref="CN41:CN52" si="322">COUNTIF(G41:J41,$X$58)</f>
        <v>0</v>
      </c>
      <c r="CO41">
        <f t="shared" ref="CO41:CO52" si="323">IF(CK41+CL41+CM41+CN41=1,0,IF(CK41+CL41=1,IF(CM41+CN41=1,IF(CK41=0,0,1)),0))</f>
        <v>0</v>
      </c>
      <c r="CP41">
        <f t="shared" ref="CP41:CP52" si="324">IF(CK41+CL41+CM41+CN41=1,0,IF(CK41+CL41=1,IF(CM41+CN41=1,IF(CL41=0,0,1)),0))</f>
        <v>0</v>
      </c>
      <c r="CR41">
        <f t="shared" ref="CR41:CR52" si="325">COUNTIF(B41:E41,$U$59)</f>
        <v>0</v>
      </c>
      <c r="CS41">
        <f t="shared" ref="CS41:CS52" si="326">COUNTIF(B41:E41,$X$59)</f>
        <v>0</v>
      </c>
      <c r="CT41">
        <f t="shared" ref="CT41:CT52" si="327">COUNTIF(G41:J41,$U$59)</f>
        <v>0</v>
      </c>
      <c r="CU41">
        <f t="shared" ref="CU41:CU52" si="328">COUNTIF(G41:J41,$X$59)</f>
        <v>0</v>
      </c>
      <c r="CV41">
        <f t="shared" ref="CV41:CV52" si="329">IF(CR41+CS41+CT41+CU41=1,0,IF(CR41+CS41=1,IF(CT41+CU41=1,IF(CR41=0,0,1)),0))</f>
        <v>0</v>
      </c>
      <c r="CW41">
        <f t="shared" ref="CW41:CW52" si="330">IF(CR41+CS41+CT41+CU41=1,0,IF(CR41+CS41=1,IF(CT41+CU41=1,IF(CS41=0,0,1)),0))</f>
        <v>0</v>
      </c>
      <c r="CY41">
        <f t="shared" ref="CY41:CY52" si="331">COUNTIF(B41:E41,$U$60)</f>
        <v>0</v>
      </c>
      <c r="CZ41">
        <f t="shared" ref="CZ41:CZ52" si="332">COUNTIF(B41:E41,$X$60)</f>
        <v>1</v>
      </c>
      <c r="DA41">
        <f t="shared" ref="DA41:DA52" si="333">COUNTIF(G41:J41,$U$60)</f>
        <v>0</v>
      </c>
      <c r="DB41">
        <f t="shared" ref="DB41:DB52" si="334">COUNTIF(G41:J41,$X$60)</f>
        <v>0</v>
      </c>
      <c r="DC41">
        <f t="shared" ref="DC41:DC52" si="335">IF(CY41+CZ41+DA41+DB41=1,0,IF(CY41+CZ41=1,IF(DA41+DB41=1,IF(CY41=0,0,1)),0))</f>
        <v>0</v>
      </c>
      <c r="DD41">
        <f t="shared" ref="DD41:DD52" si="336">IF(CY41+CZ41+DA41+DB41=1,0,IF(CY41+CZ41=1,IF(DA41+DB41=1,IF(CZ41=0,0,1)),0))</f>
        <v>0</v>
      </c>
      <c r="DF41" s="79">
        <f t="shared" ref="DF41:DF52" si="337">COUNTIF(B41:E41,$Z$56)</f>
        <v>0</v>
      </c>
      <c r="DG41" s="79">
        <f t="shared" ref="DG41:DG52" si="338">COUNTIF(G41:J41,$Z$56)</f>
        <v>0</v>
      </c>
      <c r="DH41">
        <f t="shared" ref="DH41:DH52" si="339">IF(DF41+DG41=0,DH40,(DH40+DF41)*DF41)</f>
        <v>1</v>
      </c>
      <c r="DI41">
        <f t="shared" ref="DI41:DI52" si="340">IF(DG41+DH41=0,DI40,(DI40+DG41)*DG41)</f>
        <v>0</v>
      </c>
      <c r="DK41" s="79">
        <f t="shared" ref="DK41:DK52" si="341">COUNTIF(B41:E41,$Z$57)</f>
        <v>0</v>
      </c>
      <c r="DL41" s="79">
        <f t="shared" ref="DL41:DL52" si="342">COUNTIF(G41:J41,$Z$57)</f>
        <v>1</v>
      </c>
      <c r="DM41">
        <f t="shared" ref="DM41:DM52" si="343">IF(DK41+DL41=0,DM40,(DM40+DK41)*DK41)</f>
        <v>0</v>
      </c>
      <c r="DN41">
        <f t="shared" ref="DN41:DN52" si="344">IF(DL41+DM41=0,DN40,(DN40+DL41)*DL41)</f>
        <v>1</v>
      </c>
      <c r="DP41" s="79">
        <f t="shared" ref="DP41:DP52" si="345">COUNTIF(B41:E41,$Z$58)</f>
        <v>0</v>
      </c>
      <c r="DQ41" s="79">
        <f t="shared" ref="DQ41:DQ52" si="346">COUNTIF(G41:J41,$Z$58)</f>
        <v>1</v>
      </c>
      <c r="DR41">
        <f t="shared" ref="DR41:DR52" si="347">IF(DP41+DQ41=0,DR40,(DR40+DP41)*DP41)</f>
        <v>0</v>
      </c>
      <c r="DS41">
        <f t="shared" ref="DS41:DS52" si="348">IF(DQ41+DR41=0,DS40,(DS40+DQ41)*DQ41)</f>
        <v>2</v>
      </c>
      <c r="DU41" s="79">
        <f t="shared" ref="DU41:DU52" si="349">COUNTIF(B41:E41,$Z$59)</f>
        <v>0</v>
      </c>
      <c r="DV41" s="79">
        <f t="shared" ref="DV41:DV52" si="350">COUNTIF(G41:J41,$Z$59)</f>
        <v>0</v>
      </c>
      <c r="DW41">
        <f t="shared" ref="DW41:DW52" si="351">IF(DU41+DV41=0,DW40,(DW40+DU41)*DU41)</f>
        <v>1</v>
      </c>
      <c r="DX41">
        <f t="shared" ref="DX41:DX52" si="352">IF(DV41+DW41=0,DX40,(DX40+DV41)*DV41)</f>
        <v>0</v>
      </c>
      <c r="DZ41" s="79">
        <f t="shared" ref="DZ41:DZ52" si="353">COUNTIF(B41:E41,$Z$60)</f>
        <v>0</v>
      </c>
      <c r="EA41" s="79">
        <f t="shared" ref="EA41:EA52" si="354">COUNTIF(G41:J41,$Z$60)</f>
        <v>1</v>
      </c>
      <c r="EB41">
        <f t="shared" ref="EB41:EB52" si="355">IF(DZ41+EA41=0,EB40,(EB40+DZ41)*DZ41)</f>
        <v>0</v>
      </c>
      <c r="EC41">
        <f t="shared" ref="EC41:EC52" si="356">IF(EA41+EB41=0,EC40,(EC40+EA41)*EA41)</f>
        <v>3</v>
      </c>
      <c r="EH41" s="80"/>
    </row>
    <row r="42" spans="1:148">
      <c r="A42" s="174">
        <v>41</v>
      </c>
      <c r="B42" s="174" t="s">
        <v>20</v>
      </c>
      <c r="C42" s="174" t="s">
        <v>40</v>
      </c>
      <c r="D42" s="174" t="s">
        <v>321</v>
      </c>
      <c r="E42" s="174" t="s">
        <v>33</v>
      </c>
      <c r="F42" s="173"/>
      <c r="G42" s="174" t="s">
        <v>28</v>
      </c>
      <c r="H42" s="174" t="s">
        <v>32</v>
      </c>
      <c r="I42" s="174" t="s">
        <v>18</v>
      </c>
      <c r="J42" s="174" t="s">
        <v>42</v>
      </c>
      <c r="M42" s="175"/>
      <c r="N42" s="42"/>
      <c r="O42" s="43"/>
      <c r="P42" s="44"/>
      <c r="Q42" s="42"/>
      <c r="R42" s="43"/>
      <c r="S42" s="44"/>
      <c r="T42" s="42"/>
      <c r="U42" s="43"/>
      <c r="V42" s="44"/>
      <c r="W42" s="42"/>
      <c r="X42" s="43"/>
      <c r="Y42" s="45"/>
      <c r="Z42" s="46"/>
      <c r="AA42" s="28"/>
      <c r="AB42" s="47"/>
      <c r="AH42" s="72">
        <f t="shared" si="267"/>
        <v>0</v>
      </c>
      <c r="AI42" s="72">
        <f t="shared" si="268"/>
        <v>0</v>
      </c>
      <c r="AJ42" s="72">
        <f t="shared" si="269"/>
        <v>0</v>
      </c>
      <c r="AK42" s="72">
        <f t="shared" si="270"/>
        <v>0</v>
      </c>
      <c r="AL42" s="72">
        <f t="shared" si="271"/>
        <v>0</v>
      </c>
      <c r="AM42" s="72">
        <f t="shared" si="272"/>
        <v>0</v>
      </c>
      <c r="AN42" s="72">
        <f t="shared" si="273"/>
        <v>0</v>
      </c>
      <c r="AO42" s="72">
        <f t="shared" si="274"/>
        <v>0</v>
      </c>
      <c r="AP42" s="72">
        <f t="shared" si="275"/>
        <v>0</v>
      </c>
      <c r="AQ42" s="72">
        <f t="shared" si="276"/>
        <v>0</v>
      </c>
      <c r="AR42" s="72">
        <f t="shared" si="277"/>
        <v>0</v>
      </c>
      <c r="AS42" s="72">
        <f t="shared" si="278"/>
        <v>1</v>
      </c>
      <c r="AT42" s="72">
        <f t="shared" si="279"/>
        <v>0</v>
      </c>
      <c r="AU42" s="72">
        <f t="shared" si="280"/>
        <v>0</v>
      </c>
      <c r="AV42" s="72">
        <f t="shared" si="281"/>
        <v>1</v>
      </c>
      <c r="AW42" s="72">
        <f t="shared" si="282"/>
        <v>0</v>
      </c>
      <c r="AX42" s="72">
        <f t="shared" si="283"/>
        <v>0</v>
      </c>
      <c r="AY42" s="72">
        <f t="shared" si="284"/>
        <v>0</v>
      </c>
      <c r="AZ42" s="72">
        <f t="shared" si="285"/>
        <v>1</v>
      </c>
      <c r="BA42" s="72">
        <f t="shared" si="286"/>
        <v>0</v>
      </c>
      <c r="BB42" s="72">
        <f t="shared" si="287"/>
        <v>0</v>
      </c>
      <c r="BC42" s="72">
        <f t="shared" si="288"/>
        <v>0</v>
      </c>
      <c r="BD42" s="72">
        <f t="shared" si="289"/>
        <v>0</v>
      </c>
      <c r="BE42" s="72">
        <f t="shared" si="290"/>
        <v>0</v>
      </c>
      <c r="BF42" s="72">
        <f t="shared" si="291"/>
        <v>1</v>
      </c>
      <c r="BG42" s="72">
        <f t="shared" si="292"/>
        <v>0</v>
      </c>
      <c r="BH42" s="72">
        <f t="shared" si="293"/>
        <v>1</v>
      </c>
      <c r="BI42" s="72">
        <f t="shared" si="294"/>
        <v>0</v>
      </c>
      <c r="BJ42" s="72">
        <f t="shared" si="295"/>
        <v>0</v>
      </c>
      <c r="BK42" s="72">
        <f t="shared" si="296"/>
        <v>0</v>
      </c>
      <c r="BL42" s="72">
        <f t="shared" si="297"/>
        <v>0</v>
      </c>
      <c r="BM42" s="72">
        <f t="shared" si="298"/>
        <v>0</v>
      </c>
      <c r="BN42" s="72">
        <f t="shared" si="299"/>
        <v>0</v>
      </c>
      <c r="BO42" s="72">
        <f t="shared" si="300"/>
        <v>0</v>
      </c>
      <c r="BP42" s="72">
        <f t="shared" si="301"/>
        <v>0</v>
      </c>
      <c r="BQ42" s="72">
        <f t="shared" si="302"/>
        <v>1</v>
      </c>
      <c r="BR42" s="72">
        <f t="shared" si="303"/>
        <v>0</v>
      </c>
      <c r="BS42" s="72">
        <f t="shared" si="304"/>
        <v>0</v>
      </c>
      <c r="BT42" s="72">
        <f t="shared" si="305"/>
        <v>0</v>
      </c>
      <c r="BU42" s="72">
        <f t="shared" si="306"/>
        <v>0</v>
      </c>
      <c r="BW42">
        <f t="shared" si="307"/>
        <v>0</v>
      </c>
      <c r="BX42">
        <f t="shared" si="308"/>
        <v>0</v>
      </c>
      <c r="BY42">
        <f t="shared" si="309"/>
        <v>0</v>
      </c>
      <c r="BZ42">
        <f t="shared" si="310"/>
        <v>1</v>
      </c>
      <c r="CA42">
        <f t="shared" si="311"/>
        <v>0</v>
      </c>
      <c r="CB42">
        <f t="shared" si="312"/>
        <v>0</v>
      </c>
      <c r="CD42">
        <f t="shared" si="313"/>
        <v>0</v>
      </c>
      <c r="CE42">
        <f t="shared" si="314"/>
        <v>0</v>
      </c>
      <c r="CF42">
        <f t="shared" si="315"/>
        <v>0</v>
      </c>
      <c r="CG42">
        <f t="shared" si="316"/>
        <v>0</v>
      </c>
      <c r="CH42">
        <f t="shared" si="317"/>
        <v>0</v>
      </c>
      <c r="CI42">
        <f t="shared" si="318"/>
        <v>0</v>
      </c>
      <c r="CK42">
        <f t="shared" si="319"/>
        <v>0</v>
      </c>
      <c r="CL42">
        <f t="shared" si="320"/>
        <v>0</v>
      </c>
      <c r="CM42">
        <f t="shared" si="321"/>
        <v>0</v>
      </c>
      <c r="CN42">
        <f t="shared" si="322"/>
        <v>0</v>
      </c>
      <c r="CO42">
        <f t="shared" si="323"/>
        <v>0</v>
      </c>
      <c r="CP42">
        <f t="shared" si="324"/>
        <v>0</v>
      </c>
      <c r="CR42">
        <f t="shared" si="325"/>
        <v>0</v>
      </c>
      <c r="CS42">
        <f t="shared" si="326"/>
        <v>0</v>
      </c>
      <c r="CT42">
        <f t="shared" si="327"/>
        <v>0</v>
      </c>
      <c r="CU42">
        <f t="shared" si="328"/>
        <v>0</v>
      </c>
      <c r="CV42">
        <f t="shared" si="329"/>
        <v>0</v>
      </c>
      <c r="CW42">
        <f t="shared" si="330"/>
        <v>0</v>
      </c>
      <c r="CY42">
        <f t="shared" si="331"/>
        <v>0</v>
      </c>
      <c r="CZ42">
        <f t="shared" si="332"/>
        <v>0</v>
      </c>
      <c r="DA42">
        <f t="shared" si="333"/>
        <v>0</v>
      </c>
      <c r="DB42">
        <f t="shared" si="334"/>
        <v>1</v>
      </c>
      <c r="DC42">
        <f t="shared" si="335"/>
        <v>0</v>
      </c>
      <c r="DD42">
        <f t="shared" si="336"/>
        <v>0</v>
      </c>
      <c r="DF42" s="79">
        <f t="shared" si="337"/>
        <v>0</v>
      </c>
      <c r="DG42" s="79">
        <f t="shared" si="338"/>
        <v>0</v>
      </c>
      <c r="DH42">
        <f t="shared" si="339"/>
        <v>1</v>
      </c>
      <c r="DI42">
        <f t="shared" si="340"/>
        <v>0</v>
      </c>
      <c r="DK42" s="79">
        <f t="shared" si="341"/>
        <v>1</v>
      </c>
      <c r="DL42" s="79">
        <f t="shared" si="342"/>
        <v>0</v>
      </c>
      <c r="DM42">
        <f t="shared" si="343"/>
        <v>1</v>
      </c>
      <c r="DN42">
        <f t="shared" si="344"/>
        <v>0</v>
      </c>
      <c r="DP42" s="79">
        <f t="shared" si="345"/>
        <v>0</v>
      </c>
      <c r="DQ42" s="79">
        <f t="shared" si="346"/>
        <v>1</v>
      </c>
      <c r="DR42">
        <f t="shared" si="347"/>
        <v>0</v>
      </c>
      <c r="DS42">
        <f t="shared" si="348"/>
        <v>3</v>
      </c>
      <c r="DU42" s="79">
        <f t="shared" si="349"/>
        <v>0</v>
      </c>
      <c r="DV42" s="79">
        <f t="shared" si="350"/>
        <v>0</v>
      </c>
      <c r="DW42">
        <f t="shared" si="351"/>
        <v>1</v>
      </c>
      <c r="DX42">
        <f t="shared" si="352"/>
        <v>0</v>
      </c>
      <c r="DZ42" s="79">
        <f t="shared" si="353"/>
        <v>1</v>
      </c>
      <c r="EA42" s="79">
        <f t="shared" si="354"/>
        <v>0</v>
      </c>
      <c r="EB42">
        <f t="shared" si="355"/>
        <v>1</v>
      </c>
      <c r="EC42">
        <f t="shared" si="356"/>
        <v>0</v>
      </c>
      <c r="EH42" s="80"/>
    </row>
    <row r="43" spans="1:148">
      <c r="A43" s="174">
        <v>42</v>
      </c>
      <c r="B43" s="174" t="s">
        <v>40</v>
      </c>
      <c r="C43" s="174" t="s">
        <v>31</v>
      </c>
      <c r="D43" s="174" t="s">
        <v>46</v>
      </c>
      <c r="E43" s="174" t="s">
        <v>34</v>
      </c>
      <c r="F43" s="173"/>
      <c r="G43" s="174" t="s">
        <v>17</v>
      </c>
      <c r="H43" s="174" t="s">
        <v>38</v>
      </c>
      <c r="I43" s="174" t="s">
        <v>18</v>
      </c>
      <c r="J43" s="174" t="s">
        <v>26</v>
      </c>
      <c r="M43" s="175"/>
      <c r="N43" s="42"/>
      <c r="O43" s="43"/>
      <c r="P43" s="44"/>
      <c r="Q43" s="42"/>
      <c r="R43" s="43"/>
      <c r="S43" s="44"/>
      <c r="T43" s="42"/>
      <c r="U43" s="43"/>
      <c r="V43" s="44"/>
      <c r="W43" s="42"/>
      <c r="X43" s="43"/>
      <c r="Y43" s="45"/>
      <c r="Z43" s="46"/>
      <c r="AA43" s="28"/>
      <c r="AB43" s="47"/>
      <c r="AH43" s="72">
        <f t="shared" si="267"/>
        <v>0</v>
      </c>
      <c r="AI43" s="72">
        <f t="shared" si="268"/>
        <v>0</v>
      </c>
      <c r="AJ43" s="72">
        <f t="shared" si="269"/>
        <v>0</v>
      </c>
      <c r="AK43" s="72">
        <f t="shared" si="270"/>
        <v>0</v>
      </c>
      <c r="AL43" s="72">
        <f t="shared" si="271"/>
        <v>0</v>
      </c>
      <c r="AM43" s="72">
        <f t="shared" si="272"/>
        <v>1</v>
      </c>
      <c r="AN43" s="72">
        <f t="shared" si="273"/>
        <v>0</v>
      </c>
      <c r="AO43" s="72">
        <f t="shared" si="274"/>
        <v>2</v>
      </c>
      <c r="AP43" s="72">
        <f t="shared" si="275"/>
        <v>1</v>
      </c>
      <c r="AQ43" s="72">
        <f t="shared" si="276"/>
        <v>1</v>
      </c>
      <c r="AR43" s="72">
        <f t="shared" si="277"/>
        <v>0</v>
      </c>
      <c r="AS43" s="72">
        <f t="shared" si="278"/>
        <v>1</v>
      </c>
      <c r="AT43" s="72">
        <f t="shared" si="279"/>
        <v>1</v>
      </c>
      <c r="AU43" s="72">
        <f t="shared" si="280"/>
        <v>1</v>
      </c>
      <c r="AV43" s="72">
        <f t="shared" si="281"/>
        <v>0</v>
      </c>
      <c r="AW43" s="72">
        <f t="shared" si="282"/>
        <v>1</v>
      </c>
      <c r="AX43" s="72">
        <f t="shared" si="283"/>
        <v>0</v>
      </c>
      <c r="AY43" s="72">
        <f t="shared" si="284"/>
        <v>1</v>
      </c>
      <c r="AZ43" s="72">
        <f t="shared" si="285"/>
        <v>0</v>
      </c>
      <c r="BA43" s="72">
        <f t="shared" si="286"/>
        <v>1</v>
      </c>
      <c r="BB43" s="72">
        <f t="shared" si="287"/>
        <v>0</v>
      </c>
      <c r="BC43" s="72">
        <f t="shared" si="288"/>
        <v>1</v>
      </c>
      <c r="BD43" s="72">
        <f t="shared" si="289"/>
        <v>1</v>
      </c>
      <c r="BE43" s="72">
        <f t="shared" si="290"/>
        <v>1</v>
      </c>
      <c r="BF43" s="72">
        <f t="shared" si="291"/>
        <v>0</v>
      </c>
      <c r="BG43" s="72">
        <f t="shared" si="292"/>
        <v>1</v>
      </c>
      <c r="BH43" s="72">
        <f t="shared" si="293"/>
        <v>1</v>
      </c>
      <c r="BI43" s="72">
        <f t="shared" si="294"/>
        <v>1</v>
      </c>
      <c r="BJ43" s="72">
        <f t="shared" si="295"/>
        <v>0</v>
      </c>
      <c r="BK43" s="72">
        <f t="shared" si="296"/>
        <v>1</v>
      </c>
      <c r="BL43" s="72">
        <f t="shared" si="297"/>
        <v>0</v>
      </c>
      <c r="BM43" s="72">
        <f t="shared" si="298"/>
        <v>2</v>
      </c>
      <c r="BN43" s="72">
        <f t="shared" si="299"/>
        <v>0</v>
      </c>
      <c r="BO43" s="72">
        <f t="shared" si="300"/>
        <v>1</v>
      </c>
      <c r="BP43" s="72">
        <f t="shared" si="301"/>
        <v>0</v>
      </c>
      <c r="BQ43" s="72">
        <f t="shared" si="302"/>
        <v>2</v>
      </c>
      <c r="BR43" s="72">
        <f t="shared" si="303"/>
        <v>0</v>
      </c>
      <c r="BS43" s="72">
        <f t="shared" si="304"/>
        <v>1</v>
      </c>
      <c r="BT43" s="72">
        <f t="shared" si="305"/>
        <v>0</v>
      </c>
      <c r="BU43" s="72">
        <f t="shared" si="306"/>
        <v>0</v>
      </c>
      <c r="BW43">
        <f t="shared" si="307"/>
        <v>0</v>
      </c>
      <c r="BX43">
        <f t="shared" si="308"/>
        <v>0</v>
      </c>
      <c r="BY43">
        <f t="shared" si="309"/>
        <v>0</v>
      </c>
      <c r="BZ43">
        <f t="shared" si="310"/>
        <v>0</v>
      </c>
      <c r="CA43">
        <f t="shared" si="311"/>
        <v>0</v>
      </c>
      <c r="CB43">
        <f t="shared" si="312"/>
        <v>0</v>
      </c>
      <c r="CD43">
        <f t="shared" si="313"/>
        <v>0</v>
      </c>
      <c r="CE43">
        <f t="shared" si="314"/>
        <v>0</v>
      </c>
      <c r="CF43">
        <f t="shared" si="315"/>
        <v>0</v>
      </c>
      <c r="CG43">
        <f t="shared" si="316"/>
        <v>0</v>
      </c>
      <c r="CH43">
        <f t="shared" si="317"/>
        <v>0</v>
      </c>
      <c r="CI43">
        <f t="shared" si="318"/>
        <v>0</v>
      </c>
      <c r="CK43">
        <f t="shared" si="319"/>
        <v>0</v>
      </c>
      <c r="CL43">
        <f t="shared" si="320"/>
        <v>1</v>
      </c>
      <c r="CM43">
        <f t="shared" si="321"/>
        <v>0</v>
      </c>
      <c r="CN43">
        <f t="shared" si="322"/>
        <v>0</v>
      </c>
      <c r="CO43">
        <f t="shared" si="323"/>
        <v>0</v>
      </c>
      <c r="CP43">
        <f t="shared" si="324"/>
        <v>0</v>
      </c>
      <c r="CR43">
        <f t="shared" si="325"/>
        <v>0</v>
      </c>
      <c r="CS43">
        <f t="shared" si="326"/>
        <v>1</v>
      </c>
      <c r="CT43">
        <f t="shared" si="327"/>
        <v>1</v>
      </c>
      <c r="CU43">
        <f t="shared" si="328"/>
        <v>0</v>
      </c>
      <c r="CV43">
        <f t="shared" si="329"/>
        <v>0</v>
      </c>
      <c r="CW43">
        <f t="shared" si="330"/>
        <v>1</v>
      </c>
      <c r="CY43">
        <f t="shared" si="331"/>
        <v>0</v>
      </c>
      <c r="CZ43">
        <f t="shared" si="332"/>
        <v>0</v>
      </c>
      <c r="DA43">
        <f t="shared" si="333"/>
        <v>1</v>
      </c>
      <c r="DB43">
        <f t="shared" si="334"/>
        <v>0</v>
      </c>
      <c r="DC43">
        <f t="shared" si="335"/>
        <v>0</v>
      </c>
      <c r="DD43">
        <f t="shared" si="336"/>
        <v>0</v>
      </c>
      <c r="DF43" s="79">
        <f t="shared" si="337"/>
        <v>0</v>
      </c>
      <c r="DG43" s="79">
        <f t="shared" si="338"/>
        <v>0</v>
      </c>
      <c r="DH43">
        <f t="shared" si="339"/>
        <v>1</v>
      </c>
      <c r="DI43">
        <f t="shared" si="340"/>
        <v>0</v>
      </c>
      <c r="DK43" s="79">
        <f t="shared" si="341"/>
        <v>0</v>
      </c>
      <c r="DL43" s="79">
        <f t="shared" si="342"/>
        <v>0</v>
      </c>
      <c r="DM43">
        <f t="shared" si="343"/>
        <v>1</v>
      </c>
      <c r="DN43">
        <f t="shared" si="344"/>
        <v>0</v>
      </c>
      <c r="DP43" s="79">
        <f t="shared" si="345"/>
        <v>0</v>
      </c>
      <c r="DQ43" s="79">
        <f t="shared" si="346"/>
        <v>1</v>
      </c>
      <c r="DR43">
        <f t="shared" si="347"/>
        <v>0</v>
      </c>
      <c r="DS43">
        <f t="shared" si="348"/>
        <v>4</v>
      </c>
      <c r="DU43" s="79">
        <f t="shared" si="349"/>
        <v>0</v>
      </c>
      <c r="DV43" s="79">
        <f t="shared" si="350"/>
        <v>1</v>
      </c>
      <c r="DW43">
        <f t="shared" si="351"/>
        <v>0</v>
      </c>
      <c r="DX43">
        <f t="shared" si="352"/>
        <v>1</v>
      </c>
      <c r="DZ43" s="79">
        <f t="shared" si="353"/>
        <v>1</v>
      </c>
      <c r="EA43" s="79">
        <f t="shared" si="354"/>
        <v>0</v>
      </c>
      <c r="EB43">
        <f t="shared" si="355"/>
        <v>2</v>
      </c>
      <c r="EC43">
        <f t="shared" si="356"/>
        <v>0</v>
      </c>
      <c r="EH43" s="80"/>
    </row>
    <row r="44" spans="1:148">
      <c r="A44" s="174">
        <v>43</v>
      </c>
      <c r="B44" s="174" t="s">
        <v>42</v>
      </c>
      <c r="C44" s="174" t="s">
        <v>31</v>
      </c>
      <c r="D44" s="174" t="s">
        <v>34</v>
      </c>
      <c r="E44" s="174" t="s">
        <v>38</v>
      </c>
      <c r="F44" s="173"/>
      <c r="G44" s="174" t="s">
        <v>26</v>
      </c>
      <c r="H44" s="174" t="s">
        <v>40</v>
      </c>
      <c r="I44" s="174" t="s">
        <v>36</v>
      </c>
      <c r="J44" s="174" t="s">
        <v>18</v>
      </c>
      <c r="M44" s="175"/>
      <c r="N44" s="42"/>
      <c r="O44" s="43"/>
      <c r="P44" s="44"/>
      <c r="Q44" s="42"/>
      <c r="R44" s="43"/>
      <c r="S44" s="44"/>
      <c r="T44" s="42"/>
      <c r="U44" s="43"/>
      <c r="V44" s="44"/>
      <c r="W44" s="42"/>
      <c r="X44" s="43"/>
      <c r="Y44" s="45"/>
      <c r="Z44" s="46"/>
      <c r="AA44" s="28"/>
      <c r="AB44" s="47"/>
      <c r="AH44" s="72">
        <f t="shared" si="267"/>
        <v>0</v>
      </c>
      <c r="AI44" s="72">
        <f t="shared" si="268"/>
        <v>0</v>
      </c>
      <c r="AJ44" s="72">
        <f t="shared" si="269"/>
        <v>0</v>
      </c>
      <c r="AK44" s="72">
        <f t="shared" si="270"/>
        <v>0</v>
      </c>
      <c r="AL44" s="72">
        <f t="shared" si="271"/>
        <v>0</v>
      </c>
      <c r="AM44" s="72">
        <f t="shared" si="272"/>
        <v>1</v>
      </c>
      <c r="AN44" s="72">
        <f t="shared" si="273"/>
        <v>0</v>
      </c>
      <c r="AO44" s="72">
        <f t="shared" si="274"/>
        <v>1</v>
      </c>
      <c r="AP44" s="72">
        <f t="shared" si="275"/>
        <v>1</v>
      </c>
      <c r="AQ44" s="72">
        <f t="shared" si="276"/>
        <v>1</v>
      </c>
      <c r="AR44" s="72">
        <f t="shared" si="277"/>
        <v>0</v>
      </c>
      <c r="AS44" s="72">
        <f t="shared" si="278"/>
        <v>1</v>
      </c>
      <c r="AT44" s="72">
        <f t="shared" si="279"/>
        <v>0</v>
      </c>
      <c r="AU44" s="72">
        <f t="shared" si="280"/>
        <v>1</v>
      </c>
      <c r="AV44" s="72">
        <f t="shared" si="281"/>
        <v>0</v>
      </c>
      <c r="AW44" s="72">
        <f t="shared" si="282"/>
        <v>1</v>
      </c>
      <c r="AX44" s="72">
        <f t="shared" si="283"/>
        <v>0</v>
      </c>
      <c r="AY44" s="72">
        <f t="shared" si="284"/>
        <v>1</v>
      </c>
      <c r="AZ44" s="72">
        <f t="shared" si="285"/>
        <v>0</v>
      </c>
      <c r="BA44" s="72">
        <f t="shared" si="286"/>
        <v>1</v>
      </c>
      <c r="BB44" s="72">
        <f t="shared" si="287"/>
        <v>0</v>
      </c>
      <c r="BC44" s="72">
        <f t="shared" si="288"/>
        <v>1</v>
      </c>
      <c r="BD44" s="72">
        <f t="shared" si="289"/>
        <v>1</v>
      </c>
      <c r="BE44" s="72">
        <f t="shared" si="290"/>
        <v>1</v>
      </c>
      <c r="BF44" s="72">
        <f t="shared" si="291"/>
        <v>0</v>
      </c>
      <c r="BG44" s="72">
        <f t="shared" si="292"/>
        <v>1</v>
      </c>
      <c r="BH44" s="72">
        <f t="shared" si="293"/>
        <v>0</v>
      </c>
      <c r="BI44" s="72">
        <f t="shared" si="294"/>
        <v>2</v>
      </c>
      <c r="BJ44" s="72">
        <f t="shared" si="295"/>
        <v>0</v>
      </c>
      <c r="BK44" s="72">
        <f t="shared" si="296"/>
        <v>1</v>
      </c>
      <c r="BL44" s="72">
        <f t="shared" si="297"/>
        <v>1</v>
      </c>
      <c r="BM44" s="72">
        <f t="shared" si="298"/>
        <v>1</v>
      </c>
      <c r="BN44" s="72">
        <f t="shared" si="299"/>
        <v>0</v>
      </c>
      <c r="BO44" s="72">
        <f t="shared" si="300"/>
        <v>2</v>
      </c>
      <c r="BP44" s="72">
        <f t="shared" si="301"/>
        <v>0</v>
      </c>
      <c r="BQ44" s="72">
        <f t="shared" si="302"/>
        <v>2</v>
      </c>
      <c r="BR44" s="72">
        <f t="shared" si="303"/>
        <v>0</v>
      </c>
      <c r="BS44" s="72">
        <f t="shared" si="304"/>
        <v>1</v>
      </c>
      <c r="BT44" s="72">
        <f t="shared" si="305"/>
        <v>0</v>
      </c>
      <c r="BU44" s="72">
        <f t="shared" si="306"/>
        <v>0</v>
      </c>
      <c r="BW44">
        <f t="shared" si="307"/>
        <v>0</v>
      </c>
      <c r="BX44">
        <f t="shared" si="308"/>
        <v>0</v>
      </c>
      <c r="BY44">
        <f t="shared" si="309"/>
        <v>0</v>
      </c>
      <c r="BZ44">
        <f t="shared" si="310"/>
        <v>0</v>
      </c>
      <c r="CA44">
        <f t="shared" si="311"/>
        <v>0</v>
      </c>
      <c r="CB44">
        <f t="shared" si="312"/>
        <v>0</v>
      </c>
      <c r="CD44">
        <f t="shared" si="313"/>
        <v>0</v>
      </c>
      <c r="CE44">
        <f t="shared" si="314"/>
        <v>0</v>
      </c>
      <c r="CF44">
        <f t="shared" si="315"/>
        <v>0</v>
      </c>
      <c r="CG44">
        <f t="shared" si="316"/>
        <v>0</v>
      </c>
      <c r="CH44">
        <f t="shared" si="317"/>
        <v>0</v>
      </c>
      <c r="CI44">
        <f t="shared" si="318"/>
        <v>0</v>
      </c>
      <c r="CK44">
        <f t="shared" si="319"/>
        <v>0</v>
      </c>
      <c r="CL44">
        <f t="shared" si="320"/>
        <v>1</v>
      </c>
      <c r="CM44">
        <f t="shared" si="321"/>
        <v>0</v>
      </c>
      <c r="CN44">
        <f t="shared" si="322"/>
        <v>0</v>
      </c>
      <c r="CO44">
        <f t="shared" si="323"/>
        <v>0</v>
      </c>
      <c r="CP44">
        <f t="shared" si="324"/>
        <v>0</v>
      </c>
      <c r="CR44">
        <f t="shared" si="325"/>
        <v>0</v>
      </c>
      <c r="CS44">
        <f t="shared" si="326"/>
        <v>1</v>
      </c>
      <c r="CT44">
        <f t="shared" si="327"/>
        <v>0</v>
      </c>
      <c r="CU44">
        <f t="shared" si="328"/>
        <v>0</v>
      </c>
      <c r="CV44">
        <f t="shared" si="329"/>
        <v>0</v>
      </c>
      <c r="CW44">
        <f t="shared" si="330"/>
        <v>0</v>
      </c>
      <c r="CY44">
        <f t="shared" si="331"/>
        <v>0</v>
      </c>
      <c r="CZ44">
        <f t="shared" si="332"/>
        <v>0</v>
      </c>
      <c r="DA44">
        <f t="shared" si="333"/>
        <v>0</v>
      </c>
      <c r="DB44">
        <f t="shared" si="334"/>
        <v>0</v>
      </c>
      <c r="DC44">
        <f t="shared" si="335"/>
        <v>0</v>
      </c>
      <c r="DD44">
        <f t="shared" si="336"/>
        <v>0</v>
      </c>
      <c r="DF44" s="79">
        <f t="shared" si="337"/>
        <v>0</v>
      </c>
      <c r="DG44" s="79">
        <f t="shared" si="338"/>
        <v>0</v>
      </c>
      <c r="DH44">
        <f t="shared" si="339"/>
        <v>1</v>
      </c>
      <c r="DI44">
        <f t="shared" si="340"/>
        <v>0</v>
      </c>
      <c r="DK44" s="79">
        <f t="shared" si="341"/>
        <v>0</v>
      </c>
      <c r="DL44" s="79">
        <f t="shared" si="342"/>
        <v>0</v>
      </c>
      <c r="DM44">
        <f t="shared" si="343"/>
        <v>1</v>
      </c>
      <c r="DN44">
        <f t="shared" si="344"/>
        <v>0</v>
      </c>
      <c r="DP44" s="79">
        <f t="shared" si="345"/>
        <v>0</v>
      </c>
      <c r="DQ44" s="79">
        <f t="shared" si="346"/>
        <v>1</v>
      </c>
      <c r="DR44">
        <f t="shared" si="347"/>
        <v>0</v>
      </c>
      <c r="DS44">
        <f t="shared" si="348"/>
        <v>5</v>
      </c>
      <c r="DU44" s="79">
        <f t="shared" si="349"/>
        <v>0</v>
      </c>
      <c r="DV44" s="79">
        <f t="shared" si="350"/>
        <v>1</v>
      </c>
      <c r="DW44">
        <f t="shared" si="351"/>
        <v>0</v>
      </c>
      <c r="DX44">
        <f t="shared" si="352"/>
        <v>2</v>
      </c>
      <c r="DZ44" s="79">
        <f t="shared" si="353"/>
        <v>0</v>
      </c>
      <c r="EA44" s="79">
        <f t="shared" si="354"/>
        <v>1</v>
      </c>
      <c r="EB44">
        <f t="shared" si="355"/>
        <v>0</v>
      </c>
      <c r="EC44">
        <f t="shared" si="356"/>
        <v>1</v>
      </c>
      <c r="EH44" s="80"/>
    </row>
    <row r="45" spans="1:148">
      <c r="A45" s="174">
        <v>44</v>
      </c>
      <c r="B45" s="174" t="s">
        <v>42</v>
      </c>
      <c r="C45" s="174" t="s">
        <v>40</v>
      </c>
      <c r="D45" s="174" t="s">
        <v>17</v>
      </c>
      <c r="E45" s="174" t="s">
        <v>23</v>
      </c>
      <c r="F45" s="173"/>
      <c r="G45" s="174" t="s">
        <v>38</v>
      </c>
      <c r="H45" s="174" t="s">
        <v>26</v>
      </c>
      <c r="I45" s="174" t="s">
        <v>36</v>
      </c>
      <c r="J45" s="174" t="s">
        <v>20</v>
      </c>
      <c r="M45" s="175"/>
      <c r="N45" s="42"/>
      <c r="O45" s="43"/>
      <c r="P45" s="44"/>
      <c r="Q45" s="42"/>
      <c r="R45" s="43"/>
      <c r="S45" s="44"/>
      <c r="T45" s="42"/>
      <c r="U45" s="43"/>
      <c r="V45" s="44"/>
      <c r="W45" s="42"/>
      <c r="X45" s="43"/>
      <c r="Y45" s="45"/>
      <c r="Z45" s="46"/>
      <c r="AA45" s="28"/>
      <c r="AB45" s="47"/>
      <c r="AH45" s="72">
        <f t="shared" si="267"/>
        <v>0</v>
      </c>
      <c r="AI45" s="72">
        <f t="shared" si="268"/>
        <v>0</v>
      </c>
      <c r="AJ45" s="72">
        <f t="shared" si="269"/>
        <v>0</v>
      </c>
      <c r="AK45" s="72">
        <f t="shared" si="270"/>
        <v>0</v>
      </c>
      <c r="AL45" s="72">
        <f t="shared" si="271"/>
        <v>0</v>
      </c>
      <c r="AM45" s="72">
        <f t="shared" si="272"/>
        <v>1</v>
      </c>
      <c r="AN45" s="72">
        <f t="shared" si="273"/>
        <v>1</v>
      </c>
      <c r="AO45" s="72">
        <f t="shared" si="274"/>
        <v>1</v>
      </c>
      <c r="AP45" s="72">
        <f t="shared" si="275"/>
        <v>0</v>
      </c>
      <c r="AQ45" s="72">
        <f t="shared" si="276"/>
        <v>1</v>
      </c>
      <c r="AR45" s="72">
        <f t="shared" si="277"/>
        <v>0</v>
      </c>
      <c r="AS45" s="72">
        <f t="shared" si="278"/>
        <v>1</v>
      </c>
      <c r="AT45" s="72">
        <f t="shared" si="279"/>
        <v>0</v>
      </c>
      <c r="AU45" s="72">
        <f t="shared" si="280"/>
        <v>1</v>
      </c>
      <c r="AV45" s="72">
        <f t="shared" si="281"/>
        <v>0</v>
      </c>
      <c r="AW45" s="72">
        <f t="shared" si="282"/>
        <v>1</v>
      </c>
      <c r="AX45" s="72">
        <f t="shared" si="283"/>
        <v>0</v>
      </c>
      <c r="AY45" s="72">
        <f t="shared" si="284"/>
        <v>1</v>
      </c>
      <c r="AZ45" s="72">
        <f t="shared" si="285"/>
        <v>0</v>
      </c>
      <c r="BA45" s="72">
        <f t="shared" si="286"/>
        <v>2</v>
      </c>
      <c r="BB45" s="72">
        <f t="shared" si="287"/>
        <v>0</v>
      </c>
      <c r="BC45" s="72">
        <f t="shared" si="288"/>
        <v>1</v>
      </c>
      <c r="BD45" s="72">
        <f t="shared" si="289"/>
        <v>0</v>
      </c>
      <c r="BE45" s="72">
        <f t="shared" si="290"/>
        <v>1</v>
      </c>
      <c r="BF45" s="72">
        <f t="shared" si="291"/>
        <v>0</v>
      </c>
      <c r="BG45" s="72">
        <f t="shared" si="292"/>
        <v>1</v>
      </c>
      <c r="BH45" s="72">
        <f t="shared" si="293"/>
        <v>1</v>
      </c>
      <c r="BI45" s="72">
        <f t="shared" si="294"/>
        <v>1</v>
      </c>
      <c r="BJ45" s="72">
        <f t="shared" si="295"/>
        <v>0</v>
      </c>
      <c r="BK45" s="72">
        <f t="shared" si="296"/>
        <v>1</v>
      </c>
      <c r="BL45" s="72">
        <f t="shared" si="297"/>
        <v>0</v>
      </c>
      <c r="BM45" s="72">
        <f t="shared" si="298"/>
        <v>2</v>
      </c>
      <c r="BN45" s="72">
        <f t="shared" si="299"/>
        <v>0</v>
      </c>
      <c r="BO45" s="72">
        <f t="shared" si="300"/>
        <v>2</v>
      </c>
      <c r="BP45" s="72">
        <f t="shared" si="301"/>
        <v>0</v>
      </c>
      <c r="BQ45" s="72">
        <f t="shared" si="302"/>
        <v>1</v>
      </c>
      <c r="BR45" s="72">
        <f t="shared" si="303"/>
        <v>0</v>
      </c>
      <c r="BS45" s="72">
        <f t="shared" si="304"/>
        <v>1</v>
      </c>
      <c r="BT45" s="72">
        <f t="shared" si="305"/>
        <v>0</v>
      </c>
      <c r="BU45" s="72">
        <f t="shared" si="306"/>
        <v>0</v>
      </c>
      <c r="BW45">
        <f t="shared" si="307"/>
        <v>0</v>
      </c>
      <c r="BX45">
        <f t="shared" si="308"/>
        <v>0</v>
      </c>
      <c r="BY45">
        <f t="shared" si="309"/>
        <v>0</v>
      </c>
      <c r="BZ45">
        <f t="shared" si="310"/>
        <v>0</v>
      </c>
      <c r="CA45">
        <f t="shared" si="311"/>
        <v>0</v>
      </c>
      <c r="CB45">
        <f t="shared" si="312"/>
        <v>0</v>
      </c>
      <c r="CD45">
        <f t="shared" si="313"/>
        <v>0</v>
      </c>
      <c r="CE45">
        <f t="shared" si="314"/>
        <v>0</v>
      </c>
      <c r="CF45">
        <f t="shared" si="315"/>
        <v>0</v>
      </c>
      <c r="CG45">
        <f t="shared" si="316"/>
        <v>0</v>
      </c>
      <c r="CH45">
        <f t="shared" si="317"/>
        <v>0</v>
      </c>
      <c r="CI45">
        <f t="shared" si="318"/>
        <v>0</v>
      </c>
      <c r="CK45">
        <f t="shared" si="319"/>
        <v>0</v>
      </c>
      <c r="CL45">
        <f t="shared" si="320"/>
        <v>0</v>
      </c>
      <c r="CM45">
        <f t="shared" si="321"/>
        <v>0</v>
      </c>
      <c r="CN45">
        <f t="shared" si="322"/>
        <v>0</v>
      </c>
      <c r="CO45">
        <f t="shared" si="323"/>
        <v>0</v>
      </c>
      <c r="CP45">
        <f t="shared" si="324"/>
        <v>0</v>
      </c>
      <c r="CR45">
        <f t="shared" si="325"/>
        <v>1</v>
      </c>
      <c r="CS45">
        <f t="shared" si="326"/>
        <v>0</v>
      </c>
      <c r="CT45">
        <f t="shared" si="327"/>
        <v>0</v>
      </c>
      <c r="CU45">
        <f t="shared" si="328"/>
        <v>0</v>
      </c>
      <c r="CV45">
        <f t="shared" si="329"/>
        <v>0</v>
      </c>
      <c r="CW45">
        <f t="shared" si="330"/>
        <v>0</v>
      </c>
      <c r="CY45">
        <f t="shared" si="331"/>
        <v>1</v>
      </c>
      <c r="CZ45">
        <f t="shared" si="332"/>
        <v>0</v>
      </c>
      <c r="DA45">
        <f t="shared" si="333"/>
        <v>0</v>
      </c>
      <c r="DB45">
        <f t="shared" si="334"/>
        <v>0</v>
      </c>
      <c r="DC45">
        <f t="shared" si="335"/>
        <v>0</v>
      </c>
      <c r="DD45">
        <f t="shared" si="336"/>
        <v>0</v>
      </c>
      <c r="DF45" s="79">
        <f t="shared" si="337"/>
        <v>1</v>
      </c>
      <c r="DG45" s="79">
        <f t="shared" si="338"/>
        <v>0</v>
      </c>
      <c r="DH45">
        <f t="shared" si="339"/>
        <v>2</v>
      </c>
      <c r="DI45">
        <f t="shared" si="340"/>
        <v>0</v>
      </c>
      <c r="DK45" s="79">
        <f t="shared" si="341"/>
        <v>0</v>
      </c>
      <c r="DL45" s="79">
        <f t="shared" si="342"/>
        <v>1</v>
      </c>
      <c r="DM45">
        <f t="shared" si="343"/>
        <v>0</v>
      </c>
      <c r="DN45">
        <f t="shared" si="344"/>
        <v>1</v>
      </c>
      <c r="DP45" s="79">
        <f t="shared" si="345"/>
        <v>0</v>
      </c>
      <c r="DQ45" s="79">
        <f t="shared" si="346"/>
        <v>0</v>
      </c>
      <c r="DR45">
        <f t="shared" si="347"/>
        <v>0</v>
      </c>
      <c r="DS45">
        <f t="shared" si="348"/>
        <v>5</v>
      </c>
      <c r="DU45" s="79">
        <f t="shared" si="349"/>
        <v>0</v>
      </c>
      <c r="DV45" s="79">
        <f t="shared" si="350"/>
        <v>1</v>
      </c>
      <c r="DW45">
        <f t="shared" si="351"/>
        <v>0</v>
      </c>
      <c r="DX45">
        <f t="shared" si="352"/>
        <v>3</v>
      </c>
      <c r="DZ45" s="79">
        <f t="shared" si="353"/>
        <v>1</v>
      </c>
      <c r="EA45" s="79">
        <f t="shared" si="354"/>
        <v>0</v>
      </c>
      <c r="EB45">
        <f t="shared" si="355"/>
        <v>1</v>
      </c>
      <c r="EC45">
        <f t="shared" si="356"/>
        <v>0</v>
      </c>
      <c r="EH45" s="80"/>
    </row>
    <row r="46" spans="1:148">
      <c r="A46" s="174">
        <v>45</v>
      </c>
      <c r="B46" s="174" t="s">
        <v>42</v>
      </c>
      <c r="C46" s="174" t="s">
        <v>26</v>
      </c>
      <c r="D46" s="174" t="s">
        <v>17</v>
      </c>
      <c r="E46" s="174" t="s">
        <v>20</v>
      </c>
      <c r="F46" s="173"/>
      <c r="G46" s="174" t="s">
        <v>38</v>
      </c>
      <c r="H46" s="174" t="s">
        <v>40</v>
      </c>
      <c r="I46" s="174" t="s">
        <v>36</v>
      </c>
      <c r="J46" s="174" t="s">
        <v>23</v>
      </c>
      <c r="M46" s="175"/>
      <c r="N46" s="42"/>
      <c r="O46" s="43"/>
      <c r="P46" s="44"/>
      <c r="Q46" s="42"/>
      <c r="R46" s="43"/>
      <c r="S46" s="44"/>
      <c r="T46" s="42"/>
      <c r="U46" s="43"/>
      <c r="V46" s="44"/>
      <c r="W46" s="42"/>
      <c r="X46" s="43"/>
      <c r="Y46" s="45"/>
      <c r="Z46" s="46"/>
      <c r="AA46" s="28"/>
      <c r="AB46" s="47"/>
      <c r="AH46" s="72">
        <f t="shared" si="267"/>
        <v>0</v>
      </c>
      <c r="AI46" s="72">
        <f t="shared" si="268"/>
        <v>0</v>
      </c>
      <c r="AJ46" s="72">
        <f t="shared" si="269"/>
        <v>0</v>
      </c>
      <c r="AK46" s="72">
        <f t="shared" si="270"/>
        <v>0</v>
      </c>
      <c r="AL46" s="72">
        <f t="shared" si="271"/>
        <v>1</v>
      </c>
      <c r="AM46" s="72">
        <f t="shared" si="272"/>
        <v>0</v>
      </c>
      <c r="AN46" s="72">
        <f t="shared" si="273"/>
        <v>2</v>
      </c>
      <c r="AO46" s="72">
        <f t="shared" si="274"/>
        <v>0</v>
      </c>
      <c r="AP46" s="72">
        <f t="shared" si="275"/>
        <v>1</v>
      </c>
      <c r="AQ46" s="72">
        <f t="shared" si="276"/>
        <v>0</v>
      </c>
      <c r="AR46" s="72">
        <f t="shared" si="277"/>
        <v>1</v>
      </c>
      <c r="AS46" s="72">
        <f t="shared" si="278"/>
        <v>0</v>
      </c>
      <c r="AT46" s="72">
        <f t="shared" si="279"/>
        <v>1</v>
      </c>
      <c r="AU46" s="72">
        <f t="shared" si="280"/>
        <v>0</v>
      </c>
      <c r="AV46" s="72">
        <f t="shared" si="281"/>
        <v>1</v>
      </c>
      <c r="AW46" s="72">
        <f t="shared" si="282"/>
        <v>0</v>
      </c>
      <c r="AX46" s="72">
        <f t="shared" si="283"/>
        <v>1</v>
      </c>
      <c r="AY46" s="72">
        <f t="shared" si="284"/>
        <v>0</v>
      </c>
      <c r="AZ46" s="72">
        <f t="shared" si="285"/>
        <v>2</v>
      </c>
      <c r="BA46" s="72">
        <f t="shared" si="286"/>
        <v>0</v>
      </c>
      <c r="BB46" s="72">
        <f t="shared" si="287"/>
        <v>1</v>
      </c>
      <c r="BC46" s="72">
        <f t="shared" si="288"/>
        <v>0</v>
      </c>
      <c r="BD46" s="72">
        <f t="shared" si="289"/>
        <v>1</v>
      </c>
      <c r="BE46" s="72">
        <f t="shared" si="290"/>
        <v>0</v>
      </c>
      <c r="BF46" s="72">
        <f t="shared" si="291"/>
        <v>1</v>
      </c>
      <c r="BG46" s="72">
        <f t="shared" si="292"/>
        <v>0</v>
      </c>
      <c r="BH46" s="72">
        <f t="shared" si="293"/>
        <v>1</v>
      </c>
      <c r="BI46" s="72">
        <f t="shared" si="294"/>
        <v>1</v>
      </c>
      <c r="BJ46" s="72">
        <f t="shared" si="295"/>
        <v>1</v>
      </c>
      <c r="BK46" s="72">
        <f t="shared" si="296"/>
        <v>0</v>
      </c>
      <c r="BL46" s="72">
        <f t="shared" si="297"/>
        <v>1</v>
      </c>
      <c r="BM46" s="72">
        <f t="shared" si="298"/>
        <v>1</v>
      </c>
      <c r="BN46" s="72">
        <f t="shared" si="299"/>
        <v>1</v>
      </c>
      <c r="BO46" s="72">
        <f t="shared" si="300"/>
        <v>1</v>
      </c>
      <c r="BP46" s="72">
        <f t="shared" si="301"/>
        <v>1</v>
      </c>
      <c r="BQ46" s="72">
        <f t="shared" si="302"/>
        <v>0</v>
      </c>
      <c r="BR46" s="72">
        <f t="shared" si="303"/>
        <v>1</v>
      </c>
      <c r="BS46" s="72">
        <f t="shared" si="304"/>
        <v>0</v>
      </c>
      <c r="BT46" s="72">
        <f t="shared" si="305"/>
        <v>0</v>
      </c>
      <c r="BU46" s="72">
        <f t="shared" si="306"/>
        <v>0</v>
      </c>
      <c r="BW46">
        <f t="shared" si="307"/>
        <v>0</v>
      </c>
      <c r="BX46">
        <f t="shared" si="308"/>
        <v>0</v>
      </c>
      <c r="BY46">
        <f t="shared" si="309"/>
        <v>0</v>
      </c>
      <c r="BZ46">
        <f t="shared" si="310"/>
        <v>0</v>
      </c>
      <c r="CA46">
        <f t="shared" si="311"/>
        <v>0</v>
      </c>
      <c r="CB46">
        <f t="shared" si="312"/>
        <v>0</v>
      </c>
      <c r="CD46">
        <f t="shared" si="313"/>
        <v>0</v>
      </c>
      <c r="CE46">
        <f t="shared" si="314"/>
        <v>0</v>
      </c>
      <c r="CF46">
        <f t="shared" si="315"/>
        <v>0</v>
      </c>
      <c r="CG46">
        <f t="shared" si="316"/>
        <v>0</v>
      </c>
      <c r="CH46">
        <f t="shared" si="317"/>
        <v>0</v>
      </c>
      <c r="CI46">
        <f t="shared" si="318"/>
        <v>0</v>
      </c>
      <c r="CK46">
        <f t="shared" si="319"/>
        <v>0</v>
      </c>
      <c r="CL46">
        <f t="shared" si="320"/>
        <v>0</v>
      </c>
      <c r="CM46">
        <f t="shared" si="321"/>
        <v>0</v>
      </c>
      <c r="CN46">
        <f t="shared" si="322"/>
        <v>0</v>
      </c>
      <c r="CO46">
        <f t="shared" si="323"/>
        <v>0</v>
      </c>
      <c r="CP46">
        <f t="shared" si="324"/>
        <v>0</v>
      </c>
      <c r="CR46">
        <f t="shared" si="325"/>
        <v>1</v>
      </c>
      <c r="CS46">
        <f t="shared" si="326"/>
        <v>0</v>
      </c>
      <c r="CT46">
        <f t="shared" si="327"/>
        <v>0</v>
      </c>
      <c r="CU46">
        <f t="shared" si="328"/>
        <v>0</v>
      </c>
      <c r="CV46">
        <f t="shared" si="329"/>
        <v>0</v>
      </c>
      <c r="CW46">
        <f t="shared" si="330"/>
        <v>0</v>
      </c>
      <c r="CY46">
        <f t="shared" si="331"/>
        <v>1</v>
      </c>
      <c r="CZ46">
        <f t="shared" si="332"/>
        <v>0</v>
      </c>
      <c r="DA46">
        <f t="shared" si="333"/>
        <v>0</v>
      </c>
      <c r="DB46">
        <f t="shared" si="334"/>
        <v>0</v>
      </c>
      <c r="DC46">
        <f t="shared" si="335"/>
        <v>0</v>
      </c>
      <c r="DD46">
        <f t="shared" si="336"/>
        <v>0</v>
      </c>
      <c r="DF46" s="79">
        <f t="shared" si="337"/>
        <v>0</v>
      </c>
      <c r="DG46" s="79">
        <f t="shared" si="338"/>
        <v>1</v>
      </c>
      <c r="DH46">
        <f t="shared" si="339"/>
        <v>0</v>
      </c>
      <c r="DI46">
        <f t="shared" si="340"/>
        <v>1</v>
      </c>
      <c r="DK46" s="79">
        <f t="shared" si="341"/>
        <v>1</v>
      </c>
      <c r="DL46" s="79">
        <f t="shared" si="342"/>
        <v>0</v>
      </c>
      <c r="DM46">
        <f t="shared" si="343"/>
        <v>1</v>
      </c>
      <c r="DN46">
        <f t="shared" si="344"/>
        <v>0</v>
      </c>
      <c r="DP46" s="79">
        <f t="shared" si="345"/>
        <v>0</v>
      </c>
      <c r="DQ46" s="79">
        <f t="shared" si="346"/>
        <v>0</v>
      </c>
      <c r="DR46">
        <f t="shared" si="347"/>
        <v>0</v>
      </c>
      <c r="DS46">
        <f t="shared" si="348"/>
        <v>5</v>
      </c>
      <c r="DU46" s="79">
        <f t="shared" si="349"/>
        <v>1</v>
      </c>
      <c r="DV46" s="79">
        <f t="shared" si="350"/>
        <v>0</v>
      </c>
      <c r="DW46">
        <f t="shared" si="351"/>
        <v>1</v>
      </c>
      <c r="DX46">
        <f t="shared" si="352"/>
        <v>0</v>
      </c>
      <c r="DZ46" s="79">
        <f t="shared" si="353"/>
        <v>0</v>
      </c>
      <c r="EA46" s="79">
        <f t="shared" si="354"/>
        <v>1</v>
      </c>
      <c r="EB46">
        <f t="shared" si="355"/>
        <v>0</v>
      </c>
      <c r="EC46">
        <f t="shared" si="356"/>
        <v>1</v>
      </c>
      <c r="EH46" s="80"/>
    </row>
    <row r="47" spans="1:148">
      <c r="A47" s="174">
        <v>46</v>
      </c>
      <c r="B47" s="174" t="s">
        <v>33</v>
      </c>
      <c r="C47" s="174" t="s">
        <v>19</v>
      </c>
      <c r="D47" s="174" t="s">
        <v>28</v>
      </c>
      <c r="E47" s="174" t="s">
        <v>34</v>
      </c>
      <c r="F47" s="173"/>
      <c r="G47" s="174" t="s">
        <v>321</v>
      </c>
      <c r="H47" s="174" t="s">
        <v>40</v>
      </c>
      <c r="I47" s="174" t="s">
        <v>42</v>
      </c>
      <c r="J47" s="174" t="s">
        <v>32</v>
      </c>
      <c r="M47" s="175"/>
      <c r="N47" s="42"/>
      <c r="O47" s="43"/>
      <c r="P47" s="44"/>
      <c r="Q47" s="42"/>
      <c r="R47" s="43"/>
      <c r="S47" s="44"/>
      <c r="T47" s="42"/>
      <c r="U47" s="43"/>
      <c r="V47" s="44"/>
      <c r="W47" s="42"/>
      <c r="X47" s="43"/>
      <c r="Y47" s="45"/>
      <c r="Z47" s="46"/>
      <c r="AA47" s="28"/>
      <c r="AB47" s="47"/>
      <c r="AH47" s="72">
        <f t="shared" si="267"/>
        <v>0</v>
      </c>
      <c r="AI47" s="72">
        <f t="shared" si="268"/>
        <v>0</v>
      </c>
      <c r="AJ47" s="72">
        <f t="shared" si="269"/>
        <v>0</v>
      </c>
      <c r="AK47" s="72">
        <f t="shared" si="270"/>
        <v>0</v>
      </c>
      <c r="AL47" s="72">
        <f t="shared" si="271"/>
        <v>0</v>
      </c>
      <c r="AM47" s="72">
        <f t="shared" si="272"/>
        <v>0</v>
      </c>
      <c r="AN47" s="72">
        <f t="shared" si="273"/>
        <v>0</v>
      </c>
      <c r="AO47" s="72">
        <f t="shared" si="274"/>
        <v>0</v>
      </c>
      <c r="AP47" s="72">
        <f t="shared" si="275"/>
        <v>0</v>
      </c>
      <c r="AQ47" s="72">
        <f t="shared" si="276"/>
        <v>0</v>
      </c>
      <c r="AR47" s="72">
        <f t="shared" si="277"/>
        <v>0</v>
      </c>
      <c r="AS47" s="72">
        <f t="shared" si="278"/>
        <v>1</v>
      </c>
      <c r="AT47" s="72">
        <f t="shared" si="279"/>
        <v>0</v>
      </c>
      <c r="AU47" s="72">
        <f t="shared" si="280"/>
        <v>0</v>
      </c>
      <c r="AV47" s="72">
        <f t="shared" si="281"/>
        <v>1</v>
      </c>
      <c r="AW47" s="72">
        <f t="shared" si="282"/>
        <v>0</v>
      </c>
      <c r="AX47" s="72">
        <f t="shared" si="283"/>
        <v>1</v>
      </c>
      <c r="AY47" s="72">
        <f t="shared" si="284"/>
        <v>0</v>
      </c>
      <c r="AZ47" s="72">
        <f t="shared" si="285"/>
        <v>0</v>
      </c>
      <c r="BA47" s="72">
        <f t="shared" si="286"/>
        <v>0</v>
      </c>
      <c r="BB47" s="72">
        <f t="shared" si="287"/>
        <v>0</v>
      </c>
      <c r="BC47" s="72">
        <f t="shared" si="288"/>
        <v>0</v>
      </c>
      <c r="BD47" s="72">
        <f t="shared" si="289"/>
        <v>1</v>
      </c>
      <c r="BE47" s="72">
        <f t="shared" si="290"/>
        <v>0</v>
      </c>
      <c r="BF47" s="72">
        <f t="shared" si="291"/>
        <v>0</v>
      </c>
      <c r="BG47" s="72">
        <f t="shared" si="292"/>
        <v>1</v>
      </c>
      <c r="BH47" s="72">
        <f t="shared" si="293"/>
        <v>0</v>
      </c>
      <c r="BI47" s="72">
        <f t="shared" si="294"/>
        <v>1</v>
      </c>
      <c r="BJ47" s="72">
        <f t="shared" si="295"/>
        <v>0</v>
      </c>
      <c r="BK47" s="72">
        <f t="shared" si="296"/>
        <v>0</v>
      </c>
      <c r="BL47" s="72">
        <f t="shared" si="297"/>
        <v>0</v>
      </c>
      <c r="BM47" s="72">
        <f t="shared" si="298"/>
        <v>0</v>
      </c>
      <c r="BN47" s="72">
        <f t="shared" si="299"/>
        <v>0</v>
      </c>
      <c r="BO47" s="72">
        <f t="shared" si="300"/>
        <v>0</v>
      </c>
      <c r="BP47" s="72">
        <f t="shared" si="301"/>
        <v>0</v>
      </c>
      <c r="BQ47" s="72">
        <f t="shared" si="302"/>
        <v>0</v>
      </c>
      <c r="BR47" s="72">
        <f t="shared" si="303"/>
        <v>0</v>
      </c>
      <c r="BS47" s="72">
        <f t="shared" si="304"/>
        <v>0</v>
      </c>
      <c r="BT47" s="72">
        <f t="shared" si="305"/>
        <v>0</v>
      </c>
      <c r="BU47" s="72">
        <f t="shared" si="306"/>
        <v>0</v>
      </c>
      <c r="BW47">
        <f t="shared" si="307"/>
        <v>0</v>
      </c>
      <c r="BX47">
        <f t="shared" si="308"/>
        <v>0</v>
      </c>
      <c r="BY47">
        <f t="shared" si="309"/>
        <v>0</v>
      </c>
      <c r="BZ47">
        <f t="shared" si="310"/>
        <v>1</v>
      </c>
      <c r="CA47">
        <f t="shared" si="311"/>
        <v>0</v>
      </c>
      <c r="CB47">
        <f t="shared" si="312"/>
        <v>0</v>
      </c>
      <c r="CD47">
        <f t="shared" si="313"/>
        <v>0</v>
      </c>
      <c r="CE47">
        <f t="shared" si="314"/>
        <v>0</v>
      </c>
      <c r="CF47">
        <f t="shared" si="315"/>
        <v>0</v>
      </c>
      <c r="CG47">
        <f t="shared" si="316"/>
        <v>0</v>
      </c>
      <c r="CH47">
        <f t="shared" si="317"/>
        <v>0</v>
      </c>
      <c r="CI47">
        <f t="shared" si="318"/>
        <v>0</v>
      </c>
      <c r="CK47">
        <f t="shared" si="319"/>
        <v>0</v>
      </c>
      <c r="CL47">
        <f t="shared" si="320"/>
        <v>0</v>
      </c>
      <c r="CM47">
        <f t="shared" si="321"/>
        <v>0</v>
      </c>
      <c r="CN47">
        <f t="shared" si="322"/>
        <v>0</v>
      </c>
      <c r="CO47">
        <f t="shared" si="323"/>
        <v>0</v>
      </c>
      <c r="CP47">
        <f t="shared" si="324"/>
        <v>0</v>
      </c>
      <c r="CR47">
        <f t="shared" si="325"/>
        <v>0</v>
      </c>
      <c r="CS47">
        <f t="shared" si="326"/>
        <v>1</v>
      </c>
      <c r="CT47">
        <f t="shared" si="327"/>
        <v>0</v>
      </c>
      <c r="CU47">
        <f t="shared" si="328"/>
        <v>0</v>
      </c>
      <c r="CV47">
        <f t="shared" si="329"/>
        <v>0</v>
      </c>
      <c r="CW47">
        <f t="shared" si="330"/>
        <v>0</v>
      </c>
      <c r="CY47">
        <f t="shared" si="331"/>
        <v>0</v>
      </c>
      <c r="CZ47">
        <f t="shared" si="332"/>
        <v>0</v>
      </c>
      <c r="DA47">
        <f t="shared" si="333"/>
        <v>0</v>
      </c>
      <c r="DB47">
        <f t="shared" si="334"/>
        <v>1</v>
      </c>
      <c r="DC47">
        <f t="shared" si="335"/>
        <v>0</v>
      </c>
      <c r="DD47">
        <f t="shared" si="336"/>
        <v>0</v>
      </c>
      <c r="DF47" s="79">
        <f t="shared" si="337"/>
        <v>0</v>
      </c>
      <c r="DG47" s="79">
        <f t="shared" si="338"/>
        <v>0</v>
      </c>
      <c r="DH47">
        <f t="shared" si="339"/>
        <v>0</v>
      </c>
      <c r="DI47">
        <f t="shared" si="340"/>
        <v>1</v>
      </c>
      <c r="DK47" s="79">
        <f t="shared" si="341"/>
        <v>0</v>
      </c>
      <c r="DL47" s="79">
        <f t="shared" si="342"/>
        <v>0</v>
      </c>
      <c r="DM47">
        <f t="shared" si="343"/>
        <v>1</v>
      </c>
      <c r="DN47">
        <f t="shared" si="344"/>
        <v>0</v>
      </c>
      <c r="DP47" s="79">
        <f t="shared" si="345"/>
        <v>0</v>
      </c>
      <c r="DQ47" s="79">
        <f t="shared" si="346"/>
        <v>0</v>
      </c>
      <c r="DR47">
        <f t="shared" si="347"/>
        <v>0</v>
      </c>
      <c r="DS47">
        <f t="shared" si="348"/>
        <v>5</v>
      </c>
      <c r="DU47" s="79">
        <f t="shared" si="349"/>
        <v>0</v>
      </c>
      <c r="DV47" s="79">
        <f t="shared" si="350"/>
        <v>0</v>
      </c>
      <c r="DW47">
        <f t="shared" si="351"/>
        <v>1</v>
      </c>
      <c r="DX47">
        <f t="shared" si="352"/>
        <v>0</v>
      </c>
      <c r="DZ47" s="79">
        <f t="shared" si="353"/>
        <v>0</v>
      </c>
      <c r="EA47" s="79">
        <f t="shared" si="354"/>
        <v>1</v>
      </c>
      <c r="EB47">
        <f t="shared" si="355"/>
        <v>0</v>
      </c>
      <c r="EC47">
        <f t="shared" si="356"/>
        <v>2</v>
      </c>
      <c r="EH47" s="80"/>
    </row>
    <row r="48" spans="1:148">
      <c r="A48" s="174">
        <v>47</v>
      </c>
      <c r="B48" s="174" t="s">
        <v>321</v>
      </c>
      <c r="C48" s="174" t="s">
        <v>32</v>
      </c>
      <c r="D48" s="174" t="s">
        <v>19</v>
      </c>
      <c r="E48" s="174" t="s">
        <v>20</v>
      </c>
      <c r="F48" s="173"/>
      <c r="G48" s="174" t="s">
        <v>28</v>
      </c>
      <c r="H48" s="174" t="s">
        <v>40</v>
      </c>
      <c r="I48" s="174" t="s">
        <v>34</v>
      </c>
      <c r="J48" s="174" t="s">
        <v>33</v>
      </c>
      <c r="M48" s="175"/>
      <c r="N48" s="42"/>
      <c r="O48" s="43"/>
      <c r="P48" s="44"/>
      <c r="Q48" s="42"/>
      <c r="R48" s="43"/>
      <c r="S48" s="44"/>
      <c r="T48" s="42"/>
      <c r="U48" s="43"/>
      <c r="V48" s="44"/>
      <c r="W48" s="42"/>
      <c r="X48" s="43"/>
      <c r="Y48" s="45"/>
      <c r="Z48" s="46"/>
      <c r="AA48" s="28"/>
      <c r="AB48" s="47"/>
      <c r="AH48" s="72">
        <f t="shared" si="267"/>
        <v>0</v>
      </c>
      <c r="AI48" s="72">
        <f t="shared" si="268"/>
        <v>0</v>
      </c>
      <c r="AJ48" s="72">
        <f t="shared" si="269"/>
        <v>0</v>
      </c>
      <c r="AK48" s="72">
        <f t="shared" si="270"/>
        <v>0</v>
      </c>
      <c r="AL48" s="72">
        <f t="shared" si="271"/>
        <v>0</v>
      </c>
      <c r="AM48" s="72">
        <f t="shared" si="272"/>
        <v>0</v>
      </c>
      <c r="AN48" s="72">
        <f t="shared" si="273"/>
        <v>0</v>
      </c>
      <c r="AO48" s="72">
        <f t="shared" si="274"/>
        <v>0</v>
      </c>
      <c r="AP48" s="72">
        <f t="shared" si="275"/>
        <v>0</v>
      </c>
      <c r="AQ48" s="72">
        <f t="shared" si="276"/>
        <v>0</v>
      </c>
      <c r="AR48" s="72">
        <f t="shared" si="277"/>
        <v>1</v>
      </c>
      <c r="AS48" s="72">
        <f t="shared" si="278"/>
        <v>0</v>
      </c>
      <c r="AT48" s="72">
        <f t="shared" si="279"/>
        <v>0</v>
      </c>
      <c r="AU48" s="72">
        <f t="shared" si="280"/>
        <v>0</v>
      </c>
      <c r="AV48" s="72">
        <f t="shared" si="281"/>
        <v>0</v>
      </c>
      <c r="AW48" s="72">
        <f t="shared" si="282"/>
        <v>1</v>
      </c>
      <c r="AX48" s="72">
        <f t="shared" si="283"/>
        <v>1</v>
      </c>
      <c r="AY48" s="72">
        <f t="shared" si="284"/>
        <v>0</v>
      </c>
      <c r="AZ48" s="72">
        <f t="shared" si="285"/>
        <v>1</v>
      </c>
      <c r="BA48" s="72">
        <f t="shared" si="286"/>
        <v>0</v>
      </c>
      <c r="BB48" s="72">
        <f t="shared" si="287"/>
        <v>0</v>
      </c>
      <c r="BC48" s="72">
        <f t="shared" si="288"/>
        <v>0</v>
      </c>
      <c r="BD48" s="72">
        <f t="shared" si="289"/>
        <v>0</v>
      </c>
      <c r="BE48" s="72">
        <f t="shared" si="290"/>
        <v>1</v>
      </c>
      <c r="BF48" s="72">
        <f t="shared" si="291"/>
        <v>1</v>
      </c>
      <c r="BG48" s="72">
        <f t="shared" si="292"/>
        <v>0</v>
      </c>
      <c r="BH48" s="72">
        <f t="shared" si="293"/>
        <v>0</v>
      </c>
      <c r="BI48" s="72">
        <f t="shared" si="294"/>
        <v>1</v>
      </c>
      <c r="BJ48" s="72">
        <f t="shared" si="295"/>
        <v>0</v>
      </c>
      <c r="BK48" s="72">
        <f t="shared" si="296"/>
        <v>0</v>
      </c>
      <c r="BL48" s="72">
        <f t="shared" si="297"/>
        <v>0</v>
      </c>
      <c r="BM48" s="72">
        <f t="shared" si="298"/>
        <v>0</v>
      </c>
      <c r="BN48" s="72">
        <f t="shared" si="299"/>
        <v>0</v>
      </c>
      <c r="BO48" s="72">
        <f t="shared" si="300"/>
        <v>0</v>
      </c>
      <c r="BP48" s="72">
        <f t="shared" si="301"/>
        <v>0</v>
      </c>
      <c r="BQ48" s="72">
        <f t="shared" si="302"/>
        <v>0</v>
      </c>
      <c r="BR48" s="72">
        <f t="shared" si="303"/>
        <v>0</v>
      </c>
      <c r="BS48" s="72">
        <f t="shared" si="304"/>
        <v>0</v>
      </c>
      <c r="BT48" s="72">
        <f t="shared" si="305"/>
        <v>0</v>
      </c>
      <c r="BU48" s="72">
        <f t="shared" si="306"/>
        <v>0</v>
      </c>
      <c r="BW48">
        <f t="shared" si="307"/>
        <v>0</v>
      </c>
      <c r="BX48">
        <f t="shared" si="308"/>
        <v>1</v>
      </c>
      <c r="BY48">
        <f t="shared" si="309"/>
        <v>0</v>
      </c>
      <c r="BZ48">
        <f t="shared" si="310"/>
        <v>0</v>
      </c>
      <c r="CA48">
        <f t="shared" si="311"/>
        <v>0</v>
      </c>
      <c r="CB48">
        <f t="shared" si="312"/>
        <v>0</v>
      </c>
      <c r="CD48">
        <f t="shared" si="313"/>
        <v>0</v>
      </c>
      <c r="CE48">
        <f t="shared" si="314"/>
        <v>0</v>
      </c>
      <c r="CF48">
        <f t="shared" si="315"/>
        <v>0</v>
      </c>
      <c r="CG48">
        <f t="shared" si="316"/>
        <v>0</v>
      </c>
      <c r="CH48">
        <f t="shared" si="317"/>
        <v>0</v>
      </c>
      <c r="CI48">
        <f t="shared" si="318"/>
        <v>0</v>
      </c>
      <c r="CK48">
        <f t="shared" si="319"/>
        <v>0</v>
      </c>
      <c r="CL48">
        <f t="shared" si="320"/>
        <v>0</v>
      </c>
      <c r="CM48">
        <f t="shared" si="321"/>
        <v>0</v>
      </c>
      <c r="CN48">
        <f t="shared" si="322"/>
        <v>0</v>
      </c>
      <c r="CO48">
        <f t="shared" si="323"/>
        <v>0</v>
      </c>
      <c r="CP48">
        <f t="shared" si="324"/>
        <v>0</v>
      </c>
      <c r="CR48">
        <f t="shared" si="325"/>
        <v>0</v>
      </c>
      <c r="CS48">
        <f t="shared" si="326"/>
        <v>0</v>
      </c>
      <c r="CT48">
        <f t="shared" si="327"/>
        <v>0</v>
      </c>
      <c r="CU48">
        <f t="shared" si="328"/>
        <v>1</v>
      </c>
      <c r="CV48">
        <f t="shared" si="329"/>
        <v>0</v>
      </c>
      <c r="CW48">
        <f t="shared" si="330"/>
        <v>0</v>
      </c>
      <c r="CY48">
        <f t="shared" si="331"/>
        <v>0</v>
      </c>
      <c r="CZ48">
        <f t="shared" si="332"/>
        <v>1</v>
      </c>
      <c r="DA48">
        <f t="shared" si="333"/>
        <v>0</v>
      </c>
      <c r="DB48">
        <f t="shared" si="334"/>
        <v>0</v>
      </c>
      <c r="DC48">
        <f t="shared" si="335"/>
        <v>0</v>
      </c>
      <c r="DD48">
        <f t="shared" si="336"/>
        <v>0</v>
      </c>
      <c r="DF48" s="79">
        <f t="shared" si="337"/>
        <v>0</v>
      </c>
      <c r="DG48" s="79">
        <f t="shared" si="338"/>
        <v>0</v>
      </c>
      <c r="DH48">
        <f t="shared" si="339"/>
        <v>0</v>
      </c>
      <c r="DI48">
        <f t="shared" si="340"/>
        <v>1</v>
      </c>
      <c r="DK48" s="79">
        <f t="shared" si="341"/>
        <v>1</v>
      </c>
      <c r="DL48" s="79">
        <f t="shared" si="342"/>
        <v>0</v>
      </c>
      <c r="DM48">
        <f t="shared" si="343"/>
        <v>2</v>
      </c>
      <c r="DN48">
        <f t="shared" si="344"/>
        <v>0</v>
      </c>
      <c r="DP48" s="79">
        <f t="shared" si="345"/>
        <v>0</v>
      </c>
      <c r="DQ48" s="79">
        <f t="shared" si="346"/>
        <v>0</v>
      </c>
      <c r="DR48">
        <f t="shared" si="347"/>
        <v>0</v>
      </c>
      <c r="DS48">
        <f t="shared" si="348"/>
        <v>5</v>
      </c>
      <c r="DU48" s="79">
        <f t="shared" si="349"/>
        <v>0</v>
      </c>
      <c r="DV48" s="79">
        <f t="shared" si="350"/>
        <v>0</v>
      </c>
      <c r="DW48">
        <f t="shared" si="351"/>
        <v>1</v>
      </c>
      <c r="DX48">
        <f t="shared" si="352"/>
        <v>0</v>
      </c>
      <c r="DZ48" s="79">
        <f t="shared" si="353"/>
        <v>0</v>
      </c>
      <c r="EA48" s="79">
        <f t="shared" si="354"/>
        <v>1</v>
      </c>
      <c r="EB48">
        <f t="shared" si="355"/>
        <v>0</v>
      </c>
      <c r="EC48">
        <f t="shared" si="356"/>
        <v>3</v>
      </c>
      <c r="EH48" s="80"/>
    </row>
    <row r="49" spans="1:138">
      <c r="A49" s="174">
        <v>48</v>
      </c>
      <c r="B49" s="174" t="s">
        <v>321</v>
      </c>
      <c r="C49" s="174" t="s">
        <v>31</v>
      </c>
      <c r="D49" s="174" t="s">
        <v>42</v>
      </c>
      <c r="E49" s="174" t="s">
        <v>32</v>
      </c>
      <c r="F49" s="173"/>
      <c r="G49" s="174" t="s">
        <v>17</v>
      </c>
      <c r="H49" s="174" t="s">
        <v>23</v>
      </c>
      <c r="I49" s="174" t="s">
        <v>40</v>
      </c>
      <c r="J49" s="174" t="s">
        <v>34</v>
      </c>
      <c r="M49" s="175"/>
      <c r="N49" s="42"/>
      <c r="O49" s="43"/>
      <c r="P49" s="44"/>
      <c r="Q49" s="42"/>
      <c r="R49" s="43"/>
      <c r="S49" s="44"/>
      <c r="T49" s="42"/>
      <c r="U49" s="43"/>
      <c r="V49" s="44"/>
      <c r="W49" s="42"/>
      <c r="X49" s="43"/>
      <c r="Y49" s="45"/>
      <c r="Z49" s="46"/>
      <c r="AA49" s="28"/>
      <c r="AB49" s="47"/>
      <c r="AH49" s="72">
        <f t="shared" si="267"/>
        <v>0</v>
      </c>
      <c r="AI49" s="72">
        <f t="shared" si="268"/>
        <v>0</v>
      </c>
      <c r="AJ49" s="72">
        <f t="shared" si="269"/>
        <v>0</v>
      </c>
      <c r="AK49" s="72">
        <f t="shared" si="270"/>
        <v>0</v>
      </c>
      <c r="AL49" s="72">
        <f t="shared" si="271"/>
        <v>0</v>
      </c>
      <c r="AM49" s="72">
        <f t="shared" si="272"/>
        <v>0</v>
      </c>
      <c r="AN49" s="72">
        <f t="shared" si="273"/>
        <v>0</v>
      </c>
      <c r="AO49" s="72">
        <f t="shared" si="274"/>
        <v>1</v>
      </c>
      <c r="AP49" s="72">
        <f t="shared" si="275"/>
        <v>1</v>
      </c>
      <c r="AQ49" s="72">
        <f t="shared" si="276"/>
        <v>0</v>
      </c>
      <c r="AR49" s="72">
        <f t="shared" si="277"/>
        <v>1</v>
      </c>
      <c r="AS49" s="72">
        <f t="shared" si="278"/>
        <v>0</v>
      </c>
      <c r="AT49" s="72">
        <f t="shared" si="279"/>
        <v>0</v>
      </c>
      <c r="AU49" s="72">
        <f t="shared" si="280"/>
        <v>0</v>
      </c>
      <c r="AV49" s="72">
        <f t="shared" si="281"/>
        <v>0</v>
      </c>
      <c r="AW49" s="72">
        <f t="shared" si="282"/>
        <v>0</v>
      </c>
      <c r="AX49" s="72">
        <f t="shared" si="283"/>
        <v>0</v>
      </c>
      <c r="AY49" s="72">
        <f t="shared" si="284"/>
        <v>0</v>
      </c>
      <c r="AZ49" s="72">
        <f t="shared" si="285"/>
        <v>0</v>
      </c>
      <c r="BA49" s="72">
        <f t="shared" si="286"/>
        <v>0</v>
      </c>
      <c r="BB49" s="72">
        <f t="shared" si="287"/>
        <v>0</v>
      </c>
      <c r="BC49" s="72">
        <f t="shared" si="288"/>
        <v>0</v>
      </c>
      <c r="BD49" s="72">
        <f t="shared" si="289"/>
        <v>0</v>
      </c>
      <c r="BE49" s="72">
        <f t="shared" si="290"/>
        <v>1</v>
      </c>
      <c r="BF49" s="72">
        <f t="shared" si="291"/>
        <v>1</v>
      </c>
      <c r="BG49" s="72">
        <f t="shared" si="292"/>
        <v>0</v>
      </c>
      <c r="BH49" s="72">
        <f t="shared" si="293"/>
        <v>0</v>
      </c>
      <c r="BI49" s="72">
        <f t="shared" si="294"/>
        <v>1</v>
      </c>
      <c r="BJ49" s="72">
        <f t="shared" si="295"/>
        <v>0</v>
      </c>
      <c r="BK49" s="72">
        <f t="shared" si="296"/>
        <v>0</v>
      </c>
      <c r="BL49" s="72">
        <f t="shared" si="297"/>
        <v>0</v>
      </c>
      <c r="BM49" s="72">
        <f t="shared" si="298"/>
        <v>0</v>
      </c>
      <c r="BN49" s="72">
        <f t="shared" si="299"/>
        <v>0</v>
      </c>
      <c r="BO49" s="72">
        <f t="shared" si="300"/>
        <v>0</v>
      </c>
      <c r="BP49" s="72">
        <f t="shared" si="301"/>
        <v>0</v>
      </c>
      <c r="BQ49" s="72">
        <f t="shared" si="302"/>
        <v>0</v>
      </c>
      <c r="BR49" s="72">
        <f t="shared" si="303"/>
        <v>0</v>
      </c>
      <c r="BS49" s="72">
        <f t="shared" si="304"/>
        <v>0</v>
      </c>
      <c r="BT49" s="72">
        <f t="shared" si="305"/>
        <v>0</v>
      </c>
      <c r="BU49" s="72">
        <f t="shared" si="306"/>
        <v>0</v>
      </c>
      <c r="BW49">
        <f t="shared" si="307"/>
        <v>0</v>
      </c>
      <c r="BX49">
        <f t="shared" si="308"/>
        <v>1</v>
      </c>
      <c r="BY49">
        <f t="shared" si="309"/>
        <v>0</v>
      </c>
      <c r="BZ49">
        <f t="shared" si="310"/>
        <v>0</v>
      </c>
      <c r="CA49">
        <f t="shared" si="311"/>
        <v>0</v>
      </c>
      <c r="CB49">
        <f t="shared" si="312"/>
        <v>0</v>
      </c>
      <c r="CD49">
        <f t="shared" si="313"/>
        <v>0</v>
      </c>
      <c r="CE49">
        <f t="shared" si="314"/>
        <v>0</v>
      </c>
      <c r="CF49">
        <f t="shared" si="315"/>
        <v>0</v>
      </c>
      <c r="CG49">
        <f t="shared" si="316"/>
        <v>0</v>
      </c>
      <c r="CH49">
        <f t="shared" si="317"/>
        <v>0</v>
      </c>
      <c r="CI49">
        <f t="shared" si="318"/>
        <v>0</v>
      </c>
      <c r="CK49">
        <f t="shared" si="319"/>
        <v>0</v>
      </c>
      <c r="CL49">
        <f t="shared" si="320"/>
        <v>1</v>
      </c>
      <c r="CM49">
        <f t="shared" si="321"/>
        <v>0</v>
      </c>
      <c r="CN49">
        <f t="shared" si="322"/>
        <v>0</v>
      </c>
      <c r="CO49">
        <f t="shared" si="323"/>
        <v>0</v>
      </c>
      <c r="CP49">
        <f t="shared" si="324"/>
        <v>0</v>
      </c>
      <c r="CR49">
        <f t="shared" si="325"/>
        <v>0</v>
      </c>
      <c r="CS49">
        <f t="shared" si="326"/>
        <v>0</v>
      </c>
      <c r="CT49">
        <f t="shared" si="327"/>
        <v>1</v>
      </c>
      <c r="CU49">
        <f t="shared" si="328"/>
        <v>1</v>
      </c>
      <c r="CV49">
        <f t="shared" si="329"/>
        <v>0</v>
      </c>
      <c r="CW49">
        <f t="shared" si="330"/>
        <v>0</v>
      </c>
      <c r="CY49">
        <f t="shared" si="331"/>
        <v>0</v>
      </c>
      <c r="CZ49">
        <f t="shared" si="332"/>
        <v>1</v>
      </c>
      <c r="DA49">
        <f t="shared" si="333"/>
        <v>1</v>
      </c>
      <c r="DB49">
        <f t="shared" si="334"/>
        <v>0</v>
      </c>
      <c r="DC49">
        <f t="shared" si="335"/>
        <v>0</v>
      </c>
      <c r="DD49">
        <f t="shared" si="336"/>
        <v>1</v>
      </c>
      <c r="DF49" s="79">
        <f t="shared" si="337"/>
        <v>0</v>
      </c>
      <c r="DG49" s="79">
        <f t="shared" si="338"/>
        <v>1</v>
      </c>
      <c r="DH49">
        <f t="shared" si="339"/>
        <v>0</v>
      </c>
      <c r="DI49">
        <f t="shared" si="340"/>
        <v>2</v>
      </c>
      <c r="DK49" s="79">
        <f t="shared" si="341"/>
        <v>0</v>
      </c>
      <c r="DL49" s="79">
        <f t="shared" si="342"/>
        <v>0</v>
      </c>
      <c r="DM49">
        <f t="shared" si="343"/>
        <v>2</v>
      </c>
      <c r="DN49">
        <f t="shared" si="344"/>
        <v>0</v>
      </c>
      <c r="DP49" s="79">
        <f t="shared" si="345"/>
        <v>0</v>
      </c>
      <c r="DQ49" s="79">
        <f t="shared" si="346"/>
        <v>0</v>
      </c>
      <c r="DR49">
        <f t="shared" si="347"/>
        <v>0</v>
      </c>
      <c r="DS49">
        <f t="shared" si="348"/>
        <v>5</v>
      </c>
      <c r="DU49" s="79">
        <f t="shared" si="349"/>
        <v>0</v>
      </c>
      <c r="DV49" s="79">
        <f t="shared" si="350"/>
        <v>0</v>
      </c>
      <c r="DW49">
        <f t="shared" si="351"/>
        <v>1</v>
      </c>
      <c r="DX49">
        <f t="shared" si="352"/>
        <v>0</v>
      </c>
      <c r="DZ49" s="79">
        <f t="shared" si="353"/>
        <v>0</v>
      </c>
      <c r="EA49" s="79">
        <f t="shared" si="354"/>
        <v>1</v>
      </c>
      <c r="EB49">
        <f t="shared" si="355"/>
        <v>0</v>
      </c>
      <c r="EC49">
        <f t="shared" si="356"/>
        <v>4</v>
      </c>
      <c r="EH49" s="80"/>
    </row>
    <row r="50" spans="1:138">
      <c r="A50" s="174">
        <v>49</v>
      </c>
      <c r="B50" s="174" t="s">
        <v>23</v>
      </c>
      <c r="C50" s="174" t="s">
        <v>31</v>
      </c>
      <c r="D50" s="174" t="s">
        <v>40</v>
      </c>
      <c r="E50" s="174" t="s">
        <v>17</v>
      </c>
      <c r="F50" s="173"/>
      <c r="G50" s="174" t="s">
        <v>20</v>
      </c>
      <c r="H50" s="174" t="s">
        <v>36</v>
      </c>
      <c r="I50" s="174" t="s">
        <v>19</v>
      </c>
      <c r="J50" s="174" t="s">
        <v>33</v>
      </c>
      <c r="M50" s="175"/>
      <c r="N50" s="42"/>
      <c r="O50" s="43"/>
      <c r="P50" s="44"/>
      <c r="Q50" s="42"/>
      <c r="R50" s="43"/>
      <c r="S50" s="44"/>
      <c r="T50" s="42"/>
      <c r="U50" s="43"/>
      <c r="V50" s="44"/>
      <c r="W50" s="42"/>
      <c r="X50" s="43"/>
      <c r="Y50" s="45"/>
      <c r="Z50" s="46"/>
      <c r="AA50" s="28"/>
      <c r="AB50" s="47"/>
      <c r="AH50" s="72">
        <f t="shared" si="267"/>
        <v>0</v>
      </c>
      <c r="AI50" s="72">
        <f t="shared" si="268"/>
        <v>0</v>
      </c>
      <c r="AJ50" s="72">
        <f t="shared" si="269"/>
        <v>0</v>
      </c>
      <c r="AK50" s="72">
        <f t="shared" si="270"/>
        <v>0</v>
      </c>
      <c r="AL50" s="72">
        <f t="shared" si="271"/>
        <v>0</v>
      </c>
      <c r="AM50" s="72">
        <f t="shared" si="272"/>
        <v>0</v>
      </c>
      <c r="AN50" s="72">
        <f t="shared" si="273"/>
        <v>1</v>
      </c>
      <c r="AO50" s="72">
        <f t="shared" si="274"/>
        <v>0</v>
      </c>
      <c r="AP50" s="72">
        <f t="shared" si="275"/>
        <v>1</v>
      </c>
      <c r="AQ50" s="72">
        <f t="shared" si="276"/>
        <v>0</v>
      </c>
      <c r="AR50" s="72">
        <f t="shared" si="277"/>
        <v>0</v>
      </c>
      <c r="AS50" s="72">
        <f t="shared" si="278"/>
        <v>0</v>
      </c>
      <c r="AT50" s="72">
        <f t="shared" si="279"/>
        <v>0</v>
      </c>
      <c r="AU50" s="72">
        <f t="shared" si="280"/>
        <v>0</v>
      </c>
      <c r="AV50" s="72">
        <f t="shared" si="281"/>
        <v>0</v>
      </c>
      <c r="AW50" s="72">
        <f t="shared" si="282"/>
        <v>1</v>
      </c>
      <c r="AX50" s="72">
        <f t="shared" si="283"/>
        <v>0</v>
      </c>
      <c r="AY50" s="72">
        <f t="shared" si="284"/>
        <v>1</v>
      </c>
      <c r="AZ50" s="72">
        <f t="shared" si="285"/>
        <v>0</v>
      </c>
      <c r="BA50" s="72">
        <f t="shared" si="286"/>
        <v>1</v>
      </c>
      <c r="BB50" s="72">
        <f t="shared" si="287"/>
        <v>0</v>
      </c>
      <c r="BC50" s="72">
        <f t="shared" si="288"/>
        <v>0</v>
      </c>
      <c r="BD50" s="72">
        <f t="shared" si="289"/>
        <v>0</v>
      </c>
      <c r="BE50" s="72">
        <f t="shared" si="290"/>
        <v>0</v>
      </c>
      <c r="BF50" s="72">
        <f t="shared" si="291"/>
        <v>0</v>
      </c>
      <c r="BG50" s="72">
        <f t="shared" si="292"/>
        <v>0</v>
      </c>
      <c r="BH50" s="72">
        <f t="shared" si="293"/>
        <v>1</v>
      </c>
      <c r="BI50" s="72">
        <f t="shared" si="294"/>
        <v>0</v>
      </c>
      <c r="BJ50" s="72">
        <f t="shared" si="295"/>
        <v>0</v>
      </c>
      <c r="BK50" s="72">
        <f t="shared" si="296"/>
        <v>0</v>
      </c>
      <c r="BL50" s="72">
        <f t="shared" si="297"/>
        <v>0</v>
      </c>
      <c r="BM50" s="72">
        <f t="shared" si="298"/>
        <v>0</v>
      </c>
      <c r="BN50" s="72">
        <f t="shared" si="299"/>
        <v>0</v>
      </c>
      <c r="BO50" s="72">
        <f t="shared" si="300"/>
        <v>1</v>
      </c>
      <c r="BP50" s="72">
        <f t="shared" si="301"/>
        <v>0</v>
      </c>
      <c r="BQ50" s="72">
        <f t="shared" si="302"/>
        <v>0</v>
      </c>
      <c r="BR50" s="72">
        <f t="shared" si="303"/>
        <v>0</v>
      </c>
      <c r="BS50" s="72">
        <f t="shared" si="304"/>
        <v>0</v>
      </c>
      <c r="BT50" s="72">
        <f t="shared" si="305"/>
        <v>0</v>
      </c>
      <c r="BU50" s="72">
        <f t="shared" si="306"/>
        <v>0</v>
      </c>
      <c r="BW50">
        <f t="shared" si="307"/>
        <v>0</v>
      </c>
      <c r="BX50">
        <f t="shared" si="308"/>
        <v>0</v>
      </c>
      <c r="BY50">
        <f t="shared" si="309"/>
        <v>0</v>
      </c>
      <c r="BZ50">
        <f t="shared" si="310"/>
        <v>0</v>
      </c>
      <c r="CA50">
        <f t="shared" si="311"/>
        <v>0</v>
      </c>
      <c r="CB50">
        <f t="shared" si="312"/>
        <v>0</v>
      </c>
      <c r="CD50">
        <f t="shared" si="313"/>
        <v>0</v>
      </c>
      <c r="CE50">
        <f t="shared" si="314"/>
        <v>0</v>
      </c>
      <c r="CF50">
        <f t="shared" si="315"/>
        <v>0</v>
      </c>
      <c r="CG50">
        <f t="shared" si="316"/>
        <v>0</v>
      </c>
      <c r="CH50">
        <f t="shared" si="317"/>
        <v>0</v>
      </c>
      <c r="CI50">
        <f t="shared" si="318"/>
        <v>0</v>
      </c>
      <c r="CK50">
        <f t="shared" si="319"/>
        <v>0</v>
      </c>
      <c r="CL50">
        <f t="shared" si="320"/>
        <v>1</v>
      </c>
      <c r="CM50">
        <f t="shared" si="321"/>
        <v>0</v>
      </c>
      <c r="CN50">
        <f t="shared" si="322"/>
        <v>0</v>
      </c>
      <c r="CO50">
        <f t="shared" si="323"/>
        <v>0</v>
      </c>
      <c r="CP50">
        <f t="shared" si="324"/>
        <v>0</v>
      </c>
      <c r="CR50">
        <f t="shared" si="325"/>
        <v>1</v>
      </c>
      <c r="CS50">
        <f t="shared" si="326"/>
        <v>0</v>
      </c>
      <c r="CT50">
        <f t="shared" si="327"/>
        <v>0</v>
      </c>
      <c r="CU50">
        <f t="shared" si="328"/>
        <v>0</v>
      </c>
      <c r="CV50">
        <f t="shared" si="329"/>
        <v>0</v>
      </c>
      <c r="CW50">
        <f t="shared" si="330"/>
        <v>0</v>
      </c>
      <c r="CY50">
        <f t="shared" si="331"/>
        <v>1</v>
      </c>
      <c r="CZ50">
        <f t="shared" si="332"/>
        <v>0</v>
      </c>
      <c r="DA50">
        <f t="shared" si="333"/>
        <v>0</v>
      </c>
      <c r="DB50">
        <f t="shared" si="334"/>
        <v>0</v>
      </c>
      <c r="DC50">
        <f t="shared" si="335"/>
        <v>0</v>
      </c>
      <c r="DD50">
        <f t="shared" si="336"/>
        <v>0</v>
      </c>
      <c r="DF50" s="79">
        <f t="shared" si="337"/>
        <v>1</v>
      </c>
      <c r="DG50" s="79">
        <f t="shared" si="338"/>
        <v>0</v>
      </c>
      <c r="DH50">
        <f t="shared" si="339"/>
        <v>1</v>
      </c>
      <c r="DI50">
        <f t="shared" si="340"/>
        <v>0</v>
      </c>
      <c r="DK50" s="79">
        <f t="shared" si="341"/>
        <v>0</v>
      </c>
      <c r="DL50" s="79">
        <f t="shared" si="342"/>
        <v>1</v>
      </c>
      <c r="DM50">
        <f t="shared" si="343"/>
        <v>0</v>
      </c>
      <c r="DN50">
        <f t="shared" si="344"/>
        <v>1</v>
      </c>
      <c r="DP50" s="79">
        <f t="shared" si="345"/>
        <v>0</v>
      </c>
      <c r="DQ50" s="79">
        <f t="shared" si="346"/>
        <v>0</v>
      </c>
      <c r="DR50">
        <f t="shared" si="347"/>
        <v>0</v>
      </c>
      <c r="DS50">
        <f t="shared" si="348"/>
        <v>5</v>
      </c>
      <c r="DU50" s="79">
        <f t="shared" si="349"/>
        <v>0</v>
      </c>
      <c r="DV50" s="79">
        <f t="shared" si="350"/>
        <v>0</v>
      </c>
      <c r="DW50">
        <f t="shared" si="351"/>
        <v>1</v>
      </c>
      <c r="DX50">
        <f t="shared" si="352"/>
        <v>0</v>
      </c>
      <c r="DZ50" s="79">
        <f t="shared" si="353"/>
        <v>1</v>
      </c>
      <c r="EA50" s="79">
        <f t="shared" si="354"/>
        <v>0</v>
      </c>
      <c r="EB50">
        <f t="shared" si="355"/>
        <v>1</v>
      </c>
      <c r="EC50">
        <f t="shared" si="356"/>
        <v>0</v>
      </c>
      <c r="EH50" s="80"/>
    </row>
    <row r="51" spans="1:138">
      <c r="A51" s="174">
        <v>50</v>
      </c>
      <c r="B51" s="174" t="s">
        <v>33</v>
      </c>
      <c r="C51" s="174" t="s">
        <v>40</v>
      </c>
      <c r="D51" s="174" t="s">
        <v>17</v>
      </c>
      <c r="E51" s="174" t="s">
        <v>20</v>
      </c>
      <c r="F51" s="173"/>
      <c r="G51" s="174" t="s">
        <v>19</v>
      </c>
      <c r="H51" s="174" t="s">
        <v>31</v>
      </c>
      <c r="I51" s="174" t="s">
        <v>36</v>
      </c>
      <c r="J51" s="174" t="s">
        <v>23</v>
      </c>
      <c r="AH51" s="72">
        <f t="shared" si="267"/>
        <v>0</v>
      </c>
      <c r="AI51" s="72">
        <f t="shared" si="268"/>
        <v>0</v>
      </c>
      <c r="AJ51" s="72">
        <f t="shared" si="269"/>
        <v>0</v>
      </c>
      <c r="AK51" s="72">
        <f t="shared" si="270"/>
        <v>0</v>
      </c>
      <c r="AL51" s="72">
        <f t="shared" si="271"/>
        <v>0</v>
      </c>
      <c r="AM51" s="72">
        <f t="shared" si="272"/>
        <v>0</v>
      </c>
      <c r="AN51" s="72">
        <f t="shared" si="273"/>
        <v>1</v>
      </c>
      <c r="AO51" s="72">
        <f t="shared" si="274"/>
        <v>0</v>
      </c>
      <c r="AP51" s="72">
        <f t="shared" si="275"/>
        <v>0</v>
      </c>
      <c r="AQ51" s="72">
        <f t="shared" si="276"/>
        <v>1</v>
      </c>
      <c r="AR51" s="72">
        <f t="shared" si="277"/>
        <v>0</v>
      </c>
      <c r="AS51" s="72">
        <f t="shared" si="278"/>
        <v>0</v>
      </c>
      <c r="AT51" s="72">
        <f t="shared" si="279"/>
        <v>0</v>
      </c>
      <c r="AU51" s="72">
        <f t="shared" si="280"/>
        <v>0</v>
      </c>
      <c r="AV51" s="72">
        <f t="shared" si="281"/>
        <v>1</v>
      </c>
      <c r="AW51" s="72">
        <f t="shared" si="282"/>
        <v>0</v>
      </c>
      <c r="AX51" s="72">
        <f t="shared" si="283"/>
        <v>0</v>
      </c>
      <c r="AY51" s="72">
        <f t="shared" si="284"/>
        <v>1</v>
      </c>
      <c r="AZ51" s="72">
        <f t="shared" si="285"/>
        <v>1</v>
      </c>
      <c r="BA51" s="72">
        <f t="shared" si="286"/>
        <v>0</v>
      </c>
      <c r="BB51" s="72">
        <f t="shared" si="287"/>
        <v>0</v>
      </c>
      <c r="BC51" s="72">
        <f t="shared" si="288"/>
        <v>0</v>
      </c>
      <c r="BD51" s="72">
        <f t="shared" si="289"/>
        <v>0</v>
      </c>
      <c r="BE51" s="72">
        <f t="shared" si="290"/>
        <v>0</v>
      </c>
      <c r="BF51" s="72">
        <f t="shared" si="291"/>
        <v>0</v>
      </c>
      <c r="BG51" s="72">
        <f t="shared" si="292"/>
        <v>0</v>
      </c>
      <c r="BH51" s="72">
        <f t="shared" si="293"/>
        <v>1</v>
      </c>
      <c r="BI51" s="72">
        <f t="shared" si="294"/>
        <v>0</v>
      </c>
      <c r="BJ51" s="72">
        <f t="shared" si="295"/>
        <v>0</v>
      </c>
      <c r="BK51" s="72">
        <f t="shared" si="296"/>
        <v>0</v>
      </c>
      <c r="BL51" s="72">
        <f t="shared" si="297"/>
        <v>0</v>
      </c>
      <c r="BM51" s="72">
        <f t="shared" si="298"/>
        <v>0</v>
      </c>
      <c r="BN51" s="72">
        <f t="shared" si="299"/>
        <v>0</v>
      </c>
      <c r="BO51" s="72">
        <f t="shared" si="300"/>
        <v>1</v>
      </c>
      <c r="BP51" s="72">
        <f t="shared" si="301"/>
        <v>0</v>
      </c>
      <c r="BQ51" s="72">
        <f t="shared" si="302"/>
        <v>0</v>
      </c>
      <c r="BR51" s="72">
        <f t="shared" si="303"/>
        <v>0</v>
      </c>
      <c r="BS51" s="72">
        <f t="shared" si="304"/>
        <v>0</v>
      </c>
      <c r="BT51" s="72">
        <f t="shared" si="305"/>
        <v>0</v>
      </c>
      <c r="BU51" s="72">
        <f t="shared" si="306"/>
        <v>0</v>
      </c>
      <c r="BW51">
        <f t="shared" si="307"/>
        <v>0</v>
      </c>
      <c r="BX51">
        <f t="shared" si="308"/>
        <v>0</v>
      </c>
      <c r="BY51">
        <f t="shared" si="309"/>
        <v>0</v>
      </c>
      <c r="BZ51">
        <f t="shared" si="310"/>
        <v>0</v>
      </c>
      <c r="CA51">
        <f t="shared" si="311"/>
        <v>0</v>
      </c>
      <c r="CB51">
        <f t="shared" si="312"/>
        <v>0</v>
      </c>
      <c r="CD51">
        <f t="shared" si="313"/>
        <v>0</v>
      </c>
      <c r="CE51">
        <f t="shared" si="314"/>
        <v>0</v>
      </c>
      <c r="CF51">
        <f t="shared" si="315"/>
        <v>0</v>
      </c>
      <c r="CG51">
        <f t="shared" si="316"/>
        <v>0</v>
      </c>
      <c r="CH51">
        <f t="shared" si="317"/>
        <v>0</v>
      </c>
      <c r="CI51">
        <f t="shared" si="318"/>
        <v>0</v>
      </c>
      <c r="CK51">
        <f t="shared" si="319"/>
        <v>0</v>
      </c>
      <c r="CL51">
        <f t="shared" si="320"/>
        <v>0</v>
      </c>
      <c r="CM51">
        <f t="shared" si="321"/>
        <v>0</v>
      </c>
      <c r="CN51">
        <f t="shared" si="322"/>
        <v>1</v>
      </c>
      <c r="CO51">
        <f t="shared" si="323"/>
        <v>0</v>
      </c>
      <c r="CP51">
        <f t="shared" si="324"/>
        <v>0</v>
      </c>
      <c r="CR51">
        <f t="shared" si="325"/>
        <v>1</v>
      </c>
      <c r="CS51">
        <f t="shared" si="326"/>
        <v>0</v>
      </c>
      <c r="CT51">
        <f t="shared" si="327"/>
        <v>0</v>
      </c>
      <c r="CU51">
        <f t="shared" si="328"/>
        <v>0</v>
      </c>
      <c r="CV51">
        <f t="shared" si="329"/>
        <v>0</v>
      </c>
      <c r="CW51">
        <f t="shared" si="330"/>
        <v>0</v>
      </c>
      <c r="CY51">
        <f t="shared" si="331"/>
        <v>1</v>
      </c>
      <c r="CZ51">
        <f t="shared" si="332"/>
        <v>0</v>
      </c>
      <c r="DA51">
        <f t="shared" si="333"/>
        <v>0</v>
      </c>
      <c r="DB51">
        <f t="shared" si="334"/>
        <v>0</v>
      </c>
      <c r="DC51">
        <f t="shared" si="335"/>
        <v>0</v>
      </c>
      <c r="DD51">
        <f t="shared" si="336"/>
        <v>0</v>
      </c>
      <c r="DF51" s="79">
        <f t="shared" si="337"/>
        <v>0</v>
      </c>
      <c r="DG51" s="79">
        <f t="shared" si="338"/>
        <v>1</v>
      </c>
      <c r="DH51">
        <f t="shared" si="339"/>
        <v>0</v>
      </c>
      <c r="DI51">
        <f t="shared" si="340"/>
        <v>1</v>
      </c>
      <c r="DK51" s="79">
        <f t="shared" si="341"/>
        <v>1</v>
      </c>
      <c r="DL51" s="79">
        <f t="shared" si="342"/>
        <v>0</v>
      </c>
      <c r="DM51">
        <f t="shared" si="343"/>
        <v>1</v>
      </c>
      <c r="DN51">
        <f t="shared" si="344"/>
        <v>0</v>
      </c>
      <c r="DP51" s="79">
        <f t="shared" si="345"/>
        <v>0</v>
      </c>
      <c r="DQ51" s="79">
        <f t="shared" si="346"/>
        <v>0</v>
      </c>
      <c r="DR51">
        <f t="shared" si="347"/>
        <v>0</v>
      </c>
      <c r="DS51">
        <f t="shared" si="348"/>
        <v>5</v>
      </c>
      <c r="DU51" s="79">
        <f t="shared" si="349"/>
        <v>0</v>
      </c>
      <c r="DV51" s="79">
        <f t="shared" si="350"/>
        <v>0</v>
      </c>
      <c r="DW51">
        <f t="shared" si="351"/>
        <v>1</v>
      </c>
      <c r="DX51">
        <f t="shared" si="352"/>
        <v>0</v>
      </c>
      <c r="DZ51" s="79">
        <f t="shared" si="353"/>
        <v>1</v>
      </c>
      <c r="EA51" s="79">
        <f t="shared" si="354"/>
        <v>0</v>
      </c>
      <c r="EB51">
        <f t="shared" si="355"/>
        <v>2</v>
      </c>
      <c r="EC51">
        <f t="shared" si="356"/>
        <v>0</v>
      </c>
      <c r="EH51" s="80"/>
    </row>
    <row r="52" spans="1:138">
      <c r="A52" s="174">
        <v>51</v>
      </c>
      <c r="B52" s="174" t="s">
        <v>321</v>
      </c>
      <c r="C52" s="174" t="s">
        <v>19</v>
      </c>
      <c r="D52" s="174" t="s">
        <v>42</v>
      </c>
      <c r="E52" s="174" t="s">
        <v>32</v>
      </c>
      <c r="F52" s="173"/>
      <c r="G52" s="174" t="s">
        <v>28</v>
      </c>
      <c r="H52" s="174" t="s">
        <v>40</v>
      </c>
      <c r="I52" s="174" t="s">
        <v>38</v>
      </c>
      <c r="J52" s="174" t="s">
        <v>17</v>
      </c>
      <c r="AH52" s="72">
        <f t="shared" si="267"/>
        <v>0</v>
      </c>
      <c r="AI52" s="72">
        <f t="shared" si="268"/>
        <v>0</v>
      </c>
      <c r="AJ52" s="72">
        <f t="shared" si="269"/>
        <v>0</v>
      </c>
      <c r="AK52" s="72">
        <f t="shared" si="270"/>
        <v>0</v>
      </c>
      <c r="AL52" s="72">
        <f t="shared" si="271"/>
        <v>0</v>
      </c>
      <c r="AM52" s="72">
        <f t="shared" si="272"/>
        <v>0</v>
      </c>
      <c r="AN52" s="72">
        <f t="shared" si="273"/>
        <v>0</v>
      </c>
      <c r="AO52" s="72">
        <f t="shared" si="274"/>
        <v>1</v>
      </c>
      <c r="AP52" s="72">
        <f t="shared" si="275"/>
        <v>0</v>
      </c>
      <c r="AQ52" s="72">
        <f t="shared" si="276"/>
        <v>0</v>
      </c>
      <c r="AR52" s="72">
        <f t="shared" si="277"/>
        <v>1</v>
      </c>
      <c r="AS52" s="72">
        <f t="shared" si="278"/>
        <v>0</v>
      </c>
      <c r="AT52" s="72">
        <f t="shared" si="279"/>
        <v>0</v>
      </c>
      <c r="AU52" s="72">
        <f t="shared" si="280"/>
        <v>0</v>
      </c>
      <c r="AV52" s="72">
        <f t="shared" si="281"/>
        <v>0</v>
      </c>
      <c r="AW52" s="72">
        <f t="shared" si="282"/>
        <v>0</v>
      </c>
      <c r="AX52" s="72">
        <f t="shared" si="283"/>
        <v>1</v>
      </c>
      <c r="AY52" s="72">
        <f t="shared" si="284"/>
        <v>0</v>
      </c>
      <c r="AZ52" s="72">
        <f t="shared" si="285"/>
        <v>0</v>
      </c>
      <c r="BA52" s="72">
        <f t="shared" si="286"/>
        <v>0</v>
      </c>
      <c r="BB52" s="72">
        <f t="shared" si="287"/>
        <v>0</v>
      </c>
      <c r="BC52" s="72">
        <f t="shared" si="288"/>
        <v>0</v>
      </c>
      <c r="BD52" s="72">
        <f t="shared" si="289"/>
        <v>0</v>
      </c>
      <c r="BE52" s="72">
        <f t="shared" si="290"/>
        <v>0</v>
      </c>
      <c r="BF52" s="72">
        <f t="shared" si="291"/>
        <v>1</v>
      </c>
      <c r="BG52" s="72">
        <f t="shared" si="292"/>
        <v>0</v>
      </c>
      <c r="BH52" s="72">
        <f t="shared" si="293"/>
        <v>0</v>
      </c>
      <c r="BI52" s="72">
        <f t="shared" si="294"/>
        <v>1</v>
      </c>
      <c r="BJ52" s="72">
        <f t="shared" si="295"/>
        <v>0</v>
      </c>
      <c r="BK52" s="72">
        <f t="shared" si="296"/>
        <v>0</v>
      </c>
      <c r="BL52" s="72">
        <f t="shared" si="297"/>
        <v>0</v>
      </c>
      <c r="BM52" s="72">
        <f t="shared" si="298"/>
        <v>1</v>
      </c>
      <c r="BN52" s="72">
        <f t="shared" si="299"/>
        <v>0</v>
      </c>
      <c r="BO52" s="72">
        <f t="shared" si="300"/>
        <v>0</v>
      </c>
      <c r="BP52" s="72">
        <f t="shared" si="301"/>
        <v>0</v>
      </c>
      <c r="BQ52" s="72">
        <f t="shared" si="302"/>
        <v>0</v>
      </c>
      <c r="BR52" s="72">
        <f t="shared" si="303"/>
        <v>0</v>
      </c>
      <c r="BS52" s="72">
        <f t="shared" si="304"/>
        <v>0</v>
      </c>
      <c r="BT52" s="72">
        <f t="shared" si="305"/>
        <v>0</v>
      </c>
      <c r="BU52" s="72">
        <f t="shared" si="306"/>
        <v>0</v>
      </c>
      <c r="BW52">
        <f t="shared" si="307"/>
        <v>0</v>
      </c>
      <c r="BX52">
        <f t="shared" si="308"/>
        <v>1</v>
      </c>
      <c r="BY52">
        <f t="shared" si="309"/>
        <v>0</v>
      </c>
      <c r="BZ52">
        <f t="shared" si="310"/>
        <v>0</v>
      </c>
      <c r="CA52">
        <f t="shared" si="311"/>
        <v>0</v>
      </c>
      <c r="CB52">
        <f t="shared" si="312"/>
        <v>0</v>
      </c>
      <c r="CD52">
        <f t="shared" si="313"/>
        <v>0</v>
      </c>
      <c r="CE52">
        <f t="shared" si="314"/>
        <v>0</v>
      </c>
      <c r="CF52">
        <f t="shared" si="315"/>
        <v>0</v>
      </c>
      <c r="CG52">
        <f t="shared" si="316"/>
        <v>0</v>
      </c>
      <c r="CH52">
        <f t="shared" si="317"/>
        <v>0</v>
      </c>
      <c r="CI52">
        <f t="shared" si="318"/>
        <v>0</v>
      </c>
      <c r="CK52">
        <f t="shared" si="319"/>
        <v>0</v>
      </c>
      <c r="CL52">
        <f t="shared" si="320"/>
        <v>0</v>
      </c>
      <c r="CM52">
        <f t="shared" si="321"/>
        <v>0</v>
      </c>
      <c r="CN52">
        <f t="shared" si="322"/>
        <v>0</v>
      </c>
      <c r="CO52">
        <f t="shared" si="323"/>
        <v>0</v>
      </c>
      <c r="CP52">
        <f t="shared" si="324"/>
        <v>0</v>
      </c>
      <c r="CR52">
        <f t="shared" si="325"/>
        <v>0</v>
      </c>
      <c r="CS52">
        <f t="shared" si="326"/>
        <v>0</v>
      </c>
      <c r="CT52">
        <f t="shared" si="327"/>
        <v>1</v>
      </c>
      <c r="CU52">
        <f t="shared" si="328"/>
        <v>0</v>
      </c>
      <c r="CV52">
        <f t="shared" si="329"/>
        <v>0</v>
      </c>
      <c r="CW52">
        <f t="shared" si="330"/>
        <v>0</v>
      </c>
      <c r="CY52">
        <f t="shared" si="331"/>
        <v>0</v>
      </c>
      <c r="CZ52">
        <f t="shared" si="332"/>
        <v>1</v>
      </c>
      <c r="DA52">
        <f t="shared" si="333"/>
        <v>1</v>
      </c>
      <c r="DB52">
        <f t="shared" si="334"/>
        <v>0</v>
      </c>
      <c r="DC52">
        <f t="shared" si="335"/>
        <v>0</v>
      </c>
      <c r="DD52">
        <f t="shared" si="336"/>
        <v>1</v>
      </c>
      <c r="DF52" s="79">
        <f t="shared" si="337"/>
        <v>0</v>
      </c>
      <c r="DG52" s="79">
        <f t="shared" si="338"/>
        <v>0</v>
      </c>
      <c r="DH52">
        <f t="shared" si="339"/>
        <v>0</v>
      </c>
      <c r="DI52">
        <f t="shared" si="340"/>
        <v>1</v>
      </c>
      <c r="DK52" s="79">
        <f t="shared" si="341"/>
        <v>0</v>
      </c>
      <c r="DL52" s="79">
        <f t="shared" si="342"/>
        <v>0</v>
      </c>
      <c r="DM52">
        <f t="shared" si="343"/>
        <v>1</v>
      </c>
      <c r="DN52">
        <f t="shared" si="344"/>
        <v>0</v>
      </c>
      <c r="DP52" s="79">
        <f t="shared" si="345"/>
        <v>0</v>
      </c>
      <c r="DQ52" s="79">
        <f t="shared" si="346"/>
        <v>0</v>
      </c>
      <c r="DR52">
        <f t="shared" si="347"/>
        <v>0</v>
      </c>
      <c r="DS52">
        <f t="shared" si="348"/>
        <v>5</v>
      </c>
      <c r="DU52" s="79">
        <f t="shared" si="349"/>
        <v>0</v>
      </c>
      <c r="DV52" s="79">
        <f t="shared" si="350"/>
        <v>0</v>
      </c>
      <c r="DW52">
        <f t="shared" si="351"/>
        <v>1</v>
      </c>
      <c r="DX52">
        <f t="shared" si="352"/>
        <v>0</v>
      </c>
      <c r="DZ52" s="79">
        <f t="shared" si="353"/>
        <v>0</v>
      </c>
      <c r="EA52" s="79">
        <f t="shared" si="354"/>
        <v>1</v>
      </c>
      <c r="EB52">
        <f t="shared" si="355"/>
        <v>0</v>
      </c>
      <c r="EC52">
        <f t="shared" si="356"/>
        <v>1</v>
      </c>
      <c r="EH52" s="80"/>
    </row>
    <row r="53" spans="1:138">
      <c r="A53" s="29">
        <v>52</v>
      </c>
      <c r="B53" s="29" t="s">
        <v>321</v>
      </c>
      <c r="C53" s="29" t="s">
        <v>19</v>
      </c>
      <c r="D53" s="29" t="s">
        <v>28</v>
      </c>
      <c r="E53" s="29" t="s">
        <v>23</v>
      </c>
      <c r="F53" s="30"/>
      <c r="G53" s="29" t="s">
        <v>34</v>
      </c>
      <c r="H53" s="29" t="s">
        <v>31</v>
      </c>
      <c r="I53" s="29" t="s">
        <v>46</v>
      </c>
      <c r="J53" s="29" t="s">
        <v>38</v>
      </c>
      <c r="AH53" s="72">
        <f t="shared" ref="AH53:AH78" si="357">COUNTIF(B53:E53,$M$56)+COUNTIF(B53:E53,$N$56)</f>
        <v>0</v>
      </c>
      <c r="AI53" s="72">
        <f t="shared" ref="AI53:AI78" si="358">COUNTIF(G53:J53,$M$56)+COUNTIF(G53:J53,$N$56)</f>
        <v>0</v>
      </c>
      <c r="AJ53" s="72">
        <f t="shared" ref="AJ53:AJ78" si="359">COUNTIF(B53:E53,$M$57)+COUNTIF(B53:E53,$N$57)</f>
        <v>0</v>
      </c>
      <c r="AK53" s="72">
        <f t="shared" ref="AK53:AK78" si="360">COUNTIF(G53:J53,$M$57)+COUNTIF(G53:J53,$N$57)</f>
        <v>0</v>
      </c>
      <c r="AL53" s="72">
        <f t="shared" ref="AL53:AL78" si="361">COUNTIF(B53:E53,$M$58)+COUNTIF(B53:E53,$N$58)</f>
        <v>0</v>
      </c>
      <c r="AM53" s="72">
        <f t="shared" ref="AM53:AM78" si="362">COUNTIF(G53:J53,$M$58)+COUNTIF(G53:J53,$N$58)</f>
        <v>0</v>
      </c>
      <c r="AN53" s="72">
        <f t="shared" ref="AN53:AN78" si="363">COUNTIF(B53:E53,$M$59)+COUNTIF(B53:E53,$N$59)</f>
        <v>0</v>
      </c>
      <c r="AO53" s="72">
        <f t="shared" ref="AO53:AO78" si="364">COUNTIF(G53:J53,$M$59)+COUNTIF(G53:J53,$N$59)</f>
        <v>0</v>
      </c>
      <c r="AP53" s="72">
        <f t="shared" ref="AP53:AP78" si="365">COUNTIF(B53:E53,$M$60)+COUNTIF(B53:E53,$N$60)</f>
        <v>0</v>
      </c>
      <c r="AQ53" s="72">
        <f t="shared" ref="AQ53:AQ78" si="366">COUNTIF(G53:J53,$M$60)+COUNTIF(G53:J53,$N$60)</f>
        <v>1</v>
      </c>
      <c r="AR53" s="72">
        <f t="shared" ref="AR53:AR78" si="367">COUNTIF(B53:E53,$M$61)+COUNTIF(B53:E53,$N$61)</f>
        <v>0</v>
      </c>
      <c r="AS53" s="72">
        <f t="shared" ref="AS53:AS78" si="368">COUNTIF(G53:J53,$M$61)+COUNTIF(G53:J53,$N$61)</f>
        <v>0</v>
      </c>
      <c r="AT53" s="72">
        <f t="shared" ref="AT53:AT78" si="369">COUNTIF(B53:E53,$M$62)+COUNTIF(B53:E53,$N$62)</f>
        <v>0</v>
      </c>
      <c r="AU53" s="72">
        <f t="shared" ref="AU53:AU78" si="370">COUNTIF(G53:J53,$M$62)+COUNTIF(G53:J53,$N$62)</f>
        <v>1</v>
      </c>
      <c r="AV53" s="72">
        <f t="shared" ref="AV53:AV78" si="371">COUNTIF(B53:E53,$M$63)+COUNTIF(B53:E53,$N$63)</f>
        <v>0</v>
      </c>
      <c r="AW53" s="72">
        <f t="shared" ref="AW53:AW78" si="372">COUNTIF(G53:J53,$M$63)+COUNTIF(G53:J53,$N$63)</f>
        <v>0</v>
      </c>
      <c r="AX53" s="72">
        <f t="shared" ref="AX53:AX78" si="373">COUNTIF(B53:E53,$M$64)+COUNTIF(B53:E53,$N$64)</f>
        <v>1</v>
      </c>
      <c r="AY53" s="72">
        <f t="shared" ref="AY53:AY78" si="374">COUNTIF(G53:J53,$M$64)+COUNTIF(G53:J53,$N$64)</f>
        <v>0</v>
      </c>
      <c r="AZ53" s="72">
        <f t="shared" ref="AZ53:AZ78" si="375">COUNTIF(B53:E53,$M$65)+COUNTIF(B53:E53,$N$65)</f>
        <v>0</v>
      </c>
      <c r="BA53" s="72">
        <f t="shared" ref="BA53:BA78" si="376">COUNTIF(G53:J53,$M$65)+COUNTIF(G53:J53,$N$65)</f>
        <v>0</v>
      </c>
      <c r="BB53" s="72">
        <f t="shared" ref="BB53:BB78" si="377">COUNTIF(B53:E53,$M$66)+COUNTIF(B53:E53,$N$66)</f>
        <v>0</v>
      </c>
      <c r="BC53" s="72">
        <f t="shared" ref="BC53:BC78" si="378">COUNTIF(G53:J53,$M$66)+COUNTIF(G53:J53,$N$66)</f>
        <v>0</v>
      </c>
      <c r="BD53" s="72">
        <f t="shared" ref="BD53:BD78" si="379">COUNTIF(B53:E53,$M$67)+COUNTIF(B53:E53,$N$67)</f>
        <v>0</v>
      </c>
      <c r="BE53" s="72">
        <f t="shared" ref="BE53:BE78" si="380">COUNTIF(G53:J53,$M$67)+COUNTIF(G53:J53,$N$67)</f>
        <v>1</v>
      </c>
      <c r="BF53" s="72">
        <f t="shared" ref="BF53:BF78" si="381">COUNTIF(B53:E53,$M$68)+COUNTIF(B53:E53,$N$68)</f>
        <v>1</v>
      </c>
      <c r="BG53" s="72">
        <f t="shared" ref="BG53:BG78" si="382">COUNTIF(G53:J53,$M$68)+COUNTIF(G53:J53,$N$68)</f>
        <v>0</v>
      </c>
      <c r="BH53" s="72">
        <f t="shared" ref="BH53:BH78" si="383">COUNTIF(B53:E53,$M$69)+COUNTIF(B53:E53,$N$69)</f>
        <v>0</v>
      </c>
      <c r="BI53" s="72">
        <f t="shared" ref="BI53:BI78" si="384">COUNTIF(G53:J53,$M$69)+COUNTIF(G53:J53,$N$69)</f>
        <v>0</v>
      </c>
      <c r="BJ53" s="72">
        <f t="shared" ref="BJ53:BJ78" si="385">COUNTIF(B53:E53,$M$70)+COUNTIF(B53:E53,$N$70)</f>
        <v>0</v>
      </c>
      <c r="BK53" s="72">
        <f t="shared" ref="BK53:BK78" si="386">COUNTIF(G53:J53,$M$70)+COUNTIF(G53:J53,$N$70)</f>
        <v>0</v>
      </c>
      <c r="BL53" s="72">
        <f t="shared" ref="BL53:BL78" si="387">COUNTIF(B53:E53,$M$71)+COUNTIF(B53:E53,$N$71)</f>
        <v>0</v>
      </c>
      <c r="BM53" s="72">
        <f t="shared" ref="BM53:BM78" si="388">COUNTIF(G53:J53,$M$71)+COUNTIF(G53:J53,$N$71)</f>
        <v>1</v>
      </c>
      <c r="BN53" s="72">
        <f t="shared" ref="BN53:BN78" si="389">COUNTIF(B53:E53,$M$72)+COUNTIF(B53:E53,$N$72)</f>
        <v>0</v>
      </c>
      <c r="BO53" s="72">
        <f t="shared" ref="BO53:BO78" si="390">COUNTIF(G53:J53,$M$72)+COUNTIF(G53:J53,$N$72)</f>
        <v>0</v>
      </c>
      <c r="BP53" s="72">
        <f t="shared" ref="BP53:BP78" si="391">COUNTIF(B53:E53,$M$73)+COUNTIF(B53:E53,$N$73)</f>
        <v>0</v>
      </c>
      <c r="BQ53" s="72">
        <f t="shared" ref="BQ53:BQ78" si="392">COUNTIF(G53:J53,$M$73)+COUNTIF(G53:J53,$N$73)</f>
        <v>0</v>
      </c>
      <c r="BR53" s="72">
        <f t="shared" ref="BR53:BR78" si="393">COUNTIF(B53:E53,$M$74)+COUNTIF(B53:E53,$N$74)</f>
        <v>0</v>
      </c>
      <c r="BS53" s="72">
        <f t="shared" ref="BS53:BS78" si="394">COUNTIF(G53:J53,$M$74)+COUNTIF(G53:J53,$N$74)</f>
        <v>0</v>
      </c>
      <c r="BT53" s="72">
        <f t="shared" ref="BT53:BT78" si="395">COUNTIF(B53:E53,$M$75)+COUNTIF(B53:E53,$N$75)</f>
        <v>0</v>
      </c>
      <c r="BU53" s="72">
        <f t="shared" ref="BU53:BU78" si="396">COUNTIF(G53:J53,$M$75)+COUNTIF(G53:J53,$N$75)</f>
        <v>0</v>
      </c>
      <c r="BW53">
        <f t="shared" ref="BW53:BW78" si="397">COUNTIF(B53:E53,$U$56)</f>
        <v>0</v>
      </c>
      <c r="BX53">
        <f t="shared" ref="BX53:BX78" si="398">COUNTIF(B53:E53,$X$56)</f>
        <v>0</v>
      </c>
      <c r="BY53">
        <f t="shared" ref="BY53:BY78" si="399">COUNTIF(G53:J53,$U$56)</f>
        <v>0</v>
      </c>
      <c r="BZ53">
        <f t="shared" ref="BZ53:BZ78" si="400">COUNTIF(G53:J53,$X$56)</f>
        <v>0</v>
      </c>
      <c r="CA53">
        <f t="shared" si="68"/>
        <v>0</v>
      </c>
      <c r="CB53">
        <f t="shared" si="69"/>
        <v>0</v>
      </c>
      <c r="CD53">
        <f t="shared" ref="CD53:CD78" si="401">COUNTIF(B53:E53,$U$57)</f>
        <v>0</v>
      </c>
      <c r="CE53">
        <f t="shared" ref="CE53:CE78" si="402">COUNTIF(B53:E53,$X$57)</f>
        <v>0</v>
      </c>
      <c r="CF53">
        <f t="shared" ref="CF53:CF78" si="403">COUNTIF(G53:J53,$U$57)</f>
        <v>0</v>
      </c>
      <c r="CG53">
        <f t="shared" ref="CG53:CG78" si="404">COUNTIF(G53:J53,$X$57)</f>
        <v>0</v>
      </c>
      <c r="CH53">
        <f t="shared" si="70"/>
        <v>0</v>
      </c>
      <c r="CI53">
        <f t="shared" si="71"/>
        <v>0</v>
      </c>
      <c r="CK53">
        <f t="shared" ref="CK53:CK78" si="405">COUNTIF(B53:E53,$U$58)</f>
        <v>0</v>
      </c>
      <c r="CL53">
        <f t="shared" ref="CL53:CL78" si="406">COUNTIF(B53:E53,$X$58)</f>
        <v>0</v>
      </c>
      <c r="CM53">
        <f t="shared" ref="CM53:CM78" si="407">COUNTIF(G53:J53,$U$58)</f>
        <v>0</v>
      </c>
      <c r="CN53">
        <f t="shared" ref="CN53:CN78" si="408">COUNTIF(G53:J53,$X$58)</f>
        <v>1</v>
      </c>
      <c r="CO53">
        <f t="shared" si="72"/>
        <v>0</v>
      </c>
      <c r="CP53">
        <f t="shared" si="73"/>
        <v>0</v>
      </c>
      <c r="CR53">
        <f t="shared" ref="CR53:CR78" si="409">COUNTIF(B53:E53,$U$59)</f>
        <v>0</v>
      </c>
      <c r="CS53">
        <f t="shared" ref="CS53:CS78" si="410">COUNTIF(B53:E53,$X$59)</f>
        <v>0</v>
      </c>
      <c r="CT53">
        <f t="shared" ref="CT53:CT78" si="411">COUNTIF(G53:J53,$U$59)</f>
        <v>0</v>
      </c>
      <c r="CU53">
        <f t="shared" ref="CU53:CU78" si="412">COUNTIF(G53:J53,$X$59)</f>
        <v>1</v>
      </c>
      <c r="CV53">
        <f t="shared" si="74"/>
        <v>0</v>
      </c>
      <c r="CW53">
        <f t="shared" si="75"/>
        <v>0</v>
      </c>
      <c r="CY53">
        <f t="shared" ref="CY53:CY78" si="413">COUNTIF(B53:E53,$U$60)</f>
        <v>0</v>
      </c>
      <c r="CZ53">
        <f t="shared" ref="CZ53:CZ78" si="414">COUNTIF(B53:E53,$X$60)</f>
        <v>0</v>
      </c>
      <c r="DA53">
        <f t="shared" ref="DA53:DA78" si="415">COUNTIF(G53:J53,$U$60)</f>
        <v>0</v>
      </c>
      <c r="DB53">
        <f t="shared" ref="DB53:DB78" si="416">COUNTIF(G53:J53,$X$60)</f>
        <v>0</v>
      </c>
      <c r="DC53">
        <f t="shared" si="76"/>
        <v>0</v>
      </c>
      <c r="DD53">
        <f t="shared" si="77"/>
        <v>0</v>
      </c>
      <c r="DF53" s="79">
        <f t="shared" ref="DF53:DF78" si="417">COUNTIF(B53:E53,$Z$56)</f>
        <v>1</v>
      </c>
      <c r="DG53" s="79">
        <f t="shared" ref="DG53:DG78" si="418">COUNTIF(G53:J53,$Z$56)</f>
        <v>0</v>
      </c>
      <c r="DH53">
        <f>IF(DF53+DG53=0,DH40,(DH40+DF53)*DF53)</f>
        <v>2</v>
      </c>
      <c r="DI53">
        <f>IF(DG53+DH53=0,DI40,(DI40+DG53)*DG53)</f>
        <v>0</v>
      </c>
      <c r="DK53" s="79">
        <f t="shared" ref="DK53:DK79" si="419">COUNTIF(B53:E53,$Z$57)</f>
        <v>0</v>
      </c>
      <c r="DL53" s="79">
        <f t="shared" ref="DL53:DL79" si="420">COUNTIF(G53:J53,$Z$57)</f>
        <v>0</v>
      </c>
      <c r="DM53">
        <f>IF(DK53+DL53=0,DM40,(DM40+DK53)*DK53)</f>
        <v>1</v>
      </c>
      <c r="DN53">
        <f>IF(DL53+DM53=0,DN40,(DN40+DL53)*DL53)</f>
        <v>0</v>
      </c>
      <c r="DP53" s="79">
        <f t="shared" ref="DP53:DP79" si="421">COUNTIF(B53:E53,$Z$58)</f>
        <v>0</v>
      </c>
      <c r="DQ53" s="79">
        <f t="shared" ref="DQ53:DQ79" si="422">COUNTIF(G53:J53,$Z$58)</f>
        <v>0</v>
      </c>
      <c r="DR53">
        <f>IF(DP53+DQ53=0,DR40,(DR40+DP53)*DP53)</f>
        <v>0</v>
      </c>
      <c r="DS53">
        <f>IF(DQ53+DR53=0,DS40,(DS40+DQ53)*DQ53)</f>
        <v>1</v>
      </c>
      <c r="DU53" s="79">
        <f t="shared" ref="DU53:DU79" si="423">COUNTIF(B53:E53,$Z$59)</f>
        <v>0</v>
      </c>
      <c r="DV53" s="79">
        <f t="shared" ref="DV53:DV79" si="424">COUNTIF(G53:J53,$Z$59)</f>
        <v>0</v>
      </c>
      <c r="DW53">
        <f>IF(DU53+DV53=0,DW40,(DW40+DU53)*DU53)</f>
        <v>1</v>
      </c>
      <c r="DX53">
        <f>IF(DV53+DW53=0,DX40,(DX40+DV53)*DV53)</f>
        <v>0</v>
      </c>
      <c r="DZ53" s="79">
        <f t="shared" ref="DZ53:DZ79" si="425">COUNTIF(B53:E53,$Z$60)</f>
        <v>0</v>
      </c>
      <c r="EA53" s="79">
        <f t="shared" ref="EA53:EA79" si="426">COUNTIF(G53:J53,$Z$60)</f>
        <v>0</v>
      </c>
      <c r="EB53">
        <f>IF(DZ53+EA53=0,EB40,(EB40+DZ53)*DZ53)</f>
        <v>0</v>
      </c>
      <c r="EC53">
        <f>IF(EA53+EB53=0,EC40,(EC40+EA53)*EA53)</f>
        <v>2</v>
      </c>
    </row>
    <row r="54" spans="1:138">
      <c r="A54" s="29">
        <v>53</v>
      </c>
      <c r="B54" s="29" t="s">
        <v>23</v>
      </c>
      <c r="C54" s="29" t="s">
        <v>46</v>
      </c>
      <c r="D54" s="29" t="s">
        <v>31</v>
      </c>
      <c r="E54" s="29" t="s">
        <v>38</v>
      </c>
      <c r="F54" s="30"/>
      <c r="G54" s="29" t="s">
        <v>28</v>
      </c>
      <c r="H54" s="29" t="s">
        <v>19</v>
      </c>
      <c r="I54" s="29" t="s">
        <v>321</v>
      </c>
      <c r="J54" s="29" t="s">
        <v>34</v>
      </c>
      <c r="M54" s="360" t="s">
        <v>187</v>
      </c>
      <c r="N54" s="360"/>
      <c r="O54" s="355" t="s">
        <v>246</v>
      </c>
      <c r="P54" s="355"/>
      <c r="Q54" s="355"/>
      <c r="U54" s="74" t="s">
        <v>187</v>
      </c>
      <c r="V54" s="355" t="s">
        <v>236</v>
      </c>
      <c r="W54" s="355"/>
      <c r="X54" s="74" t="s">
        <v>187</v>
      </c>
      <c r="Z54" s="74" t="s">
        <v>187</v>
      </c>
      <c r="AA54" s="359" t="s">
        <v>237</v>
      </c>
      <c r="AB54" s="359"/>
      <c r="AH54" s="72">
        <f t="shared" si="357"/>
        <v>0</v>
      </c>
      <c r="AI54" s="72">
        <f t="shared" si="358"/>
        <v>0</v>
      </c>
      <c r="AJ54" s="72">
        <f t="shared" si="359"/>
        <v>0</v>
      </c>
      <c r="AK54" s="72">
        <f t="shared" si="360"/>
        <v>0</v>
      </c>
      <c r="AL54" s="72">
        <f t="shared" si="361"/>
        <v>0</v>
      </c>
      <c r="AM54" s="72">
        <f t="shared" si="362"/>
        <v>0</v>
      </c>
      <c r="AN54" s="72">
        <f t="shared" si="363"/>
        <v>0</v>
      </c>
      <c r="AO54" s="72">
        <f t="shared" si="364"/>
        <v>0</v>
      </c>
      <c r="AP54" s="72">
        <f t="shared" si="365"/>
        <v>1</v>
      </c>
      <c r="AQ54" s="72">
        <f t="shared" si="366"/>
        <v>0</v>
      </c>
      <c r="AR54" s="72">
        <f t="shared" si="367"/>
        <v>0</v>
      </c>
      <c r="AS54" s="72">
        <f t="shared" si="368"/>
        <v>0</v>
      </c>
      <c r="AT54" s="72">
        <f t="shared" si="369"/>
        <v>1</v>
      </c>
      <c r="AU54" s="72">
        <f t="shared" si="370"/>
        <v>0</v>
      </c>
      <c r="AV54" s="72">
        <f t="shared" si="371"/>
        <v>0</v>
      </c>
      <c r="AW54" s="72">
        <f t="shared" si="372"/>
        <v>0</v>
      </c>
      <c r="AX54" s="72">
        <f t="shared" si="373"/>
        <v>0</v>
      </c>
      <c r="AY54" s="72">
        <f t="shared" si="374"/>
        <v>1</v>
      </c>
      <c r="AZ54" s="72">
        <f t="shared" si="375"/>
        <v>0</v>
      </c>
      <c r="BA54" s="72">
        <f t="shared" si="376"/>
        <v>0</v>
      </c>
      <c r="BB54" s="72">
        <f t="shared" si="377"/>
        <v>0</v>
      </c>
      <c r="BC54" s="72">
        <f t="shared" si="378"/>
        <v>0</v>
      </c>
      <c r="BD54" s="72">
        <f t="shared" si="379"/>
        <v>0</v>
      </c>
      <c r="BE54" s="72">
        <f t="shared" si="380"/>
        <v>1</v>
      </c>
      <c r="BF54" s="72">
        <f t="shared" si="381"/>
        <v>0</v>
      </c>
      <c r="BG54" s="72">
        <f t="shared" si="382"/>
        <v>1</v>
      </c>
      <c r="BH54" s="72">
        <f t="shared" si="383"/>
        <v>0</v>
      </c>
      <c r="BI54" s="72">
        <f t="shared" si="384"/>
        <v>0</v>
      </c>
      <c r="BJ54" s="72">
        <f t="shared" si="385"/>
        <v>0</v>
      </c>
      <c r="BK54" s="72">
        <f t="shared" si="386"/>
        <v>0</v>
      </c>
      <c r="BL54" s="72">
        <f t="shared" si="387"/>
        <v>1</v>
      </c>
      <c r="BM54" s="72">
        <f t="shared" si="388"/>
        <v>0</v>
      </c>
      <c r="BN54" s="72">
        <f t="shared" si="389"/>
        <v>0</v>
      </c>
      <c r="BO54" s="72">
        <f t="shared" si="390"/>
        <v>0</v>
      </c>
      <c r="BP54" s="72">
        <f t="shared" si="391"/>
        <v>0</v>
      </c>
      <c r="BQ54" s="72">
        <f t="shared" si="392"/>
        <v>0</v>
      </c>
      <c r="BR54" s="72">
        <f t="shared" si="393"/>
        <v>0</v>
      </c>
      <c r="BS54" s="72">
        <f t="shared" si="394"/>
        <v>0</v>
      </c>
      <c r="BT54" s="72">
        <f t="shared" si="395"/>
        <v>0</v>
      </c>
      <c r="BU54" s="72">
        <f t="shared" si="396"/>
        <v>0</v>
      </c>
      <c r="BW54">
        <f t="shared" si="397"/>
        <v>0</v>
      </c>
      <c r="BX54">
        <f t="shared" si="398"/>
        <v>0</v>
      </c>
      <c r="BY54">
        <f t="shared" si="399"/>
        <v>0</v>
      </c>
      <c r="BZ54">
        <f t="shared" si="400"/>
        <v>0</v>
      </c>
      <c r="CA54">
        <f t="shared" si="68"/>
        <v>0</v>
      </c>
      <c r="CB54">
        <f t="shared" si="69"/>
        <v>0</v>
      </c>
      <c r="CD54">
        <f t="shared" si="401"/>
        <v>0</v>
      </c>
      <c r="CE54">
        <f t="shared" si="402"/>
        <v>0</v>
      </c>
      <c r="CF54">
        <f t="shared" si="403"/>
        <v>0</v>
      </c>
      <c r="CG54">
        <f t="shared" si="404"/>
        <v>0</v>
      </c>
      <c r="CH54">
        <f t="shared" si="70"/>
        <v>0</v>
      </c>
      <c r="CI54">
        <f t="shared" si="71"/>
        <v>0</v>
      </c>
      <c r="CK54">
        <f t="shared" si="405"/>
        <v>0</v>
      </c>
      <c r="CL54">
        <f t="shared" si="406"/>
        <v>1</v>
      </c>
      <c r="CM54">
        <f t="shared" si="407"/>
        <v>0</v>
      </c>
      <c r="CN54">
        <f t="shared" si="408"/>
        <v>0</v>
      </c>
      <c r="CO54">
        <f t="shared" si="72"/>
        <v>0</v>
      </c>
      <c r="CP54">
        <f t="shared" si="73"/>
        <v>0</v>
      </c>
      <c r="CR54">
        <f t="shared" si="409"/>
        <v>0</v>
      </c>
      <c r="CS54">
        <f t="shared" si="410"/>
        <v>0</v>
      </c>
      <c r="CT54">
        <f t="shared" si="411"/>
        <v>0</v>
      </c>
      <c r="CU54">
        <f t="shared" si="412"/>
        <v>1</v>
      </c>
      <c r="CV54">
        <f t="shared" si="74"/>
        <v>0</v>
      </c>
      <c r="CW54">
        <f t="shared" si="75"/>
        <v>0</v>
      </c>
      <c r="CY54">
        <f t="shared" si="413"/>
        <v>0</v>
      </c>
      <c r="CZ54">
        <f t="shared" si="414"/>
        <v>0</v>
      </c>
      <c r="DA54">
        <f t="shared" si="415"/>
        <v>0</v>
      </c>
      <c r="DB54">
        <f t="shared" si="416"/>
        <v>0</v>
      </c>
      <c r="DC54">
        <f t="shared" si="76"/>
        <v>0</v>
      </c>
      <c r="DD54">
        <f t="shared" si="77"/>
        <v>0</v>
      </c>
      <c r="DF54" s="79">
        <f t="shared" si="417"/>
        <v>1</v>
      </c>
      <c r="DG54" s="79">
        <f t="shared" si="418"/>
        <v>0</v>
      </c>
      <c r="DH54">
        <f t="shared" si="124"/>
        <v>3</v>
      </c>
      <c r="DI54">
        <f t="shared" si="89"/>
        <v>0</v>
      </c>
      <c r="DK54" s="79">
        <f t="shared" si="419"/>
        <v>0</v>
      </c>
      <c r="DL54" s="79">
        <f t="shared" si="420"/>
        <v>0</v>
      </c>
      <c r="DM54">
        <f t="shared" ref="DM54:DN54" si="427">IF(DK54+DL54=0,DM53,(DM53+DK54)*DK54)</f>
        <v>1</v>
      </c>
      <c r="DN54">
        <f t="shared" si="427"/>
        <v>0</v>
      </c>
      <c r="DP54" s="79">
        <f t="shared" si="421"/>
        <v>0</v>
      </c>
      <c r="DQ54" s="79">
        <f t="shared" si="422"/>
        <v>0</v>
      </c>
      <c r="DR54">
        <f t="shared" ref="DR54:DS54" si="428">IF(DP54+DQ54=0,DR53,(DR53+DP54)*DP54)</f>
        <v>0</v>
      </c>
      <c r="DS54">
        <f t="shared" si="428"/>
        <v>1</v>
      </c>
      <c r="DU54" s="79">
        <f t="shared" si="423"/>
        <v>0</v>
      </c>
      <c r="DV54" s="79">
        <f t="shared" si="424"/>
        <v>0</v>
      </c>
      <c r="DW54">
        <f t="shared" ref="DW54:DX54" si="429">IF(DU54+DV54=0,DW53,(DW53+DU54)*DU54)</f>
        <v>1</v>
      </c>
      <c r="DX54">
        <f t="shared" si="429"/>
        <v>0</v>
      </c>
      <c r="DZ54" s="79">
        <f t="shared" si="425"/>
        <v>0</v>
      </c>
      <c r="EA54" s="79">
        <f t="shared" si="426"/>
        <v>0</v>
      </c>
      <c r="EB54">
        <f t="shared" ref="EB54:EC54" si="430">IF(DZ54+EA54=0,EB53,(EB53+DZ54)*DZ54)</f>
        <v>0</v>
      </c>
      <c r="EC54">
        <f t="shared" si="430"/>
        <v>2</v>
      </c>
    </row>
    <row r="55" spans="1:138">
      <c r="A55" s="29">
        <v>54</v>
      </c>
      <c r="B55" s="29" t="s">
        <v>23</v>
      </c>
      <c r="C55" s="29" t="s">
        <v>46</v>
      </c>
      <c r="D55" s="29" t="s">
        <v>38</v>
      </c>
      <c r="E55" s="29" t="s">
        <v>20</v>
      </c>
      <c r="F55" s="30"/>
      <c r="G55" s="29" t="s">
        <v>33</v>
      </c>
      <c r="H55" s="29" t="s">
        <v>26</v>
      </c>
      <c r="I55" s="29" t="s">
        <v>36</v>
      </c>
      <c r="J55" s="29" t="s">
        <v>34</v>
      </c>
      <c r="M55" s="20" t="s">
        <v>182</v>
      </c>
      <c r="N55" s="20" t="s">
        <v>183</v>
      </c>
      <c r="O55" s="20" t="s">
        <v>184</v>
      </c>
      <c r="P55" s="20" t="s">
        <v>185</v>
      </c>
      <c r="Q55" s="20" t="s">
        <v>186</v>
      </c>
      <c r="U55" s="20" t="s">
        <v>182</v>
      </c>
      <c r="V55" s="357" t="s">
        <v>229</v>
      </c>
      <c r="W55" s="358"/>
      <c r="X55" s="20" t="s">
        <v>183</v>
      </c>
      <c r="Z55" s="20" t="s">
        <v>164</v>
      </c>
      <c r="AA55" s="20" t="s">
        <v>238</v>
      </c>
      <c r="AB55" s="20" t="s">
        <v>239</v>
      </c>
      <c r="AH55" s="72">
        <f t="shared" si="357"/>
        <v>0</v>
      </c>
      <c r="AI55" s="72">
        <f t="shared" si="358"/>
        <v>0</v>
      </c>
      <c r="AJ55" s="72">
        <f t="shared" si="359"/>
        <v>0</v>
      </c>
      <c r="AK55" s="72">
        <f t="shared" si="360"/>
        <v>0</v>
      </c>
      <c r="AL55" s="72">
        <f t="shared" si="361"/>
        <v>0</v>
      </c>
      <c r="AM55" s="72">
        <f t="shared" si="362"/>
        <v>1</v>
      </c>
      <c r="AN55" s="72">
        <f t="shared" si="363"/>
        <v>0</v>
      </c>
      <c r="AO55" s="72">
        <f t="shared" si="364"/>
        <v>1</v>
      </c>
      <c r="AP55" s="72">
        <f t="shared" si="365"/>
        <v>0</v>
      </c>
      <c r="AQ55" s="72">
        <f t="shared" si="366"/>
        <v>1</v>
      </c>
      <c r="AR55" s="72">
        <f t="shared" si="367"/>
        <v>0</v>
      </c>
      <c r="AS55" s="72">
        <f t="shared" si="368"/>
        <v>1</v>
      </c>
      <c r="AT55" s="72">
        <f t="shared" si="369"/>
        <v>1</v>
      </c>
      <c r="AU55" s="72">
        <f t="shared" si="370"/>
        <v>1</v>
      </c>
      <c r="AV55" s="72">
        <f t="shared" si="371"/>
        <v>0</v>
      </c>
      <c r="AW55" s="72">
        <f t="shared" si="372"/>
        <v>2</v>
      </c>
      <c r="AX55" s="72">
        <f t="shared" si="373"/>
        <v>0</v>
      </c>
      <c r="AY55" s="72">
        <f t="shared" si="374"/>
        <v>1</v>
      </c>
      <c r="AZ55" s="72">
        <f t="shared" si="375"/>
        <v>1</v>
      </c>
      <c r="BA55" s="72">
        <f t="shared" si="376"/>
        <v>1</v>
      </c>
      <c r="BB55" s="72">
        <f t="shared" si="377"/>
        <v>0</v>
      </c>
      <c r="BC55" s="72">
        <f t="shared" si="378"/>
        <v>1</v>
      </c>
      <c r="BD55" s="72">
        <f t="shared" si="379"/>
        <v>0</v>
      </c>
      <c r="BE55" s="72">
        <f t="shared" si="380"/>
        <v>2</v>
      </c>
      <c r="BF55" s="72">
        <f t="shared" si="381"/>
        <v>0</v>
      </c>
      <c r="BG55" s="72">
        <f t="shared" si="382"/>
        <v>1</v>
      </c>
      <c r="BH55" s="72">
        <f t="shared" si="383"/>
        <v>0</v>
      </c>
      <c r="BI55" s="72">
        <f t="shared" si="384"/>
        <v>1</v>
      </c>
      <c r="BJ55" s="72">
        <f t="shared" si="385"/>
        <v>0</v>
      </c>
      <c r="BK55" s="72">
        <f t="shared" si="386"/>
        <v>1</v>
      </c>
      <c r="BL55" s="72">
        <f t="shared" si="387"/>
        <v>1</v>
      </c>
      <c r="BM55" s="72">
        <f t="shared" si="388"/>
        <v>1</v>
      </c>
      <c r="BN55" s="72">
        <f t="shared" si="389"/>
        <v>0</v>
      </c>
      <c r="BO55" s="72">
        <f t="shared" si="390"/>
        <v>2</v>
      </c>
      <c r="BP55" s="72">
        <f t="shared" si="391"/>
        <v>0</v>
      </c>
      <c r="BQ55" s="72">
        <f t="shared" si="392"/>
        <v>1</v>
      </c>
      <c r="BR55" s="72">
        <f t="shared" si="393"/>
        <v>0</v>
      </c>
      <c r="BS55" s="72">
        <f t="shared" si="394"/>
        <v>1</v>
      </c>
      <c r="BT55" s="72">
        <f t="shared" si="395"/>
        <v>0</v>
      </c>
      <c r="BU55" s="72">
        <f t="shared" si="396"/>
        <v>0</v>
      </c>
      <c r="BW55">
        <f t="shared" si="397"/>
        <v>0</v>
      </c>
      <c r="BX55">
        <f t="shared" si="398"/>
        <v>0</v>
      </c>
      <c r="BY55">
        <f t="shared" si="399"/>
        <v>0</v>
      </c>
      <c r="BZ55">
        <f t="shared" si="400"/>
        <v>0</v>
      </c>
      <c r="CA55">
        <f t="shared" si="68"/>
        <v>0</v>
      </c>
      <c r="CB55">
        <f t="shared" si="69"/>
        <v>0</v>
      </c>
      <c r="CD55">
        <f t="shared" si="401"/>
        <v>0</v>
      </c>
      <c r="CE55">
        <f t="shared" si="402"/>
        <v>0</v>
      </c>
      <c r="CF55">
        <f t="shared" si="403"/>
        <v>0</v>
      </c>
      <c r="CG55">
        <f t="shared" si="404"/>
        <v>0</v>
      </c>
      <c r="CH55">
        <f t="shared" si="70"/>
        <v>0</v>
      </c>
      <c r="CI55">
        <f t="shared" si="71"/>
        <v>0</v>
      </c>
      <c r="CK55">
        <f t="shared" si="405"/>
        <v>0</v>
      </c>
      <c r="CL55">
        <f t="shared" si="406"/>
        <v>0</v>
      </c>
      <c r="CM55">
        <f t="shared" si="407"/>
        <v>0</v>
      </c>
      <c r="CN55">
        <f t="shared" si="408"/>
        <v>0</v>
      </c>
      <c r="CO55">
        <f t="shared" si="72"/>
        <v>0</v>
      </c>
      <c r="CP55">
        <f t="shared" si="73"/>
        <v>0</v>
      </c>
      <c r="CR55">
        <f t="shared" si="409"/>
        <v>0</v>
      </c>
      <c r="CS55">
        <f t="shared" si="410"/>
        <v>0</v>
      </c>
      <c r="CT55">
        <f t="shared" si="411"/>
        <v>0</v>
      </c>
      <c r="CU55">
        <f t="shared" si="412"/>
        <v>1</v>
      </c>
      <c r="CV55">
        <f t="shared" si="74"/>
        <v>0</v>
      </c>
      <c r="CW55">
        <f t="shared" si="75"/>
        <v>0</v>
      </c>
      <c r="CY55">
        <f t="shared" si="413"/>
        <v>0</v>
      </c>
      <c r="CZ55">
        <f t="shared" si="414"/>
        <v>0</v>
      </c>
      <c r="DA55">
        <f t="shared" si="415"/>
        <v>0</v>
      </c>
      <c r="DB55">
        <f t="shared" si="416"/>
        <v>0</v>
      </c>
      <c r="DC55">
        <f t="shared" si="76"/>
        <v>0</v>
      </c>
      <c r="DD55">
        <f t="shared" si="77"/>
        <v>0</v>
      </c>
      <c r="DF55" s="79">
        <f t="shared" si="417"/>
        <v>1</v>
      </c>
      <c r="DG55" s="79">
        <f t="shared" si="418"/>
        <v>0</v>
      </c>
      <c r="DH55">
        <f t="shared" si="124"/>
        <v>4</v>
      </c>
      <c r="DI55">
        <f t="shared" si="89"/>
        <v>0</v>
      </c>
      <c r="DK55" s="79">
        <f t="shared" si="419"/>
        <v>1</v>
      </c>
      <c r="DL55" s="79">
        <f t="shared" si="420"/>
        <v>0</v>
      </c>
      <c r="DM55">
        <f t="shared" ref="DM55:DN55" si="431">IF(DK55+DL55=0,DM54,(DM54+DK55)*DK55)</f>
        <v>2</v>
      </c>
      <c r="DN55">
        <f t="shared" si="431"/>
        <v>0</v>
      </c>
      <c r="DP55" s="79">
        <f t="shared" si="421"/>
        <v>0</v>
      </c>
      <c r="DQ55" s="79">
        <f t="shared" si="422"/>
        <v>0</v>
      </c>
      <c r="DR55">
        <f t="shared" ref="DR55:DS55" si="432">IF(DP55+DQ55=0,DR54,(DR54+DP55)*DP55)</f>
        <v>0</v>
      </c>
      <c r="DS55">
        <f t="shared" si="432"/>
        <v>1</v>
      </c>
      <c r="DU55" s="79">
        <f t="shared" si="423"/>
        <v>0</v>
      </c>
      <c r="DV55" s="79">
        <f t="shared" si="424"/>
        <v>1</v>
      </c>
      <c r="DW55">
        <f t="shared" ref="DW55:DX55" si="433">IF(DU55+DV55=0,DW54,(DW54+DU55)*DU55)</f>
        <v>0</v>
      </c>
      <c r="DX55">
        <f t="shared" si="433"/>
        <v>1</v>
      </c>
      <c r="DZ55" s="79">
        <f t="shared" si="425"/>
        <v>0</v>
      </c>
      <c r="EA55" s="79">
        <f t="shared" si="426"/>
        <v>0</v>
      </c>
      <c r="EB55">
        <f t="shared" ref="EB55:EC55" si="434">IF(DZ55+EA55=0,EB54,(EB54+DZ55)*DZ55)</f>
        <v>0</v>
      </c>
      <c r="EC55">
        <f t="shared" si="434"/>
        <v>2</v>
      </c>
    </row>
    <row r="56" spans="1:138">
      <c r="A56" s="29">
        <v>55</v>
      </c>
      <c r="B56" s="29" t="s">
        <v>23</v>
      </c>
      <c r="C56" s="29" t="s">
        <v>46</v>
      </c>
      <c r="D56" s="29" t="s">
        <v>17</v>
      </c>
      <c r="E56" s="29" t="s">
        <v>33</v>
      </c>
      <c r="F56" s="30"/>
      <c r="G56" s="29" t="s">
        <v>38</v>
      </c>
      <c r="H56" s="29" t="s">
        <v>36</v>
      </c>
      <c r="I56" s="29" t="s">
        <v>34</v>
      </c>
      <c r="J56" s="29" t="s">
        <v>26</v>
      </c>
      <c r="L56">
        <v>1</v>
      </c>
      <c r="M56" s="28" t="s">
        <v>82</v>
      </c>
      <c r="N56" s="28" t="s">
        <v>438</v>
      </c>
      <c r="O56" s="73">
        <f>COUNTIF($AH$2:$AH$212,2)</f>
        <v>2</v>
      </c>
      <c r="P56" s="43">
        <f>COUNTIF($AI$2:$AI$212,2)</f>
        <v>4</v>
      </c>
      <c r="Q56" s="44">
        <f t="shared" ref="Q56:Q65" si="435">IF(O56+P56=0,"-",O56/(O56+P56))</f>
        <v>0.33333333333333331</v>
      </c>
      <c r="T56">
        <v>1</v>
      </c>
      <c r="U56" s="28" t="s">
        <v>82</v>
      </c>
      <c r="V56" s="75">
        <f>COUNTIF($CA$2:$CA$212,1)</f>
        <v>0</v>
      </c>
      <c r="W56" s="75">
        <f>COUNTIF($CB$2:$CB$212,1)</f>
        <v>6</v>
      </c>
      <c r="X56" s="28" t="s">
        <v>98</v>
      </c>
      <c r="Z56" s="28" t="s">
        <v>87</v>
      </c>
      <c r="AA56" s="70">
        <f>MAX($DH$2:$DH$212)</f>
        <v>9</v>
      </c>
      <c r="AB56" s="70">
        <f>MAX($DI$2:$DI$212)</f>
        <v>3</v>
      </c>
      <c r="AH56" s="72">
        <f t="shared" si="357"/>
        <v>0</v>
      </c>
      <c r="AI56" s="72">
        <f t="shared" si="358"/>
        <v>0</v>
      </c>
      <c r="AJ56" s="72">
        <f t="shared" si="359"/>
        <v>0</v>
      </c>
      <c r="AK56" s="72">
        <f t="shared" si="360"/>
        <v>0</v>
      </c>
      <c r="AL56" s="72">
        <f t="shared" si="361"/>
        <v>0</v>
      </c>
      <c r="AM56" s="72">
        <f t="shared" si="362"/>
        <v>1</v>
      </c>
      <c r="AN56" s="72">
        <f t="shared" si="363"/>
        <v>1</v>
      </c>
      <c r="AO56" s="72">
        <f t="shared" si="364"/>
        <v>1</v>
      </c>
      <c r="AP56" s="72">
        <f t="shared" si="365"/>
        <v>0</v>
      </c>
      <c r="AQ56" s="72">
        <f t="shared" si="366"/>
        <v>1</v>
      </c>
      <c r="AR56" s="72">
        <f t="shared" si="367"/>
        <v>0</v>
      </c>
      <c r="AS56" s="72">
        <f t="shared" si="368"/>
        <v>1</v>
      </c>
      <c r="AT56" s="72">
        <f t="shared" si="369"/>
        <v>1</v>
      </c>
      <c r="AU56" s="72">
        <f t="shared" si="370"/>
        <v>1</v>
      </c>
      <c r="AV56" s="72">
        <f t="shared" si="371"/>
        <v>1</v>
      </c>
      <c r="AW56" s="72">
        <f t="shared" si="372"/>
        <v>1</v>
      </c>
      <c r="AX56" s="72">
        <f t="shared" si="373"/>
        <v>0</v>
      </c>
      <c r="AY56" s="72">
        <f t="shared" si="374"/>
        <v>1</v>
      </c>
      <c r="AZ56" s="72">
        <f t="shared" si="375"/>
        <v>0</v>
      </c>
      <c r="BA56" s="72">
        <f t="shared" si="376"/>
        <v>1</v>
      </c>
      <c r="BB56" s="72">
        <f t="shared" si="377"/>
        <v>0</v>
      </c>
      <c r="BC56" s="72">
        <f t="shared" si="378"/>
        <v>1</v>
      </c>
      <c r="BD56" s="72">
        <f t="shared" si="379"/>
        <v>0</v>
      </c>
      <c r="BE56" s="72">
        <f t="shared" si="380"/>
        <v>2</v>
      </c>
      <c r="BF56" s="72">
        <f t="shared" si="381"/>
        <v>0</v>
      </c>
      <c r="BG56" s="72">
        <f t="shared" si="382"/>
        <v>1</v>
      </c>
      <c r="BH56" s="72">
        <f t="shared" si="383"/>
        <v>0</v>
      </c>
      <c r="BI56" s="72">
        <f t="shared" si="384"/>
        <v>1</v>
      </c>
      <c r="BJ56" s="72">
        <f t="shared" si="385"/>
        <v>0</v>
      </c>
      <c r="BK56" s="72">
        <f t="shared" si="386"/>
        <v>1</v>
      </c>
      <c r="BL56" s="72">
        <f t="shared" si="387"/>
        <v>0</v>
      </c>
      <c r="BM56" s="72">
        <f t="shared" si="388"/>
        <v>2</v>
      </c>
      <c r="BN56" s="72">
        <f t="shared" si="389"/>
        <v>0</v>
      </c>
      <c r="BO56" s="72">
        <f t="shared" si="390"/>
        <v>2</v>
      </c>
      <c r="BP56" s="72">
        <f t="shared" si="391"/>
        <v>0</v>
      </c>
      <c r="BQ56" s="72">
        <f t="shared" si="392"/>
        <v>1</v>
      </c>
      <c r="BR56" s="72">
        <f t="shared" si="393"/>
        <v>0</v>
      </c>
      <c r="BS56" s="72">
        <f t="shared" si="394"/>
        <v>1</v>
      </c>
      <c r="BT56" s="72">
        <f t="shared" si="395"/>
        <v>0</v>
      </c>
      <c r="BU56" s="72">
        <f t="shared" si="396"/>
        <v>0</v>
      </c>
      <c r="BW56">
        <f t="shared" si="397"/>
        <v>0</v>
      </c>
      <c r="BX56">
        <f t="shared" si="398"/>
        <v>0</v>
      </c>
      <c r="BY56">
        <f t="shared" si="399"/>
        <v>0</v>
      </c>
      <c r="BZ56">
        <f t="shared" si="400"/>
        <v>0</v>
      </c>
      <c r="CA56">
        <f t="shared" si="68"/>
        <v>0</v>
      </c>
      <c r="CB56">
        <f t="shared" si="69"/>
        <v>0</v>
      </c>
      <c r="CD56">
        <f t="shared" si="401"/>
        <v>0</v>
      </c>
      <c r="CE56">
        <f t="shared" si="402"/>
        <v>0</v>
      </c>
      <c r="CF56">
        <f t="shared" si="403"/>
        <v>0</v>
      </c>
      <c r="CG56">
        <f t="shared" si="404"/>
        <v>0</v>
      </c>
      <c r="CH56">
        <f t="shared" si="70"/>
        <v>0</v>
      </c>
      <c r="CI56">
        <f t="shared" si="71"/>
        <v>0</v>
      </c>
      <c r="CK56">
        <f t="shared" si="405"/>
        <v>0</v>
      </c>
      <c r="CL56">
        <f t="shared" si="406"/>
        <v>0</v>
      </c>
      <c r="CM56">
        <f t="shared" si="407"/>
        <v>0</v>
      </c>
      <c r="CN56">
        <f t="shared" si="408"/>
        <v>0</v>
      </c>
      <c r="CO56">
        <f t="shared" si="72"/>
        <v>0</v>
      </c>
      <c r="CP56">
        <f t="shared" si="73"/>
        <v>0</v>
      </c>
      <c r="CR56">
        <f t="shared" si="409"/>
        <v>1</v>
      </c>
      <c r="CS56">
        <f t="shared" si="410"/>
        <v>0</v>
      </c>
      <c r="CT56">
        <f t="shared" si="411"/>
        <v>0</v>
      </c>
      <c r="CU56">
        <f t="shared" si="412"/>
        <v>1</v>
      </c>
      <c r="CV56">
        <f t="shared" si="74"/>
        <v>1</v>
      </c>
      <c r="CW56">
        <f t="shared" si="75"/>
        <v>0</v>
      </c>
      <c r="CY56">
        <f t="shared" si="413"/>
        <v>1</v>
      </c>
      <c r="CZ56">
        <f t="shared" si="414"/>
        <v>0</v>
      </c>
      <c r="DA56">
        <f t="shared" si="415"/>
        <v>0</v>
      </c>
      <c r="DB56">
        <f t="shared" si="416"/>
        <v>0</v>
      </c>
      <c r="DC56">
        <f t="shared" si="76"/>
        <v>0</v>
      </c>
      <c r="DD56">
        <f t="shared" si="77"/>
        <v>0</v>
      </c>
      <c r="DF56" s="79">
        <f t="shared" si="417"/>
        <v>1</v>
      </c>
      <c r="DG56" s="79">
        <f t="shared" si="418"/>
        <v>0</v>
      </c>
      <c r="DH56">
        <f t="shared" si="124"/>
        <v>5</v>
      </c>
      <c r="DI56">
        <f t="shared" si="89"/>
        <v>0</v>
      </c>
      <c r="DK56" s="79">
        <f t="shared" si="419"/>
        <v>0</v>
      </c>
      <c r="DL56" s="79">
        <f t="shared" si="420"/>
        <v>0</v>
      </c>
      <c r="DM56">
        <f t="shared" ref="DM56:DN56" si="436">IF(DK56+DL56=0,DM55,(DM55+DK56)*DK56)</f>
        <v>2</v>
      </c>
      <c r="DN56">
        <f t="shared" si="436"/>
        <v>0</v>
      </c>
      <c r="DP56" s="79">
        <f t="shared" si="421"/>
        <v>0</v>
      </c>
      <c r="DQ56" s="79">
        <f t="shared" si="422"/>
        <v>0</v>
      </c>
      <c r="DR56">
        <f t="shared" ref="DR56:DS56" si="437">IF(DP56+DQ56=0,DR55,(DR55+DP56)*DP56)</f>
        <v>0</v>
      </c>
      <c r="DS56">
        <f t="shared" si="437"/>
        <v>1</v>
      </c>
      <c r="DU56" s="79">
        <f t="shared" si="423"/>
        <v>0</v>
      </c>
      <c r="DV56" s="79">
        <f t="shared" si="424"/>
        <v>1</v>
      </c>
      <c r="DW56">
        <f t="shared" ref="DW56:DX56" si="438">IF(DU56+DV56=0,DW55,(DW55+DU56)*DU56)</f>
        <v>0</v>
      </c>
      <c r="DX56">
        <f t="shared" si="438"/>
        <v>2</v>
      </c>
      <c r="DZ56" s="79">
        <f t="shared" si="425"/>
        <v>0</v>
      </c>
      <c r="EA56" s="79">
        <f t="shared" si="426"/>
        <v>0</v>
      </c>
      <c r="EB56">
        <f t="shared" ref="EB56:EC56" si="439">IF(DZ56+EA56=0,EB55,(EB55+DZ56)*DZ56)</f>
        <v>0</v>
      </c>
      <c r="EC56">
        <f t="shared" si="439"/>
        <v>2</v>
      </c>
    </row>
    <row r="57" spans="1:138">
      <c r="A57" s="29">
        <v>56</v>
      </c>
      <c r="B57" s="29" t="s">
        <v>28</v>
      </c>
      <c r="C57" s="29" t="s">
        <v>32</v>
      </c>
      <c r="D57" s="29" t="s">
        <v>19</v>
      </c>
      <c r="E57" s="29" t="s">
        <v>20</v>
      </c>
      <c r="F57" s="30"/>
      <c r="G57" s="29" t="s">
        <v>42</v>
      </c>
      <c r="H57" s="29" t="s">
        <v>46</v>
      </c>
      <c r="I57" s="29" t="s">
        <v>17</v>
      </c>
      <c r="J57" s="29" t="s">
        <v>33</v>
      </c>
      <c r="L57">
        <v>2</v>
      </c>
      <c r="M57" s="28" t="s">
        <v>99</v>
      </c>
      <c r="N57" s="28" t="s">
        <v>445</v>
      </c>
      <c r="O57" s="73">
        <f>COUNTIF($AJ$2:$AJ$212,2)</f>
        <v>2</v>
      </c>
      <c r="P57" s="43">
        <f>COUNTIF($AK$2:$AK$212,2)</f>
        <v>4</v>
      </c>
      <c r="Q57" s="44">
        <f t="shared" ref="Q57" si="440">IF(O57+P57=0,"-",O57/(O57+P57))</f>
        <v>0.33333333333333331</v>
      </c>
      <c r="T57">
        <v>2</v>
      </c>
      <c r="U57" s="28" t="s">
        <v>82</v>
      </c>
      <c r="V57" s="75">
        <f>COUNTIF($CH$2:$CH$212,1)</f>
        <v>7</v>
      </c>
      <c r="W57" s="75">
        <f>COUNTIF($CI$2:$CI$212,1)</f>
        <v>3</v>
      </c>
      <c r="X57" s="28" t="s">
        <v>99</v>
      </c>
      <c r="Z57" s="28" t="s">
        <v>102</v>
      </c>
      <c r="AA57" s="70">
        <f>MAX($DM$2:$DM$212)</f>
        <v>3</v>
      </c>
      <c r="AB57" s="70">
        <f>MAX($DN$2:$DN$212)</f>
        <v>5</v>
      </c>
      <c r="AH57" s="72">
        <f t="shared" si="357"/>
        <v>0</v>
      </c>
      <c r="AI57" s="72">
        <f t="shared" si="358"/>
        <v>0</v>
      </c>
      <c r="AJ57" s="72">
        <f t="shared" si="359"/>
        <v>0</v>
      </c>
      <c r="AK57" s="72">
        <f t="shared" si="360"/>
        <v>0</v>
      </c>
      <c r="AL57" s="72">
        <f t="shared" si="361"/>
        <v>0</v>
      </c>
      <c r="AM57" s="72">
        <f t="shared" si="362"/>
        <v>0</v>
      </c>
      <c r="AN57" s="72">
        <f t="shared" si="363"/>
        <v>0</v>
      </c>
      <c r="AO57" s="72">
        <f t="shared" si="364"/>
        <v>1</v>
      </c>
      <c r="AP57" s="72">
        <f t="shared" si="365"/>
        <v>0</v>
      </c>
      <c r="AQ57" s="72">
        <f t="shared" si="366"/>
        <v>0</v>
      </c>
      <c r="AR57" s="72">
        <f t="shared" si="367"/>
        <v>1</v>
      </c>
      <c r="AS57" s="72">
        <f t="shared" si="368"/>
        <v>0</v>
      </c>
      <c r="AT57" s="72">
        <f t="shared" si="369"/>
        <v>0</v>
      </c>
      <c r="AU57" s="72">
        <f t="shared" si="370"/>
        <v>1</v>
      </c>
      <c r="AV57" s="72">
        <f t="shared" si="371"/>
        <v>0</v>
      </c>
      <c r="AW57" s="72">
        <f t="shared" si="372"/>
        <v>1</v>
      </c>
      <c r="AX57" s="72">
        <f t="shared" si="373"/>
        <v>1</v>
      </c>
      <c r="AY57" s="72">
        <f t="shared" si="374"/>
        <v>0</v>
      </c>
      <c r="AZ57" s="72">
        <f t="shared" si="375"/>
        <v>1</v>
      </c>
      <c r="BA57" s="72">
        <f t="shared" si="376"/>
        <v>0</v>
      </c>
      <c r="BB57" s="72">
        <f t="shared" si="377"/>
        <v>0</v>
      </c>
      <c r="BC57" s="72">
        <f t="shared" si="378"/>
        <v>0</v>
      </c>
      <c r="BD57" s="72">
        <f t="shared" si="379"/>
        <v>0</v>
      </c>
      <c r="BE57" s="72">
        <f t="shared" si="380"/>
        <v>0</v>
      </c>
      <c r="BF57" s="72">
        <f t="shared" si="381"/>
        <v>0</v>
      </c>
      <c r="BG57" s="72">
        <f t="shared" si="382"/>
        <v>0</v>
      </c>
      <c r="BH57" s="72">
        <f t="shared" si="383"/>
        <v>0</v>
      </c>
      <c r="BI57" s="72">
        <f t="shared" si="384"/>
        <v>0</v>
      </c>
      <c r="BJ57" s="72">
        <f t="shared" si="385"/>
        <v>0</v>
      </c>
      <c r="BK57" s="72">
        <f t="shared" si="386"/>
        <v>0</v>
      </c>
      <c r="BL57" s="72">
        <f t="shared" si="387"/>
        <v>0</v>
      </c>
      <c r="BM57" s="72">
        <f t="shared" si="388"/>
        <v>0</v>
      </c>
      <c r="BN57" s="72">
        <f t="shared" si="389"/>
        <v>0</v>
      </c>
      <c r="BO57" s="72">
        <f t="shared" si="390"/>
        <v>0</v>
      </c>
      <c r="BP57" s="72">
        <f t="shared" si="391"/>
        <v>0</v>
      </c>
      <c r="BQ57" s="72">
        <f t="shared" si="392"/>
        <v>0</v>
      </c>
      <c r="BR57" s="72">
        <f t="shared" si="393"/>
        <v>0</v>
      </c>
      <c r="BS57" s="72">
        <f t="shared" si="394"/>
        <v>0</v>
      </c>
      <c r="BT57" s="72">
        <f t="shared" si="395"/>
        <v>0</v>
      </c>
      <c r="BU57" s="72">
        <f t="shared" si="396"/>
        <v>0</v>
      </c>
      <c r="BW57">
        <f t="shared" si="397"/>
        <v>0</v>
      </c>
      <c r="BX57">
        <f t="shared" si="398"/>
        <v>1</v>
      </c>
      <c r="BY57">
        <f t="shared" si="399"/>
        <v>0</v>
      </c>
      <c r="BZ57">
        <f t="shared" si="400"/>
        <v>0</v>
      </c>
      <c r="CA57">
        <f t="shared" si="68"/>
        <v>0</v>
      </c>
      <c r="CB57">
        <f t="shared" si="69"/>
        <v>0</v>
      </c>
      <c r="CD57">
        <f t="shared" si="401"/>
        <v>0</v>
      </c>
      <c r="CE57">
        <f t="shared" si="402"/>
        <v>0</v>
      </c>
      <c r="CF57">
        <f t="shared" si="403"/>
        <v>0</v>
      </c>
      <c r="CG57">
        <f t="shared" si="404"/>
        <v>0</v>
      </c>
      <c r="CH57">
        <f t="shared" si="70"/>
        <v>0</v>
      </c>
      <c r="CI57">
        <f t="shared" si="71"/>
        <v>0</v>
      </c>
      <c r="CK57">
        <f t="shared" si="405"/>
        <v>0</v>
      </c>
      <c r="CL57">
        <f t="shared" si="406"/>
        <v>0</v>
      </c>
      <c r="CM57">
        <f t="shared" si="407"/>
        <v>0</v>
      </c>
      <c r="CN57">
        <f t="shared" si="408"/>
        <v>0</v>
      </c>
      <c r="CO57">
        <f t="shared" si="72"/>
        <v>0</v>
      </c>
      <c r="CP57">
        <f t="shared" si="73"/>
        <v>0</v>
      </c>
      <c r="CR57">
        <f t="shared" si="409"/>
        <v>0</v>
      </c>
      <c r="CS57">
        <f t="shared" si="410"/>
        <v>0</v>
      </c>
      <c r="CT57">
        <f t="shared" si="411"/>
        <v>1</v>
      </c>
      <c r="CU57">
        <f t="shared" si="412"/>
        <v>0</v>
      </c>
      <c r="CV57">
        <f t="shared" si="74"/>
        <v>0</v>
      </c>
      <c r="CW57">
        <f t="shared" si="75"/>
        <v>0</v>
      </c>
      <c r="CY57">
        <f t="shared" si="413"/>
        <v>0</v>
      </c>
      <c r="CZ57">
        <f t="shared" si="414"/>
        <v>1</v>
      </c>
      <c r="DA57">
        <f t="shared" si="415"/>
        <v>1</v>
      </c>
      <c r="DB57">
        <f t="shared" si="416"/>
        <v>0</v>
      </c>
      <c r="DC57">
        <f t="shared" si="76"/>
        <v>0</v>
      </c>
      <c r="DD57">
        <f t="shared" si="77"/>
        <v>1</v>
      </c>
      <c r="DF57" s="79">
        <f t="shared" si="417"/>
        <v>0</v>
      </c>
      <c r="DG57" s="79">
        <f t="shared" si="418"/>
        <v>0</v>
      </c>
      <c r="DH57">
        <f t="shared" si="124"/>
        <v>5</v>
      </c>
      <c r="DI57">
        <f t="shared" si="89"/>
        <v>0</v>
      </c>
      <c r="DK57" s="79">
        <f t="shared" si="419"/>
        <v>1</v>
      </c>
      <c r="DL57" s="79">
        <f t="shared" si="420"/>
        <v>0</v>
      </c>
      <c r="DM57">
        <f t="shared" ref="DM57:DN57" si="441">IF(DK57+DL57=0,DM56,(DM56+DK57)*DK57)</f>
        <v>3</v>
      </c>
      <c r="DN57">
        <f t="shared" si="441"/>
        <v>0</v>
      </c>
      <c r="DP57" s="79">
        <f t="shared" si="421"/>
        <v>0</v>
      </c>
      <c r="DQ57" s="79">
        <f t="shared" si="422"/>
        <v>0</v>
      </c>
      <c r="DR57">
        <f t="shared" ref="DR57:DS57" si="442">IF(DP57+DQ57=0,DR56,(DR56+DP57)*DP57)</f>
        <v>0</v>
      </c>
      <c r="DS57">
        <f t="shared" si="442"/>
        <v>1</v>
      </c>
      <c r="DU57" s="79">
        <f t="shared" si="423"/>
        <v>0</v>
      </c>
      <c r="DV57" s="79">
        <f t="shared" si="424"/>
        <v>0</v>
      </c>
      <c r="DW57">
        <f t="shared" ref="DW57:DX57" si="443">IF(DU57+DV57=0,DW56,(DW56+DU57)*DU57)</f>
        <v>0</v>
      </c>
      <c r="DX57">
        <f t="shared" si="443"/>
        <v>2</v>
      </c>
      <c r="DZ57" s="79">
        <f t="shared" si="425"/>
        <v>0</v>
      </c>
      <c r="EA57" s="79">
        <f t="shared" si="426"/>
        <v>0</v>
      </c>
      <c r="EB57">
        <f t="shared" ref="EB57:EC57" si="444">IF(DZ57+EA57=0,EB56,(EB56+DZ57)*DZ57)</f>
        <v>0</v>
      </c>
      <c r="EC57">
        <f t="shared" si="444"/>
        <v>2</v>
      </c>
    </row>
    <row r="58" spans="1:138">
      <c r="A58" s="29">
        <v>57</v>
      </c>
      <c r="B58" s="29" t="s">
        <v>19</v>
      </c>
      <c r="C58" s="29" t="s">
        <v>31</v>
      </c>
      <c r="D58" s="29" t="s">
        <v>42</v>
      </c>
      <c r="E58" s="29" t="s">
        <v>32</v>
      </c>
      <c r="F58" s="30"/>
      <c r="G58" s="29" t="s">
        <v>34</v>
      </c>
      <c r="H58" s="29" t="s">
        <v>46</v>
      </c>
      <c r="I58" s="29" t="s">
        <v>17</v>
      </c>
      <c r="J58" s="29" t="s">
        <v>20</v>
      </c>
      <c r="L58">
        <v>3</v>
      </c>
      <c r="M58" s="28" t="s">
        <v>99</v>
      </c>
      <c r="N58" s="28" t="s">
        <v>439</v>
      </c>
      <c r="O58" s="73">
        <f>COUNTIF($AL$2:$AL$212,2)</f>
        <v>1</v>
      </c>
      <c r="P58" s="43">
        <f>COUNTIF($AM$2:$AM$212,2)</f>
        <v>3</v>
      </c>
      <c r="Q58" s="44">
        <f t="shared" si="435"/>
        <v>0.25</v>
      </c>
      <c r="T58">
        <v>3</v>
      </c>
      <c r="U58" s="28" t="s">
        <v>82</v>
      </c>
      <c r="V58" s="75">
        <f>COUNTIF($CO$2:$CO$212,1)</f>
        <v>2</v>
      </c>
      <c r="W58" s="75">
        <f>COUNTIF($CP$2:$CP$212,1)</f>
        <v>2</v>
      </c>
      <c r="X58" s="28" t="s">
        <v>65</v>
      </c>
      <c r="Z58" s="28" t="s">
        <v>69</v>
      </c>
      <c r="AA58" s="70">
        <f>MAX($DR$2:$DR$212)</f>
        <v>2</v>
      </c>
      <c r="AB58" s="70">
        <f>MAX($DS$2:$DS$212)</f>
        <v>5</v>
      </c>
      <c r="AH58" s="72">
        <f t="shared" si="357"/>
        <v>0</v>
      </c>
      <c r="AI58" s="72">
        <f t="shared" si="358"/>
        <v>0</v>
      </c>
      <c r="AJ58" s="72">
        <f t="shared" si="359"/>
        <v>0</v>
      </c>
      <c r="AK58" s="72">
        <f t="shared" si="360"/>
        <v>0</v>
      </c>
      <c r="AL58" s="72">
        <f t="shared" si="361"/>
        <v>0</v>
      </c>
      <c r="AM58" s="72">
        <f t="shared" si="362"/>
        <v>0</v>
      </c>
      <c r="AN58" s="72">
        <f t="shared" si="363"/>
        <v>0</v>
      </c>
      <c r="AO58" s="72">
        <f t="shared" si="364"/>
        <v>1</v>
      </c>
      <c r="AP58" s="72">
        <f t="shared" si="365"/>
        <v>1</v>
      </c>
      <c r="AQ58" s="72">
        <f t="shared" si="366"/>
        <v>0</v>
      </c>
      <c r="AR58" s="72">
        <f t="shared" si="367"/>
        <v>1</v>
      </c>
      <c r="AS58" s="72">
        <f t="shared" si="368"/>
        <v>0</v>
      </c>
      <c r="AT58" s="72">
        <f t="shared" si="369"/>
        <v>0</v>
      </c>
      <c r="AU58" s="72">
        <f t="shared" si="370"/>
        <v>1</v>
      </c>
      <c r="AV58" s="72">
        <f t="shared" si="371"/>
        <v>0</v>
      </c>
      <c r="AW58" s="72">
        <f t="shared" si="372"/>
        <v>0</v>
      </c>
      <c r="AX58" s="72">
        <f t="shared" si="373"/>
        <v>1</v>
      </c>
      <c r="AY58" s="72">
        <f t="shared" si="374"/>
        <v>0</v>
      </c>
      <c r="AZ58" s="72">
        <f t="shared" si="375"/>
        <v>0</v>
      </c>
      <c r="BA58" s="72">
        <f t="shared" si="376"/>
        <v>1</v>
      </c>
      <c r="BB58" s="72">
        <f t="shared" si="377"/>
        <v>0</v>
      </c>
      <c r="BC58" s="72">
        <f t="shared" si="378"/>
        <v>0</v>
      </c>
      <c r="BD58" s="72">
        <f t="shared" si="379"/>
        <v>0</v>
      </c>
      <c r="BE58" s="72">
        <f t="shared" si="380"/>
        <v>1</v>
      </c>
      <c r="BF58" s="72">
        <f t="shared" si="381"/>
        <v>0</v>
      </c>
      <c r="BG58" s="72">
        <f t="shared" si="382"/>
        <v>0</v>
      </c>
      <c r="BH58" s="72">
        <f t="shared" si="383"/>
        <v>0</v>
      </c>
      <c r="BI58" s="72">
        <f t="shared" si="384"/>
        <v>0</v>
      </c>
      <c r="BJ58" s="72">
        <f t="shared" si="385"/>
        <v>0</v>
      </c>
      <c r="BK58" s="72">
        <f t="shared" si="386"/>
        <v>0</v>
      </c>
      <c r="BL58" s="72">
        <f t="shared" si="387"/>
        <v>0</v>
      </c>
      <c r="BM58" s="72">
        <f t="shared" si="388"/>
        <v>0</v>
      </c>
      <c r="BN58" s="72">
        <f t="shared" si="389"/>
        <v>0</v>
      </c>
      <c r="BO58" s="72">
        <f t="shared" si="390"/>
        <v>0</v>
      </c>
      <c r="BP58" s="72">
        <f t="shared" si="391"/>
        <v>0</v>
      </c>
      <c r="BQ58" s="72">
        <f t="shared" si="392"/>
        <v>0</v>
      </c>
      <c r="BR58" s="72">
        <f t="shared" si="393"/>
        <v>0</v>
      </c>
      <c r="BS58" s="72">
        <f t="shared" si="394"/>
        <v>0</v>
      </c>
      <c r="BT58" s="72">
        <f t="shared" si="395"/>
        <v>0</v>
      </c>
      <c r="BU58" s="72">
        <f t="shared" si="396"/>
        <v>0</v>
      </c>
      <c r="BW58">
        <f t="shared" si="397"/>
        <v>0</v>
      </c>
      <c r="BX58">
        <f t="shared" si="398"/>
        <v>1</v>
      </c>
      <c r="BY58">
        <f t="shared" si="399"/>
        <v>0</v>
      </c>
      <c r="BZ58">
        <f t="shared" si="400"/>
        <v>0</v>
      </c>
      <c r="CA58">
        <f t="shared" si="68"/>
        <v>0</v>
      </c>
      <c r="CB58">
        <f t="shared" si="69"/>
        <v>0</v>
      </c>
      <c r="CD58">
        <f t="shared" si="401"/>
        <v>0</v>
      </c>
      <c r="CE58">
        <f t="shared" si="402"/>
        <v>0</v>
      </c>
      <c r="CF58">
        <f t="shared" si="403"/>
        <v>0</v>
      </c>
      <c r="CG58">
        <f t="shared" si="404"/>
        <v>0</v>
      </c>
      <c r="CH58">
        <f t="shared" si="70"/>
        <v>0</v>
      </c>
      <c r="CI58">
        <f t="shared" si="71"/>
        <v>0</v>
      </c>
      <c r="CK58">
        <f t="shared" si="405"/>
        <v>0</v>
      </c>
      <c r="CL58">
        <f t="shared" si="406"/>
        <v>1</v>
      </c>
      <c r="CM58">
        <f t="shared" si="407"/>
        <v>0</v>
      </c>
      <c r="CN58">
        <f t="shared" si="408"/>
        <v>0</v>
      </c>
      <c r="CO58">
        <f t="shared" si="72"/>
        <v>0</v>
      </c>
      <c r="CP58">
        <f t="shared" si="73"/>
        <v>0</v>
      </c>
      <c r="CR58">
        <f t="shared" si="409"/>
        <v>0</v>
      </c>
      <c r="CS58">
        <f t="shared" si="410"/>
        <v>0</v>
      </c>
      <c r="CT58">
        <f t="shared" si="411"/>
        <v>1</v>
      </c>
      <c r="CU58">
        <f t="shared" si="412"/>
        <v>1</v>
      </c>
      <c r="CV58">
        <f t="shared" si="74"/>
        <v>0</v>
      </c>
      <c r="CW58">
        <f t="shared" si="75"/>
        <v>0</v>
      </c>
      <c r="CY58">
        <f t="shared" si="413"/>
        <v>0</v>
      </c>
      <c r="CZ58">
        <f t="shared" si="414"/>
        <v>1</v>
      </c>
      <c r="DA58">
        <f t="shared" si="415"/>
        <v>1</v>
      </c>
      <c r="DB58">
        <f t="shared" si="416"/>
        <v>0</v>
      </c>
      <c r="DC58">
        <f t="shared" si="76"/>
        <v>0</v>
      </c>
      <c r="DD58">
        <f t="shared" si="77"/>
        <v>1</v>
      </c>
      <c r="DF58" s="79">
        <f t="shared" si="417"/>
        <v>0</v>
      </c>
      <c r="DG58" s="79">
        <f t="shared" si="418"/>
        <v>0</v>
      </c>
      <c r="DH58">
        <f t="shared" si="124"/>
        <v>5</v>
      </c>
      <c r="DI58">
        <f t="shared" si="89"/>
        <v>0</v>
      </c>
      <c r="DK58" s="79">
        <f t="shared" si="419"/>
        <v>0</v>
      </c>
      <c r="DL58" s="79">
        <f t="shared" si="420"/>
        <v>1</v>
      </c>
      <c r="DM58">
        <f t="shared" ref="DM58:DN58" si="445">IF(DK58+DL58=0,DM57,(DM57+DK58)*DK58)</f>
        <v>0</v>
      </c>
      <c r="DN58">
        <f t="shared" si="445"/>
        <v>1</v>
      </c>
      <c r="DP58" s="79">
        <f t="shared" si="421"/>
        <v>0</v>
      </c>
      <c r="DQ58" s="79">
        <f t="shared" si="422"/>
        <v>0</v>
      </c>
      <c r="DR58">
        <f t="shared" ref="DR58:DS58" si="446">IF(DP58+DQ58=0,DR57,(DR57+DP58)*DP58)</f>
        <v>0</v>
      </c>
      <c r="DS58">
        <f t="shared" si="446"/>
        <v>1</v>
      </c>
      <c r="DU58" s="79">
        <f t="shared" si="423"/>
        <v>0</v>
      </c>
      <c r="DV58" s="79">
        <f t="shared" si="424"/>
        <v>0</v>
      </c>
      <c r="DW58">
        <f t="shared" ref="DW58:DX58" si="447">IF(DU58+DV58=0,DW57,(DW57+DU58)*DU58)</f>
        <v>0</v>
      </c>
      <c r="DX58">
        <f t="shared" si="447"/>
        <v>2</v>
      </c>
      <c r="DZ58" s="79">
        <f t="shared" si="425"/>
        <v>0</v>
      </c>
      <c r="EA58" s="79">
        <f t="shared" si="426"/>
        <v>0</v>
      </c>
      <c r="EB58">
        <f t="shared" ref="EB58:EC58" si="448">IF(DZ58+EA58=0,EB57,(EB57+DZ58)*DZ58)</f>
        <v>0</v>
      </c>
      <c r="EC58">
        <f t="shared" si="448"/>
        <v>2</v>
      </c>
    </row>
    <row r="59" spans="1:138">
      <c r="A59" s="29">
        <v>58</v>
      </c>
      <c r="B59" s="29" t="s">
        <v>34</v>
      </c>
      <c r="C59" s="29" t="s">
        <v>46</v>
      </c>
      <c r="D59" s="29" t="s">
        <v>31</v>
      </c>
      <c r="E59" s="29" t="s">
        <v>36</v>
      </c>
      <c r="F59" s="30"/>
      <c r="G59" s="29" t="s">
        <v>33</v>
      </c>
      <c r="H59" s="29" t="s">
        <v>26</v>
      </c>
      <c r="I59" s="29" t="s">
        <v>28</v>
      </c>
      <c r="J59" s="29" t="s">
        <v>20</v>
      </c>
      <c r="L59">
        <v>4</v>
      </c>
      <c r="M59" s="28" t="s">
        <v>91</v>
      </c>
      <c r="N59" s="28" t="s">
        <v>17</v>
      </c>
      <c r="O59" s="73">
        <f>COUNTIF($AN$2:$AN$212,2)</f>
        <v>3</v>
      </c>
      <c r="P59" s="43">
        <f>COUNTIF($AO$2:$AO$212,2)</f>
        <v>3</v>
      </c>
      <c r="Q59" s="44">
        <f t="shared" si="435"/>
        <v>0.5</v>
      </c>
      <c r="T59">
        <v>4</v>
      </c>
      <c r="U59" s="28" t="s">
        <v>79</v>
      </c>
      <c r="V59" s="75">
        <f>COUNTIF($CV$2:$CV$212,1)</f>
        <v>1</v>
      </c>
      <c r="W59" s="75">
        <f>COUNTIF($CW$2:$CW$212,1)</f>
        <v>5</v>
      </c>
      <c r="X59" s="28" t="s">
        <v>88</v>
      </c>
      <c r="Z59" s="28" t="s">
        <v>91</v>
      </c>
      <c r="AA59" s="70">
        <f>MAX($DW$2:$DW$212)</f>
        <v>1</v>
      </c>
      <c r="AB59" s="70">
        <f>MAX($DX$2:$DX$212)</f>
        <v>4</v>
      </c>
      <c r="AH59" s="72">
        <f t="shared" si="357"/>
        <v>0</v>
      </c>
      <c r="AI59" s="72">
        <f t="shared" si="358"/>
        <v>0</v>
      </c>
      <c r="AJ59" s="72">
        <f t="shared" si="359"/>
        <v>0</v>
      </c>
      <c r="AK59" s="72">
        <f t="shared" si="360"/>
        <v>0</v>
      </c>
      <c r="AL59" s="72">
        <f t="shared" si="361"/>
        <v>0</v>
      </c>
      <c r="AM59" s="72">
        <f t="shared" si="362"/>
        <v>1</v>
      </c>
      <c r="AN59" s="72">
        <f t="shared" si="363"/>
        <v>0</v>
      </c>
      <c r="AO59" s="72">
        <f t="shared" si="364"/>
        <v>1</v>
      </c>
      <c r="AP59" s="72">
        <f t="shared" si="365"/>
        <v>1</v>
      </c>
      <c r="AQ59" s="72">
        <f t="shared" si="366"/>
        <v>1</v>
      </c>
      <c r="AR59" s="72">
        <f t="shared" si="367"/>
        <v>0</v>
      </c>
      <c r="AS59" s="72">
        <f t="shared" si="368"/>
        <v>1</v>
      </c>
      <c r="AT59" s="72">
        <f t="shared" si="369"/>
        <v>1</v>
      </c>
      <c r="AU59" s="72">
        <f t="shared" si="370"/>
        <v>1</v>
      </c>
      <c r="AV59" s="72">
        <f t="shared" si="371"/>
        <v>0</v>
      </c>
      <c r="AW59" s="72">
        <f t="shared" si="372"/>
        <v>2</v>
      </c>
      <c r="AX59" s="72">
        <f t="shared" si="373"/>
        <v>0</v>
      </c>
      <c r="AY59" s="72">
        <f t="shared" si="374"/>
        <v>1</v>
      </c>
      <c r="AZ59" s="72">
        <f t="shared" si="375"/>
        <v>0</v>
      </c>
      <c r="BA59" s="72">
        <f t="shared" si="376"/>
        <v>2</v>
      </c>
      <c r="BB59" s="72">
        <f t="shared" si="377"/>
        <v>0</v>
      </c>
      <c r="BC59" s="72">
        <f t="shared" si="378"/>
        <v>1</v>
      </c>
      <c r="BD59" s="72">
        <f t="shared" si="379"/>
        <v>1</v>
      </c>
      <c r="BE59" s="72">
        <f t="shared" si="380"/>
        <v>1</v>
      </c>
      <c r="BF59" s="72">
        <f t="shared" si="381"/>
        <v>0</v>
      </c>
      <c r="BG59" s="72">
        <f t="shared" si="382"/>
        <v>1</v>
      </c>
      <c r="BH59" s="72">
        <f t="shared" si="383"/>
        <v>0</v>
      </c>
      <c r="BI59" s="72">
        <f t="shared" si="384"/>
        <v>1</v>
      </c>
      <c r="BJ59" s="72">
        <f t="shared" si="385"/>
        <v>0</v>
      </c>
      <c r="BK59" s="72">
        <f t="shared" si="386"/>
        <v>1</v>
      </c>
      <c r="BL59" s="72">
        <f t="shared" si="387"/>
        <v>0</v>
      </c>
      <c r="BM59" s="72">
        <f t="shared" si="388"/>
        <v>1</v>
      </c>
      <c r="BN59" s="72">
        <f t="shared" si="389"/>
        <v>1</v>
      </c>
      <c r="BO59" s="72">
        <f t="shared" si="390"/>
        <v>1</v>
      </c>
      <c r="BP59" s="72">
        <f t="shared" si="391"/>
        <v>0</v>
      </c>
      <c r="BQ59" s="72">
        <f t="shared" si="392"/>
        <v>1</v>
      </c>
      <c r="BR59" s="72">
        <f t="shared" si="393"/>
        <v>0</v>
      </c>
      <c r="BS59" s="72">
        <f t="shared" si="394"/>
        <v>1</v>
      </c>
      <c r="BT59" s="72">
        <f t="shared" si="395"/>
        <v>0</v>
      </c>
      <c r="BU59" s="72">
        <f t="shared" si="396"/>
        <v>0</v>
      </c>
      <c r="BW59">
        <f t="shared" si="397"/>
        <v>0</v>
      </c>
      <c r="BX59">
        <f t="shared" si="398"/>
        <v>0</v>
      </c>
      <c r="BY59">
        <f t="shared" si="399"/>
        <v>0</v>
      </c>
      <c r="BZ59">
        <f t="shared" si="400"/>
        <v>0</v>
      </c>
      <c r="CA59">
        <f t="shared" si="68"/>
        <v>0</v>
      </c>
      <c r="CB59">
        <f t="shared" si="69"/>
        <v>0</v>
      </c>
      <c r="CD59">
        <f t="shared" si="401"/>
        <v>0</v>
      </c>
      <c r="CE59">
        <f t="shared" si="402"/>
        <v>0</v>
      </c>
      <c r="CF59">
        <f t="shared" si="403"/>
        <v>0</v>
      </c>
      <c r="CG59">
        <f t="shared" si="404"/>
        <v>0</v>
      </c>
      <c r="CH59">
        <f t="shared" si="70"/>
        <v>0</v>
      </c>
      <c r="CI59">
        <f t="shared" si="71"/>
        <v>0</v>
      </c>
      <c r="CK59">
        <f t="shared" si="405"/>
        <v>0</v>
      </c>
      <c r="CL59">
        <f t="shared" si="406"/>
        <v>1</v>
      </c>
      <c r="CM59">
        <f t="shared" si="407"/>
        <v>0</v>
      </c>
      <c r="CN59">
        <f t="shared" si="408"/>
        <v>0</v>
      </c>
      <c r="CO59">
        <f t="shared" si="72"/>
        <v>0</v>
      </c>
      <c r="CP59">
        <f t="shared" si="73"/>
        <v>0</v>
      </c>
      <c r="CR59">
        <f t="shared" si="409"/>
        <v>0</v>
      </c>
      <c r="CS59">
        <f t="shared" si="410"/>
        <v>1</v>
      </c>
      <c r="CT59">
        <f t="shared" si="411"/>
        <v>0</v>
      </c>
      <c r="CU59">
        <f t="shared" si="412"/>
        <v>0</v>
      </c>
      <c r="CV59">
        <f t="shared" si="74"/>
        <v>0</v>
      </c>
      <c r="CW59">
        <f t="shared" si="75"/>
        <v>0</v>
      </c>
      <c r="CY59">
        <f t="shared" si="413"/>
        <v>0</v>
      </c>
      <c r="CZ59">
        <f t="shared" si="414"/>
        <v>0</v>
      </c>
      <c r="DA59">
        <f t="shared" si="415"/>
        <v>0</v>
      </c>
      <c r="DB59">
        <f t="shared" si="416"/>
        <v>0</v>
      </c>
      <c r="DC59">
        <f t="shared" si="76"/>
        <v>0</v>
      </c>
      <c r="DD59">
        <f t="shared" si="77"/>
        <v>0</v>
      </c>
      <c r="DF59" s="79">
        <f t="shared" si="417"/>
        <v>0</v>
      </c>
      <c r="DG59" s="79">
        <f t="shared" si="418"/>
        <v>0</v>
      </c>
      <c r="DH59">
        <f t="shared" si="124"/>
        <v>5</v>
      </c>
      <c r="DI59">
        <f t="shared" si="89"/>
        <v>0</v>
      </c>
      <c r="DK59" s="79">
        <f t="shared" si="419"/>
        <v>0</v>
      </c>
      <c r="DL59" s="79">
        <f t="shared" si="420"/>
        <v>1</v>
      </c>
      <c r="DM59">
        <f t="shared" ref="DM59:DN59" si="449">IF(DK59+DL59=0,DM58,(DM58+DK59)*DK59)</f>
        <v>0</v>
      </c>
      <c r="DN59">
        <f t="shared" si="449"/>
        <v>2</v>
      </c>
      <c r="DP59" s="79">
        <f t="shared" si="421"/>
        <v>0</v>
      </c>
      <c r="DQ59" s="79">
        <f t="shared" si="422"/>
        <v>0</v>
      </c>
      <c r="DR59">
        <f t="shared" ref="DR59:DS59" si="450">IF(DP59+DQ59=0,DR58,(DR58+DP59)*DP59)</f>
        <v>0</v>
      </c>
      <c r="DS59">
        <f t="shared" si="450"/>
        <v>1</v>
      </c>
      <c r="DU59" s="79">
        <f t="shared" si="423"/>
        <v>0</v>
      </c>
      <c r="DV59" s="79">
        <f t="shared" si="424"/>
        <v>1</v>
      </c>
      <c r="DW59">
        <f t="shared" ref="DW59:DX59" si="451">IF(DU59+DV59=0,DW58,(DW58+DU59)*DU59)</f>
        <v>0</v>
      </c>
      <c r="DX59">
        <f t="shared" si="451"/>
        <v>3</v>
      </c>
      <c r="DZ59" s="79">
        <f t="shared" si="425"/>
        <v>0</v>
      </c>
      <c r="EA59" s="79">
        <f t="shared" si="426"/>
        <v>0</v>
      </c>
      <c r="EB59">
        <f t="shared" ref="EB59:EC59" si="452">IF(DZ59+EA59=0,EB58,(EB58+DZ59)*DZ59)</f>
        <v>0</v>
      </c>
      <c r="EC59">
        <f t="shared" si="452"/>
        <v>2</v>
      </c>
    </row>
    <row r="60" spans="1:138">
      <c r="A60" s="29">
        <v>59</v>
      </c>
      <c r="B60" s="29" t="s">
        <v>28</v>
      </c>
      <c r="C60" s="29" t="s">
        <v>20</v>
      </c>
      <c r="D60" s="29" t="s">
        <v>19</v>
      </c>
      <c r="E60" s="29" t="s">
        <v>34</v>
      </c>
      <c r="F60" s="30"/>
      <c r="G60" s="29" t="s">
        <v>33</v>
      </c>
      <c r="H60" s="29" t="s">
        <v>36</v>
      </c>
      <c r="I60" s="29" t="s">
        <v>17</v>
      </c>
      <c r="J60" s="29" t="s">
        <v>26</v>
      </c>
      <c r="L60">
        <v>5</v>
      </c>
      <c r="M60" s="28" t="s">
        <v>91</v>
      </c>
      <c r="N60" s="28" t="s">
        <v>31</v>
      </c>
      <c r="O60" s="73">
        <f>COUNTIF($AP$2:$AP$212,2)</f>
        <v>2</v>
      </c>
      <c r="P60" s="43">
        <f>COUNTIF($AQ$2:$AQ$212,2)</f>
        <v>0</v>
      </c>
      <c r="Q60" s="44">
        <f t="shared" si="435"/>
        <v>1</v>
      </c>
      <c r="T60">
        <v>5</v>
      </c>
      <c r="U60" s="28" t="s">
        <v>79</v>
      </c>
      <c r="V60" s="75">
        <f>COUNTIF($DC$2:$DC$212,1)</f>
        <v>9</v>
      </c>
      <c r="W60" s="75">
        <f>COUNTIF($DD$2:$DD$212,1)</f>
        <v>6</v>
      </c>
      <c r="X60" s="28" t="s">
        <v>98</v>
      </c>
      <c r="Z60" s="28" t="s">
        <v>97</v>
      </c>
      <c r="AA60" s="70">
        <f>MAX($EB$2:$EB$212)</f>
        <v>2</v>
      </c>
      <c r="AB60" s="70">
        <f>MAX($EC$2:$EC$212)</f>
        <v>4</v>
      </c>
      <c r="AH60" s="72">
        <f t="shared" si="357"/>
        <v>0</v>
      </c>
      <c r="AI60" s="72">
        <f t="shared" si="358"/>
        <v>0</v>
      </c>
      <c r="AJ60" s="72">
        <f t="shared" si="359"/>
        <v>0</v>
      </c>
      <c r="AK60" s="72">
        <f t="shared" si="360"/>
        <v>0</v>
      </c>
      <c r="AL60" s="72">
        <f t="shared" si="361"/>
        <v>0</v>
      </c>
      <c r="AM60" s="72">
        <f t="shared" si="362"/>
        <v>1</v>
      </c>
      <c r="AN60" s="72">
        <f t="shared" si="363"/>
        <v>0</v>
      </c>
      <c r="AO60" s="72">
        <f t="shared" si="364"/>
        <v>2</v>
      </c>
      <c r="AP60" s="72">
        <f t="shared" si="365"/>
        <v>0</v>
      </c>
      <c r="AQ60" s="72">
        <f t="shared" si="366"/>
        <v>1</v>
      </c>
      <c r="AR60" s="72">
        <f t="shared" si="367"/>
        <v>0</v>
      </c>
      <c r="AS60" s="72">
        <f t="shared" si="368"/>
        <v>1</v>
      </c>
      <c r="AT60" s="72">
        <f t="shared" si="369"/>
        <v>0</v>
      </c>
      <c r="AU60" s="72">
        <f t="shared" si="370"/>
        <v>1</v>
      </c>
      <c r="AV60" s="72">
        <f t="shared" si="371"/>
        <v>0</v>
      </c>
      <c r="AW60" s="72">
        <f t="shared" si="372"/>
        <v>2</v>
      </c>
      <c r="AX60" s="72">
        <f t="shared" si="373"/>
        <v>1</v>
      </c>
      <c r="AY60" s="72">
        <f t="shared" si="374"/>
        <v>1</v>
      </c>
      <c r="AZ60" s="72">
        <f t="shared" si="375"/>
        <v>1</v>
      </c>
      <c r="BA60" s="72">
        <f t="shared" si="376"/>
        <v>1</v>
      </c>
      <c r="BB60" s="72">
        <f t="shared" si="377"/>
        <v>0</v>
      </c>
      <c r="BC60" s="72">
        <f t="shared" si="378"/>
        <v>1</v>
      </c>
      <c r="BD60" s="72">
        <f t="shared" si="379"/>
        <v>1</v>
      </c>
      <c r="BE60" s="72">
        <f t="shared" si="380"/>
        <v>1</v>
      </c>
      <c r="BF60" s="72">
        <f t="shared" si="381"/>
        <v>0</v>
      </c>
      <c r="BG60" s="72">
        <f t="shared" si="382"/>
        <v>1</v>
      </c>
      <c r="BH60" s="72">
        <f t="shared" si="383"/>
        <v>0</v>
      </c>
      <c r="BI60" s="72">
        <f t="shared" si="384"/>
        <v>1</v>
      </c>
      <c r="BJ60" s="72">
        <f t="shared" si="385"/>
        <v>0</v>
      </c>
      <c r="BK60" s="72">
        <f t="shared" si="386"/>
        <v>1</v>
      </c>
      <c r="BL60" s="72">
        <f t="shared" si="387"/>
        <v>0</v>
      </c>
      <c r="BM60" s="72">
        <f t="shared" si="388"/>
        <v>1</v>
      </c>
      <c r="BN60" s="72">
        <f t="shared" si="389"/>
        <v>0</v>
      </c>
      <c r="BO60" s="72">
        <f t="shared" si="390"/>
        <v>2</v>
      </c>
      <c r="BP60" s="72">
        <f t="shared" si="391"/>
        <v>0</v>
      </c>
      <c r="BQ60" s="72">
        <f t="shared" si="392"/>
        <v>1</v>
      </c>
      <c r="BR60" s="72">
        <f t="shared" si="393"/>
        <v>0</v>
      </c>
      <c r="BS60" s="72">
        <f t="shared" si="394"/>
        <v>1</v>
      </c>
      <c r="BT60" s="72">
        <f t="shared" si="395"/>
        <v>0</v>
      </c>
      <c r="BU60" s="72">
        <f t="shared" si="396"/>
        <v>0</v>
      </c>
      <c r="BW60">
        <f t="shared" si="397"/>
        <v>0</v>
      </c>
      <c r="BX60">
        <f t="shared" si="398"/>
        <v>0</v>
      </c>
      <c r="BY60">
        <f t="shared" si="399"/>
        <v>0</v>
      </c>
      <c r="BZ60">
        <f t="shared" si="400"/>
        <v>0</v>
      </c>
      <c r="CA60">
        <f t="shared" si="68"/>
        <v>0</v>
      </c>
      <c r="CB60">
        <f t="shared" si="69"/>
        <v>0</v>
      </c>
      <c r="CD60">
        <f t="shared" si="401"/>
        <v>0</v>
      </c>
      <c r="CE60">
        <f t="shared" si="402"/>
        <v>0</v>
      </c>
      <c r="CF60">
        <f t="shared" si="403"/>
        <v>0</v>
      </c>
      <c r="CG60">
        <f t="shared" si="404"/>
        <v>0</v>
      </c>
      <c r="CH60">
        <f t="shared" si="70"/>
        <v>0</v>
      </c>
      <c r="CI60">
        <f t="shared" si="71"/>
        <v>0</v>
      </c>
      <c r="CK60">
        <f t="shared" si="405"/>
        <v>0</v>
      </c>
      <c r="CL60">
        <f t="shared" si="406"/>
        <v>0</v>
      </c>
      <c r="CM60">
        <f t="shared" si="407"/>
        <v>0</v>
      </c>
      <c r="CN60">
        <f t="shared" si="408"/>
        <v>0</v>
      </c>
      <c r="CO60">
        <f t="shared" si="72"/>
        <v>0</v>
      </c>
      <c r="CP60">
        <f t="shared" si="73"/>
        <v>0</v>
      </c>
      <c r="CR60">
        <f t="shared" si="409"/>
        <v>0</v>
      </c>
      <c r="CS60">
        <f t="shared" si="410"/>
        <v>1</v>
      </c>
      <c r="CT60">
        <f t="shared" si="411"/>
        <v>1</v>
      </c>
      <c r="CU60">
        <f t="shared" si="412"/>
        <v>0</v>
      </c>
      <c r="CV60">
        <f t="shared" si="74"/>
        <v>0</v>
      </c>
      <c r="CW60">
        <f t="shared" si="75"/>
        <v>1</v>
      </c>
      <c r="CY60">
        <f t="shared" si="413"/>
        <v>0</v>
      </c>
      <c r="CZ60">
        <f t="shared" si="414"/>
        <v>0</v>
      </c>
      <c r="DA60">
        <f t="shared" si="415"/>
        <v>1</v>
      </c>
      <c r="DB60">
        <f t="shared" si="416"/>
        <v>0</v>
      </c>
      <c r="DC60">
        <f t="shared" si="76"/>
        <v>0</v>
      </c>
      <c r="DD60">
        <f t="shared" si="77"/>
        <v>0</v>
      </c>
      <c r="DF60" s="79">
        <f t="shared" si="417"/>
        <v>0</v>
      </c>
      <c r="DG60" s="79">
        <f t="shared" si="418"/>
        <v>0</v>
      </c>
      <c r="DH60">
        <f t="shared" si="124"/>
        <v>5</v>
      </c>
      <c r="DI60">
        <f t="shared" si="89"/>
        <v>0</v>
      </c>
      <c r="DK60" s="79">
        <f t="shared" si="419"/>
        <v>1</v>
      </c>
      <c r="DL60" s="79">
        <f t="shared" si="420"/>
        <v>0</v>
      </c>
      <c r="DM60">
        <f t="shared" ref="DM60:DN60" si="453">IF(DK60+DL60=0,DM59,(DM59+DK60)*DK60)</f>
        <v>1</v>
      </c>
      <c r="DN60">
        <f t="shared" si="453"/>
        <v>0</v>
      </c>
      <c r="DP60" s="79">
        <f t="shared" si="421"/>
        <v>0</v>
      </c>
      <c r="DQ60" s="79">
        <f t="shared" si="422"/>
        <v>0</v>
      </c>
      <c r="DR60">
        <f t="shared" ref="DR60:DS60" si="454">IF(DP60+DQ60=0,DR59,(DR59+DP60)*DP60)</f>
        <v>0</v>
      </c>
      <c r="DS60">
        <f t="shared" si="454"/>
        <v>1</v>
      </c>
      <c r="DU60" s="79">
        <f t="shared" si="423"/>
        <v>0</v>
      </c>
      <c r="DV60" s="79">
        <f t="shared" si="424"/>
        <v>1</v>
      </c>
      <c r="DW60">
        <f t="shared" ref="DW60:DX60" si="455">IF(DU60+DV60=0,DW59,(DW59+DU60)*DU60)</f>
        <v>0</v>
      </c>
      <c r="DX60">
        <f t="shared" si="455"/>
        <v>4</v>
      </c>
      <c r="DZ60" s="79">
        <f t="shared" si="425"/>
        <v>0</v>
      </c>
      <c r="EA60" s="79">
        <f t="shared" si="426"/>
        <v>0</v>
      </c>
      <c r="EB60">
        <f t="shared" ref="EB60:EC60" si="456">IF(DZ60+EA60=0,EB59,(EB59+DZ60)*DZ60)</f>
        <v>0</v>
      </c>
      <c r="EC60">
        <f t="shared" si="456"/>
        <v>2</v>
      </c>
    </row>
    <row r="61" spans="1:138">
      <c r="A61" s="29">
        <v>60</v>
      </c>
      <c r="B61" s="29" t="s">
        <v>321</v>
      </c>
      <c r="C61" s="29" t="s">
        <v>46</v>
      </c>
      <c r="D61" s="29" t="s">
        <v>33</v>
      </c>
      <c r="E61" s="29" t="s">
        <v>32</v>
      </c>
      <c r="F61" s="30"/>
      <c r="G61" s="29" t="s">
        <v>38</v>
      </c>
      <c r="H61" s="29" t="s">
        <v>17</v>
      </c>
      <c r="I61" s="29" t="s">
        <v>34</v>
      </c>
      <c r="J61" s="29" t="s">
        <v>42</v>
      </c>
      <c r="L61">
        <v>6</v>
      </c>
      <c r="M61" s="28" t="s">
        <v>91</v>
      </c>
      <c r="N61" s="28" t="s">
        <v>32</v>
      </c>
      <c r="O61" s="73">
        <f>COUNTIF($AR$2:$AR$212,2)</f>
        <v>2</v>
      </c>
      <c r="P61" s="43">
        <f>COUNTIF($AS$2:$AS$212,2)</f>
        <v>0</v>
      </c>
      <c r="Q61" s="44">
        <f t="shared" si="435"/>
        <v>1</v>
      </c>
      <c r="AH61" s="72">
        <f t="shared" si="357"/>
        <v>0</v>
      </c>
      <c r="AI61" s="72">
        <f t="shared" si="358"/>
        <v>0</v>
      </c>
      <c r="AJ61" s="72">
        <f t="shared" si="359"/>
        <v>0</v>
      </c>
      <c r="AK61" s="72">
        <f t="shared" si="360"/>
        <v>0</v>
      </c>
      <c r="AL61" s="72">
        <f t="shared" si="361"/>
        <v>0</v>
      </c>
      <c r="AM61" s="72">
        <f t="shared" si="362"/>
        <v>0</v>
      </c>
      <c r="AN61" s="72">
        <f t="shared" si="363"/>
        <v>0</v>
      </c>
      <c r="AO61" s="72">
        <f t="shared" si="364"/>
        <v>1</v>
      </c>
      <c r="AP61" s="72">
        <f t="shared" si="365"/>
        <v>0</v>
      </c>
      <c r="AQ61" s="72">
        <f t="shared" si="366"/>
        <v>0</v>
      </c>
      <c r="AR61" s="72">
        <f t="shared" si="367"/>
        <v>1</v>
      </c>
      <c r="AS61" s="72">
        <f t="shared" si="368"/>
        <v>0</v>
      </c>
      <c r="AT61" s="72">
        <f t="shared" si="369"/>
        <v>1</v>
      </c>
      <c r="AU61" s="72">
        <f t="shared" si="370"/>
        <v>0</v>
      </c>
      <c r="AV61" s="72">
        <f t="shared" si="371"/>
        <v>1</v>
      </c>
      <c r="AW61" s="72">
        <f t="shared" si="372"/>
        <v>0</v>
      </c>
      <c r="AX61" s="72">
        <f t="shared" si="373"/>
        <v>0</v>
      </c>
      <c r="AY61" s="72">
        <f t="shared" si="374"/>
        <v>0</v>
      </c>
      <c r="AZ61" s="72">
        <f t="shared" si="375"/>
        <v>0</v>
      </c>
      <c r="BA61" s="72">
        <f t="shared" si="376"/>
        <v>0</v>
      </c>
      <c r="BB61" s="72">
        <f t="shared" si="377"/>
        <v>0</v>
      </c>
      <c r="BC61" s="72">
        <f t="shared" si="378"/>
        <v>0</v>
      </c>
      <c r="BD61" s="72">
        <f t="shared" si="379"/>
        <v>0</v>
      </c>
      <c r="BE61" s="72">
        <f t="shared" si="380"/>
        <v>1</v>
      </c>
      <c r="BF61" s="72">
        <f t="shared" si="381"/>
        <v>1</v>
      </c>
      <c r="BG61" s="72">
        <f t="shared" si="382"/>
        <v>0</v>
      </c>
      <c r="BH61" s="72">
        <f t="shared" si="383"/>
        <v>0</v>
      </c>
      <c r="BI61" s="72">
        <f t="shared" si="384"/>
        <v>0</v>
      </c>
      <c r="BJ61" s="72">
        <f t="shared" si="385"/>
        <v>0</v>
      </c>
      <c r="BK61" s="72">
        <f t="shared" si="386"/>
        <v>0</v>
      </c>
      <c r="BL61" s="72">
        <f t="shared" si="387"/>
        <v>0</v>
      </c>
      <c r="BM61" s="72">
        <f t="shared" si="388"/>
        <v>1</v>
      </c>
      <c r="BN61" s="72">
        <f t="shared" si="389"/>
        <v>0</v>
      </c>
      <c r="BO61" s="72">
        <f t="shared" si="390"/>
        <v>0</v>
      </c>
      <c r="BP61" s="72">
        <f t="shared" si="391"/>
        <v>0</v>
      </c>
      <c r="BQ61" s="72">
        <f t="shared" si="392"/>
        <v>0</v>
      </c>
      <c r="BR61" s="72">
        <f t="shared" si="393"/>
        <v>0</v>
      </c>
      <c r="BS61" s="72">
        <f t="shared" si="394"/>
        <v>0</v>
      </c>
      <c r="BT61" s="72">
        <f t="shared" si="395"/>
        <v>0</v>
      </c>
      <c r="BU61" s="72">
        <f t="shared" si="396"/>
        <v>0</v>
      </c>
      <c r="BW61">
        <f t="shared" si="397"/>
        <v>0</v>
      </c>
      <c r="BX61">
        <f t="shared" si="398"/>
        <v>1</v>
      </c>
      <c r="BY61">
        <f t="shared" si="399"/>
        <v>0</v>
      </c>
      <c r="BZ61">
        <f t="shared" si="400"/>
        <v>0</v>
      </c>
      <c r="CA61">
        <f t="shared" si="68"/>
        <v>0</v>
      </c>
      <c r="CB61">
        <f t="shared" si="69"/>
        <v>0</v>
      </c>
      <c r="CD61">
        <f t="shared" si="401"/>
        <v>0</v>
      </c>
      <c r="CE61">
        <f t="shared" si="402"/>
        <v>0</v>
      </c>
      <c r="CF61">
        <f t="shared" si="403"/>
        <v>0</v>
      </c>
      <c r="CG61">
        <f t="shared" si="404"/>
        <v>0</v>
      </c>
      <c r="CH61">
        <f t="shared" si="70"/>
        <v>0</v>
      </c>
      <c r="CI61">
        <f t="shared" si="71"/>
        <v>0</v>
      </c>
      <c r="CK61">
        <f t="shared" si="405"/>
        <v>0</v>
      </c>
      <c r="CL61">
        <f t="shared" si="406"/>
        <v>0</v>
      </c>
      <c r="CM61">
        <f t="shared" si="407"/>
        <v>0</v>
      </c>
      <c r="CN61">
        <f t="shared" si="408"/>
        <v>0</v>
      </c>
      <c r="CO61">
        <f t="shared" si="72"/>
        <v>0</v>
      </c>
      <c r="CP61">
        <f t="shared" si="73"/>
        <v>0</v>
      </c>
      <c r="CR61">
        <f t="shared" si="409"/>
        <v>0</v>
      </c>
      <c r="CS61">
        <f t="shared" si="410"/>
        <v>0</v>
      </c>
      <c r="CT61">
        <f t="shared" si="411"/>
        <v>1</v>
      </c>
      <c r="CU61">
        <f t="shared" si="412"/>
        <v>1</v>
      </c>
      <c r="CV61">
        <f t="shared" si="74"/>
        <v>0</v>
      </c>
      <c r="CW61">
        <f t="shared" si="75"/>
        <v>0</v>
      </c>
      <c r="CY61">
        <f t="shared" si="413"/>
        <v>0</v>
      </c>
      <c r="CZ61">
        <f t="shared" si="414"/>
        <v>1</v>
      </c>
      <c r="DA61">
        <f t="shared" si="415"/>
        <v>1</v>
      </c>
      <c r="DB61">
        <f t="shared" si="416"/>
        <v>0</v>
      </c>
      <c r="DC61">
        <f t="shared" si="76"/>
        <v>0</v>
      </c>
      <c r="DD61">
        <f t="shared" si="77"/>
        <v>1</v>
      </c>
      <c r="DF61" s="79">
        <f t="shared" si="417"/>
        <v>0</v>
      </c>
      <c r="DG61" s="79">
        <f t="shared" si="418"/>
        <v>0</v>
      </c>
      <c r="DH61">
        <f t="shared" si="124"/>
        <v>5</v>
      </c>
      <c r="DI61">
        <f t="shared" si="89"/>
        <v>0</v>
      </c>
      <c r="DK61" s="79">
        <f t="shared" si="419"/>
        <v>0</v>
      </c>
      <c r="DL61" s="79">
        <f t="shared" si="420"/>
        <v>0</v>
      </c>
      <c r="DM61">
        <f t="shared" ref="DM61:DN61" si="457">IF(DK61+DL61=0,DM60,(DM60+DK61)*DK61)</f>
        <v>1</v>
      </c>
      <c r="DN61">
        <f t="shared" si="457"/>
        <v>0</v>
      </c>
      <c r="DP61" s="79">
        <f t="shared" si="421"/>
        <v>0</v>
      </c>
      <c r="DQ61" s="79">
        <f t="shared" si="422"/>
        <v>0</v>
      </c>
      <c r="DR61">
        <f t="shared" ref="DR61:DS61" si="458">IF(DP61+DQ61=0,DR60,(DR60+DP61)*DP61)</f>
        <v>0</v>
      </c>
      <c r="DS61">
        <f t="shared" si="458"/>
        <v>1</v>
      </c>
      <c r="DU61" s="79">
        <f t="shared" si="423"/>
        <v>0</v>
      </c>
      <c r="DV61" s="79">
        <f t="shared" si="424"/>
        <v>0</v>
      </c>
      <c r="DW61">
        <f t="shared" ref="DW61:DX61" si="459">IF(DU61+DV61=0,DW60,(DW60+DU61)*DU61)</f>
        <v>0</v>
      </c>
      <c r="DX61">
        <f t="shared" si="459"/>
        <v>4</v>
      </c>
      <c r="DZ61" s="79">
        <f t="shared" si="425"/>
        <v>0</v>
      </c>
      <c r="EA61" s="79">
        <f t="shared" si="426"/>
        <v>0</v>
      </c>
      <c r="EB61">
        <f t="shared" ref="EB61:EC61" si="460">IF(DZ61+EA61=0,EB60,(EB60+DZ61)*DZ61)</f>
        <v>0</v>
      </c>
      <c r="EC61">
        <f t="shared" si="460"/>
        <v>2</v>
      </c>
    </row>
    <row r="62" spans="1:138">
      <c r="A62" s="29">
        <v>61</v>
      </c>
      <c r="B62" s="29" t="s">
        <v>17</v>
      </c>
      <c r="C62" s="29" t="s">
        <v>32</v>
      </c>
      <c r="D62" s="29" t="s">
        <v>28</v>
      </c>
      <c r="E62" s="29" t="s">
        <v>34</v>
      </c>
      <c r="F62" s="30"/>
      <c r="G62" s="29" t="s">
        <v>321</v>
      </c>
      <c r="H62" s="29" t="s">
        <v>46</v>
      </c>
      <c r="I62" s="29" t="s">
        <v>42</v>
      </c>
      <c r="J62" s="29" t="s">
        <v>32</v>
      </c>
      <c r="L62">
        <v>7</v>
      </c>
      <c r="M62" s="28" t="s">
        <v>91</v>
      </c>
      <c r="N62" s="28" t="s">
        <v>46</v>
      </c>
      <c r="O62" s="73">
        <f>COUNTIF($AT$2:$AT$212,2)</f>
        <v>0</v>
      </c>
      <c r="P62" s="43">
        <f>COUNTIF($AU$2:$AU$212,2)</f>
        <v>2</v>
      </c>
      <c r="Q62" s="44">
        <f t="shared" si="435"/>
        <v>0</v>
      </c>
      <c r="AH62" s="72">
        <f t="shared" si="357"/>
        <v>0</v>
      </c>
      <c r="AI62" s="72">
        <f t="shared" si="358"/>
        <v>0</v>
      </c>
      <c r="AJ62" s="72">
        <f t="shared" si="359"/>
        <v>0</v>
      </c>
      <c r="AK62" s="72">
        <f t="shared" si="360"/>
        <v>0</v>
      </c>
      <c r="AL62" s="72">
        <f t="shared" si="361"/>
        <v>0</v>
      </c>
      <c r="AM62" s="72">
        <f t="shared" si="362"/>
        <v>0</v>
      </c>
      <c r="AN62" s="72">
        <f t="shared" si="363"/>
        <v>1</v>
      </c>
      <c r="AO62" s="72">
        <f t="shared" si="364"/>
        <v>0</v>
      </c>
      <c r="AP62" s="72">
        <f t="shared" si="365"/>
        <v>0</v>
      </c>
      <c r="AQ62" s="72">
        <f t="shared" si="366"/>
        <v>0</v>
      </c>
      <c r="AR62" s="72">
        <f t="shared" si="367"/>
        <v>1</v>
      </c>
      <c r="AS62" s="72">
        <f t="shared" si="368"/>
        <v>1</v>
      </c>
      <c r="AT62" s="72">
        <f t="shared" si="369"/>
        <v>0</v>
      </c>
      <c r="AU62" s="72">
        <f t="shared" si="370"/>
        <v>1</v>
      </c>
      <c r="AV62" s="72">
        <f t="shared" si="371"/>
        <v>0</v>
      </c>
      <c r="AW62" s="72">
        <f t="shared" si="372"/>
        <v>0</v>
      </c>
      <c r="AX62" s="72">
        <f t="shared" si="373"/>
        <v>0</v>
      </c>
      <c r="AY62" s="72">
        <f t="shared" si="374"/>
        <v>0</v>
      </c>
      <c r="AZ62" s="72">
        <f t="shared" si="375"/>
        <v>0</v>
      </c>
      <c r="BA62" s="72">
        <f t="shared" si="376"/>
        <v>0</v>
      </c>
      <c r="BB62" s="72">
        <f t="shared" si="377"/>
        <v>0</v>
      </c>
      <c r="BC62" s="72">
        <f t="shared" si="378"/>
        <v>0</v>
      </c>
      <c r="BD62" s="72">
        <f t="shared" si="379"/>
        <v>1</v>
      </c>
      <c r="BE62" s="72">
        <f t="shared" si="380"/>
        <v>0</v>
      </c>
      <c r="BF62" s="72">
        <f t="shared" si="381"/>
        <v>0</v>
      </c>
      <c r="BG62" s="72">
        <f t="shared" si="382"/>
        <v>1</v>
      </c>
      <c r="BH62" s="72">
        <f t="shared" si="383"/>
        <v>0</v>
      </c>
      <c r="BI62" s="72">
        <f t="shared" si="384"/>
        <v>0</v>
      </c>
      <c r="BJ62" s="72">
        <f t="shared" si="385"/>
        <v>0</v>
      </c>
      <c r="BK62" s="72">
        <f t="shared" si="386"/>
        <v>0</v>
      </c>
      <c r="BL62" s="72">
        <f t="shared" si="387"/>
        <v>0</v>
      </c>
      <c r="BM62" s="72">
        <f t="shared" si="388"/>
        <v>0</v>
      </c>
      <c r="BN62" s="72">
        <f t="shared" si="389"/>
        <v>0</v>
      </c>
      <c r="BO62" s="72">
        <f t="shared" si="390"/>
        <v>0</v>
      </c>
      <c r="BP62" s="72">
        <f t="shared" si="391"/>
        <v>0</v>
      </c>
      <c r="BQ62" s="72">
        <f t="shared" si="392"/>
        <v>0</v>
      </c>
      <c r="BR62" s="72">
        <f t="shared" si="393"/>
        <v>0</v>
      </c>
      <c r="BS62" s="72">
        <f t="shared" si="394"/>
        <v>0</v>
      </c>
      <c r="BT62" s="72">
        <f t="shared" si="395"/>
        <v>0</v>
      </c>
      <c r="BU62" s="72">
        <f t="shared" si="396"/>
        <v>0</v>
      </c>
      <c r="BW62">
        <f t="shared" si="397"/>
        <v>0</v>
      </c>
      <c r="BX62">
        <f t="shared" si="398"/>
        <v>1</v>
      </c>
      <c r="BY62">
        <f t="shared" si="399"/>
        <v>0</v>
      </c>
      <c r="BZ62">
        <f t="shared" si="400"/>
        <v>1</v>
      </c>
      <c r="CA62">
        <f t="shared" si="68"/>
        <v>0</v>
      </c>
      <c r="CB62">
        <f t="shared" si="69"/>
        <v>1</v>
      </c>
      <c r="CD62">
        <f t="shared" si="401"/>
        <v>0</v>
      </c>
      <c r="CE62">
        <f t="shared" si="402"/>
        <v>0</v>
      </c>
      <c r="CF62">
        <f t="shared" si="403"/>
        <v>0</v>
      </c>
      <c r="CG62">
        <f t="shared" si="404"/>
        <v>0</v>
      </c>
      <c r="CH62">
        <f t="shared" si="70"/>
        <v>0</v>
      </c>
      <c r="CI62">
        <f t="shared" si="71"/>
        <v>0</v>
      </c>
      <c r="CK62">
        <f t="shared" si="405"/>
        <v>0</v>
      </c>
      <c r="CL62">
        <f t="shared" si="406"/>
        <v>0</v>
      </c>
      <c r="CM62">
        <f t="shared" si="407"/>
        <v>0</v>
      </c>
      <c r="CN62">
        <f t="shared" si="408"/>
        <v>0</v>
      </c>
      <c r="CO62">
        <f t="shared" si="72"/>
        <v>0</v>
      </c>
      <c r="CP62">
        <f t="shared" si="73"/>
        <v>0</v>
      </c>
      <c r="CR62">
        <f t="shared" si="409"/>
        <v>1</v>
      </c>
      <c r="CS62">
        <f t="shared" si="410"/>
        <v>1</v>
      </c>
      <c r="CT62">
        <f t="shared" si="411"/>
        <v>0</v>
      </c>
      <c r="CU62">
        <f t="shared" si="412"/>
        <v>0</v>
      </c>
      <c r="CV62">
        <f t="shared" si="74"/>
        <v>0</v>
      </c>
      <c r="CW62">
        <f t="shared" si="75"/>
        <v>0</v>
      </c>
      <c r="CY62">
        <f t="shared" si="413"/>
        <v>1</v>
      </c>
      <c r="CZ62">
        <f t="shared" si="414"/>
        <v>1</v>
      </c>
      <c r="DA62">
        <f t="shared" si="415"/>
        <v>0</v>
      </c>
      <c r="DB62">
        <f t="shared" si="416"/>
        <v>1</v>
      </c>
      <c r="DC62">
        <f t="shared" si="76"/>
        <v>0</v>
      </c>
      <c r="DD62">
        <f t="shared" si="77"/>
        <v>0</v>
      </c>
      <c r="DF62" s="79">
        <f t="shared" si="417"/>
        <v>0</v>
      </c>
      <c r="DG62" s="79">
        <f t="shared" si="418"/>
        <v>0</v>
      </c>
      <c r="DH62">
        <f t="shared" si="124"/>
        <v>5</v>
      </c>
      <c r="DI62">
        <f t="shared" si="89"/>
        <v>0</v>
      </c>
      <c r="DK62" s="79">
        <f t="shared" si="419"/>
        <v>0</v>
      </c>
      <c r="DL62" s="79">
        <f t="shared" si="420"/>
        <v>0</v>
      </c>
      <c r="DM62">
        <f t="shared" ref="DM62:DN62" si="461">IF(DK62+DL62=0,DM61,(DM61+DK62)*DK62)</f>
        <v>1</v>
      </c>
      <c r="DN62">
        <f t="shared" si="461"/>
        <v>0</v>
      </c>
      <c r="DP62" s="79">
        <f t="shared" si="421"/>
        <v>0</v>
      </c>
      <c r="DQ62" s="79">
        <f t="shared" si="422"/>
        <v>0</v>
      </c>
      <c r="DR62">
        <f t="shared" ref="DR62:DS62" si="462">IF(DP62+DQ62=0,DR61,(DR61+DP62)*DP62)</f>
        <v>0</v>
      </c>
      <c r="DS62">
        <f t="shared" si="462"/>
        <v>1</v>
      </c>
      <c r="DU62" s="79">
        <f t="shared" si="423"/>
        <v>0</v>
      </c>
      <c r="DV62" s="79">
        <f t="shared" si="424"/>
        <v>0</v>
      </c>
      <c r="DW62">
        <f t="shared" ref="DW62:DX62" si="463">IF(DU62+DV62=0,DW61,(DW61+DU62)*DU62)</f>
        <v>0</v>
      </c>
      <c r="DX62">
        <f t="shared" si="463"/>
        <v>4</v>
      </c>
      <c r="DZ62" s="79">
        <f t="shared" si="425"/>
        <v>0</v>
      </c>
      <c r="EA62" s="79">
        <f t="shared" si="426"/>
        <v>0</v>
      </c>
      <c r="EB62">
        <f t="shared" ref="EB62:EC62" si="464">IF(DZ62+EA62=0,EB61,(EB61+DZ62)*DZ62)</f>
        <v>0</v>
      </c>
      <c r="EC62">
        <f t="shared" si="464"/>
        <v>2</v>
      </c>
    </row>
    <row r="63" spans="1:138">
      <c r="A63" s="29">
        <v>62</v>
      </c>
      <c r="B63" s="29" t="s">
        <v>42</v>
      </c>
      <c r="C63" s="29" t="s">
        <v>36</v>
      </c>
      <c r="D63" s="29" t="s">
        <v>28</v>
      </c>
      <c r="E63" s="29" t="s">
        <v>33</v>
      </c>
      <c r="F63" s="30"/>
      <c r="G63" s="29" t="s">
        <v>321</v>
      </c>
      <c r="H63" s="29" t="s">
        <v>46</v>
      </c>
      <c r="I63" s="29" t="s">
        <v>38</v>
      </c>
      <c r="J63" s="29" t="s">
        <v>32</v>
      </c>
      <c r="L63">
        <v>8</v>
      </c>
      <c r="M63" s="28" t="s">
        <v>91</v>
      </c>
      <c r="N63" s="28" t="s">
        <v>33</v>
      </c>
      <c r="O63" s="73">
        <f>COUNTIF($AV$2:$AV$212,2)</f>
        <v>0</v>
      </c>
      <c r="P63" s="43">
        <f>COUNTIF($AW$2:$AW$212,2)</f>
        <v>5</v>
      </c>
      <c r="Q63" s="44">
        <f t="shared" si="435"/>
        <v>0</v>
      </c>
      <c r="AH63" s="72">
        <f t="shared" si="357"/>
        <v>0</v>
      </c>
      <c r="AI63" s="72">
        <f t="shared" si="358"/>
        <v>0</v>
      </c>
      <c r="AJ63" s="72">
        <f t="shared" si="359"/>
        <v>0</v>
      </c>
      <c r="AK63" s="72">
        <f t="shared" si="360"/>
        <v>0</v>
      </c>
      <c r="AL63" s="72">
        <f t="shared" si="361"/>
        <v>0</v>
      </c>
      <c r="AM63" s="72">
        <f t="shared" si="362"/>
        <v>0</v>
      </c>
      <c r="AN63" s="72">
        <f t="shared" si="363"/>
        <v>0</v>
      </c>
      <c r="AO63" s="72">
        <f t="shared" si="364"/>
        <v>0</v>
      </c>
      <c r="AP63" s="72">
        <f t="shared" si="365"/>
        <v>0</v>
      </c>
      <c r="AQ63" s="72">
        <f t="shared" si="366"/>
        <v>0</v>
      </c>
      <c r="AR63" s="72">
        <f t="shared" si="367"/>
        <v>0</v>
      </c>
      <c r="AS63" s="72">
        <f t="shared" si="368"/>
        <v>1</v>
      </c>
      <c r="AT63" s="72">
        <f t="shared" si="369"/>
        <v>0</v>
      </c>
      <c r="AU63" s="72">
        <f t="shared" si="370"/>
        <v>1</v>
      </c>
      <c r="AV63" s="72">
        <f t="shared" si="371"/>
        <v>1</v>
      </c>
      <c r="AW63" s="72">
        <f t="shared" si="372"/>
        <v>0</v>
      </c>
      <c r="AX63" s="72">
        <f t="shared" si="373"/>
        <v>0</v>
      </c>
      <c r="AY63" s="72">
        <f t="shared" si="374"/>
        <v>0</v>
      </c>
      <c r="AZ63" s="72">
        <f t="shared" si="375"/>
        <v>0</v>
      </c>
      <c r="BA63" s="72">
        <f t="shared" si="376"/>
        <v>0</v>
      </c>
      <c r="BB63" s="72">
        <f t="shared" si="377"/>
        <v>0</v>
      </c>
      <c r="BC63" s="72">
        <f t="shared" si="378"/>
        <v>0</v>
      </c>
      <c r="BD63" s="72">
        <f t="shared" si="379"/>
        <v>0</v>
      </c>
      <c r="BE63" s="72">
        <f t="shared" si="380"/>
        <v>0</v>
      </c>
      <c r="BF63" s="72">
        <f t="shared" si="381"/>
        <v>0</v>
      </c>
      <c r="BG63" s="72">
        <f t="shared" si="382"/>
        <v>1</v>
      </c>
      <c r="BH63" s="72">
        <f t="shared" si="383"/>
        <v>0</v>
      </c>
      <c r="BI63" s="72">
        <f t="shared" si="384"/>
        <v>0</v>
      </c>
      <c r="BJ63" s="72">
        <f t="shared" si="385"/>
        <v>0</v>
      </c>
      <c r="BK63" s="72">
        <f t="shared" si="386"/>
        <v>0</v>
      </c>
      <c r="BL63" s="72">
        <f t="shared" si="387"/>
        <v>0</v>
      </c>
      <c r="BM63" s="72">
        <f t="shared" si="388"/>
        <v>1</v>
      </c>
      <c r="BN63" s="72">
        <f t="shared" si="389"/>
        <v>1</v>
      </c>
      <c r="BO63" s="72">
        <f t="shared" si="390"/>
        <v>0</v>
      </c>
      <c r="BP63" s="72">
        <f t="shared" si="391"/>
        <v>0</v>
      </c>
      <c r="BQ63" s="72">
        <f t="shared" si="392"/>
        <v>0</v>
      </c>
      <c r="BR63" s="72">
        <f t="shared" si="393"/>
        <v>0</v>
      </c>
      <c r="BS63" s="72">
        <f t="shared" si="394"/>
        <v>0</v>
      </c>
      <c r="BT63" s="72">
        <f t="shared" si="395"/>
        <v>0</v>
      </c>
      <c r="BU63" s="72">
        <f t="shared" si="396"/>
        <v>0</v>
      </c>
      <c r="BW63">
        <f t="shared" si="397"/>
        <v>0</v>
      </c>
      <c r="BX63">
        <f t="shared" si="398"/>
        <v>0</v>
      </c>
      <c r="BY63">
        <f t="shared" si="399"/>
        <v>0</v>
      </c>
      <c r="BZ63">
        <f t="shared" si="400"/>
        <v>1</v>
      </c>
      <c r="CA63">
        <f t="shared" si="68"/>
        <v>0</v>
      </c>
      <c r="CB63">
        <f t="shared" si="69"/>
        <v>0</v>
      </c>
      <c r="CD63">
        <f t="shared" si="401"/>
        <v>0</v>
      </c>
      <c r="CE63">
        <f t="shared" si="402"/>
        <v>0</v>
      </c>
      <c r="CF63">
        <f t="shared" si="403"/>
        <v>0</v>
      </c>
      <c r="CG63">
        <f t="shared" si="404"/>
        <v>0</v>
      </c>
      <c r="CH63">
        <f t="shared" si="70"/>
        <v>0</v>
      </c>
      <c r="CI63">
        <f t="shared" si="71"/>
        <v>0</v>
      </c>
      <c r="CK63">
        <f t="shared" si="405"/>
        <v>0</v>
      </c>
      <c r="CL63">
        <f t="shared" si="406"/>
        <v>0</v>
      </c>
      <c r="CM63">
        <f t="shared" si="407"/>
        <v>0</v>
      </c>
      <c r="CN63">
        <f t="shared" si="408"/>
        <v>0</v>
      </c>
      <c r="CO63">
        <f t="shared" si="72"/>
        <v>0</v>
      </c>
      <c r="CP63">
        <f t="shared" si="73"/>
        <v>0</v>
      </c>
      <c r="CR63">
        <f t="shared" si="409"/>
        <v>0</v>
      </c>
      <c r="CS63">
        <f t="shared" si="410"/>
        <v>0</v>
      </c>
      <c r="CT63">
        <f t="shared" si="411"/>
        <v>0</v>
      </c>
      <c r="CU63">
        <f t="shared" si="412"/>
        <v>0</v>
      </c>
      <c r="CV63">
        <f t="shared" si="74"/>
        <v>0</v>
      </c>
      <c r="CW63">
        <f t="shared" si="75"/>
        <v>0</v>
      </c>
      <c r="CY63">
        <f t="shared" si="413"/>
        <v>0</v>
      </c>
      <c r="CZ63">
        <f t="shared" si="414"/>
        <v>0</v>
      </c>
      <c r="DA63">
        <f t="shared" si="415"/>
        <v>0</v>
      </c>
      <c r="DB63">
        <f t="shared" si="416"/>
        <v>1</v>
      </c>
      <c r="DC63">
        <f t="shared" si="76"/>
        <v>0</v>
      </c>
      <c r="DD63">
        <f t="shared" si="77"/>
        <v>0</v>
      </c>
      <c r="DF63" s="79">
        <f t="shared" si="417"/>
        <v>0</v>
      </c>
      <c r="DG63" s="79">
        <f t="shared" si="418"/>
        <v>0</v>
      </c>
      <c r="DH63">
        <f t="shared" si="124"/>
        <v>5</v>
      </c>
      <c r="DI63">
        <f t="shared" si="89"/>
        <v>0</v>
      </c>
      <c r="DK63" s="79">
        <f t="shared" si="419"/>
        <v>0</v>
      </c>
      <c r="DL63" s="79">
        <f t="shared" si="420"/>
        <v>0</v>
      </c>
      <c r="DM63">
        <f t="shared" ref="DM63:DN63" si="465">IF(DK63+DL63=0,DM62,(DM62+DK63)*DK63)</f>
        <v>1</v>
      </c>
      <c r="DN63">
        <f t="shared" si="465"/>
        <v>0</v>
      </c>
      <c r="DP63" s="79">
        <f t="shared" si="421"/>
        <v>0</v>
      </c>
      <c r="DQ63" s="79">
        <f t="shared" si="422"/>
        <v>0</v>
      </c>
      <c r="DR63">
        <f t="shared" ref="DR63:DS63" si="466">IF(DP63+DQ63=0,DR62,(DR62+DP63)*DP63)</f>
        <v>0</v>
      </c>
      <c r="DS63">
        <f t="shared" si="466"/>
        <v>1</v>
      </c>
      <c r="DU63" s="79">
        <f t="shared" si="423"/>
        <v>0</v>
      </c>
      <c r="DV63" s="79">
        <f t="shared" si="424"/>
        <v>0</v>
      </c>
      <c r="DW63">
        <f t="shared" ref="DW63:DX63" si="467">IF(DU63+DV63=0,DW62,(DW62+DU63)*DU63)</f>
        <v>0</v>
      </c>
      <c r="DX63">
        <f t="shared" si="467"/>
        <v>4</v>
      </c>
      <c r="DZ63" s="79">
        <f t="shared" si="425"/>
        <v>0</v>
      </c>
      <c r="EA63" s="79">
        <f t="shared" si="426"/>
        <v>0</v>
      </c>
      <c r="EB63">
        <f t="shared" ref="EB63:EC63" si="468">IF(DZ63+EA63=0,EB62,(EB62+DZ63)*DZ63)</f>
        <v>0</v>
      </c>
      <c r="EC63">
        <f t="shared" si="468"/>
        <v>2</v>
      </c>
    </row>
    <row r="64" spans="1:138">
      <c r="A64" s="29">
        <v>63</v>
      </c>
      <c r="B64" s="29" t="s">
        <v>28</v>
      </c>
      <c r="C64" s="29" t="s">
        <v>19</v>
      </c>
      <c r="D64" s="29" t="s">
        <v>42</v>
      </c>
      <c r="E64" s="29" t="s">
        <v>32</v>
      </c>
      <c r="F64" s="30"/>
      <c r="G64" s="29" t="s">
        <v>321</v>
      </c>
      <c r="H64" s="29" t="s">
        <v>31</v>
      </c>
      <c r="I64" s="29" t="s">
        <v>46</v>
      </c>
      <c r="J64" s="29" t="s">
        <v>23</v>
      </c>
      <c r="L64">
        <v>9</v>
      </c>
      <c r="M64" s="28" t="s">
        <v>91</v>
      </c>
      <c r="N64" s="28" t="s">
        <v>19</v>
      </c>
      <c r="O64" s="73">
        <f>COUNTIF($AX$2:$AX$212,2)</f>
        <v>0</v>
      </c>
      <c r="P64" s="43">
        <f>COUNTIF($AY$2:$AY$212,2)</f>
        <v>0</v>
      </c>
      <c r="Q64" s="44" t="str">
        <f t="shared" si="435"/>
        <v>-</v>
      </c>
      <c r="AH64" s="72">
        <f t="shared" si="357"/>
        <v>0</v>
      </c>
      <c r="AI64" s="72">
        <f t="shared" si="358"/>
        <v>0</v>
      </c>
      <c r="AJ64" s="72">
        <f t="shared" si="359"/>
        <v>0</v>
      </c>
      <c r="AK64" s="72">
        <f t="shared" si="360"/>
        <v>0</v>
      </c>
      <c r="AL64" s="72">
        <f t="shared" si="361"/>
        <v>0</v>
      </c>
      <c r="AM64" s="72">
        <f t="shared" si="362"/>
        <v>0</v>
      </c>
      <c r="AN64" s="72">
        <f t="shared" si="363"/>
        <v>0</v>
      </c>
      <c r="AO64" s="72">
        <f t="shared" si="364"/>
        <v>0</v>
      </c>
      <c r="AP64" s="72">
        <f t="shared" si="365"/>
        <v>0</v>
      </c>
      <c r="AQ64" s="72">
        <f t="shared" si="366"/>
        <v>1</v>
      </c>
      <c r="AR64" s="72">
        <f t="shared" si="367"/>
        <v>1</v>
      </c>
      <c r="AS64" s="72">
        <f t="shared" si="368"/>
        <v>0</v>
      </c>
      <c r="AT64" s="72">
        <f t="shared" si="369"/>
        <v>0</v>
      </c>
      <c r="AU64" s="72">
        <f t="shared" si="370"/>
        <v>1</v>
      </c>
      <c r="AV64" s="72">
        <f t="shared" si="371"/>
        <v>0</v>
      </c>
      <c r="AW64" s="72">
        <f t="shared" si="372"/>
        <v>0</v>
      </c>
      <c r="AX64" s="72">
        <f t="shared" si="373"/>
        <v>1</v>
      </c>
      <c r="AY64" s="72">
        <f t="shared" si="374"/>
        <v>0</v>
      </c>
      <c r="AZ64" s="72">
        <f t="shared" si="375"/>
        <v>0</v>
      </c>
      <c r="BA64" s="72">
        <f t="shared" si="376"/>
        <v>0</v>
      </c>
      <c r="BB64" s="72">
        <f t="shared" si="377"/>
        <v>0</v>
      </c>
      <c r="BC64" s="72">
        <f t="shared" si="378"/>
        <v>0</v>
      </c>
      <c r="BD64" s="72">
        <f t="shared" si="379"/>
        <v>0</v>
      </c>
      <c r="BE64" s="72">
        <f t="shared" si="380"/>
        <v>0</v>
      </c>
      <c r="BF64" s="72">
        <f t="shared" si="381"/>
        <v>0</v>
      </c>
      <c r="BG64" s="72">
        <f t="shared" si="382"/>
        <v>1</v>
      </c>
      <c r="BH64" s="72">
        <f t="shared" si="383"/>
        <v>0</v>
      </c>
      <c r="BI64" s="72">
        <f t="shared" si="384"/>
        <v>0</v>
      </c>
      <c r="BJ64" s="72">
        <f t="shared" si="385"/>
        <v>0</v>
      </c>
      <c r="BK64" s="72">
        <f t="shared" si="386"/>
        <v>0</v>
      </c>
      <c r="BL64" s="72">
        <f t="shared" si="387"/>
        <v>0</v>
      </c>
      <c r="BM64" s="72">
        <f t="shared" si="388"/>
        <v>0</v>
      </c>
      <c r="BN64" s="72">
        <f t="shared" si="389"/>
        <v>0</v>
      </c>
      <c r="BO64" s="72">
        <f t="shared" si="390"/>
        <v>0</v>
      </c>
      <c r="BP64" s="72">
        <f t="shared" si="391"/>
        <v>0</v>
      </c>
      <c r="BQ64" s="72">
        <f t="shared" si="392"/>
        <v>0</v>
      </c>
      <c r="BR64" s="72">
        <f t="shared" si="393"/>
        <v>0</v>
      </c>
      <c r="BS64" s="72">
        <f t="shared" si="394"/>
        <v>0</v>
      </c>
      <c r="BT64" s="72">
        <f t="shared" si="395"/>
        <v>0</v>
      </c>
      <c r="BU64" s="72">
        <f t="shared" si="396"/>
        <v>0</v>
      </c>
      <c r="BW64">
        <f t="shared" si="397"/>
        <v>0</v>
      </c>
      <c r="BX64">
        <f t="shared" si="398"/>
        <v>1</v>
      </c>
      <c r="BY64">
        <f t="shared" si="399"/>
        <v>0</v>
      </c>
      <c r="BZ64">
        <f t="shared" si="400"/>
        <v>0</v>
      </c>
      <c r="CA64">
        <f t="shared" si="68"/>
        <v>0</v>
      </c>
      <c r="CB64">
        <f t="shared" si="69"/>
        <v>0</v>
      </c>
      <c r="CD64">
        <f t="shared" si="401"/>
        <v>0</v>
      </c>
      <c r="CE64">
        <f t="shared" si="402"/>
        <v>0</v>
      </c>
      <c r="CF64">
        <f t="shared" si="403"/>
        <v>0</v>
      </c>
      <c r="CG64">
        <f t="shared" si="404"/>
        <v>0</v>
      </c>
      <c r="CH64">
        <f t="shared" si="70"/>
        <v>0</v>
      </c>
      <c r="CI64">
        <f t="shared" si="71"/>
        <v>0</v>
      </c>
      <c r="CK64">
        <f t="shared" si="405"/>
        <v>0</v>
      </c>
      <c r="CL64">
        <f t="shared" si="406"/>
        <v>0</v>
      </c>
      <c r="CM64">
        <f t="shared" si="407"/>
        <v>0</v>
      </c>
      <c r="CN64">
        <f t="shared" si="408"/>
        <v>1</v>
      </c>
      <c r="CO64">
        <f t="shared" si="72"/>
        <v>0</v>
      </c>
      <c r="CP64">
        <f t="shared" si="73"/>
        <v>0</v>
      </c>
      <c r="CR64">
        <f t="shared" si="409"/>
        <v>0</v>
      </c>
      <c r="CS64">
        <f t="shared" si="410"/>
        <v>0</v>
      </c>
      <c r="CT64">
        <f t="shared" si="411"/>
        <v>0</v>
      </c>
      <c r="CU64">
        <f t="shared" si="412"/>
        <v>0</v>
      </c>
      <c r="CV64">
        <f t="shared" si="74"/>
        <v>0</v>
      </c>
      <c r="CW64">
        <f t="shared" si="75"/>
        <v>0</v>
      </c>
      <c r="CY64">
        <f t="shared" si="413"/>
        <v>0</v>
      </c>
      <c r="CZ64">
        <f t="shared" si="414"/>
        <v>1</v>
      </c>
      <c r="DA64">
        <f t="shared" si="415"/>
        <v>0</v>
      </c>
      <c r="DB64">
        <f t="shared" si="416"/>
        <v>0</v>
      </c>
      <c r="DC64">
        <f t="shared" si="76"/>
        <v>0</v>
      </c>
      <c r="DD64">
        <f t="shared" si="77"/>
        <v>0</v>
      </c>
      <c r="DF64" s="79">
        <f t="shared" si="417"/>
        <v>0</v>
      </c>
      <c r="DG64" s="79">
        <f t="shared" si="418"/>
        <v>1</v>
      </c>
      <c r="DH64">
        <f t="shared" si="124"/>
        <v>0</v>
      </c>
      <c r="DI64">
        <f t="shared" si="89"/>
        <v>1</v>
      </c>
      <c r="DK64" s="79">
        <f t="shared" si="419"/>
        <v>0</v>
      </c>
      <c r="DL64" s="79">
        <f t="shared" si="420"/>
        <v>0</v>
      </c>
      <c r="DM64">
        <f t="shared" ref="DM64:DN64" si="469">IF(DK64+DL64=0,DM63,(DM63+DK64)*DK64)</f>
        <v>1</v>
      </c>
      <c r="DN64">
        <f t="shared" si="469"/>
        <v>0</v>
      </c>
      <c r="DP64" s="79">
        <f t="shared" si="421"/>
        <v>0</v>
      </c>
      <c r="DQ64" s="79">
        <f t="shared" si="422"/>
        <v>0</v>
      </c>
      <c r="DR64">
        <f t="shared" ref="DR64:DS64" si="470">IF(DP64+DQ64=0,DR63,(DR63+DP64)*DP64)</f>
        <v>0</v>
      </c>
      <c r="DS64">
        <f t="shared" si="470"/>
        <v>1</v>
      </c>
      <c r="DU64" s="79">
        <f t="shared" si="423"/>
        <v>0</v>
      </c>
      <c r="DV64" s="79">
        <f t="shared" si="424"/>
        <v>0</v>
      </c>
      <c r="DW64">
        <f t="shared" ref="DW64:DX64" si="471">IF(DU64+DV64=0,DW63,(DW63+DU64)*DU64)</f>
        <v>0</v>
      </c>
      <c r="DX64">
        <f t="shared" si="471"/>
        <v>4</v>
      </c>
      <c r="DZ64" s="79">
        <f t="shared" si="425"/>
        <v>0</v>
      </c>
      <c r="EA64" s="79">
        <f t="shared" si="426"/>
        <v>0</v>
      </c>
      <c r="EB64">
        <f t="shared" ref="EB64:EC64" si="472">IF(DZ64+EA64=0,EB63,(EB63+DZ64)*DZ64)</f>
        <v>0</v>
      </c>
      <c r="EC64">
        <f t="shared" si="472"/>
        <v>2</v>
      </c>
    </row>
    <row r="65" spans="1:133">
      <c r="A65" s="29">
        <v>64</v>
      </c>
      <c r="B65" s="29" t="s">
        <v>321</v>
      </c>
      <c r="C65" s="29" t="s">
        <v>19</v>
      </c>
      <c r="D65" s="29" t="s">
        <v>44</v>
      </c>
      <c r="E65" s="29" t="s">
        <v>23</v>
      </c>
      <c r="F65" s="30"/>
      <c r="G65" s="29" t="s">
        <v>42</v>
      </c>
      <c r="H65" s="29" t="s">
        <v>46</v>
      </c>
      <c r="I65" s="29" t="s">
        <v>28</v>
      </c>
      <c r="J65" s="29" t="s">
        <v>32</v>
      </c>
      <c r="L65">
        <v>10</v>
      </c>
      <c r="M65" s="28" t="s">
        <v>91</v>
      </c>
      <c r="N65" s="28" t="s">
        <v>20</v>
      </c>
      <c r="O65" s="73">
        <f>COUNTIF($AZ$2:$AZ$212,2)</f>
        <v>1</v>
      </c>
      <c r="P65" s="43">
        <f>COUNTIF($BA$2:$BA$212,2)</f>
        <v>6</v>
      </c>
      <c r="Q65" s="44">
        <f t="shared" si="435"/>
        <v>0.14285714285714285</v>
      </c>
      <c r="AH65" s="72">
        <f t="shared" si="357"/>
        <v>1</v>
      </c>
      <c r="AI65" s="72">
        <f t="shared" si="358"/>
        <v>0</v>
      </c>
      <c r="AJ65" s="72">
        <f t="shared" si="359"/>
        <v>1</v>
      </c>
      <c r="AK65" s="72">
        <f t="shared" si="360"/>
        <v>0</v>
      </c>
      <c r="AL65" s="72">
        <f t="shared" si="361"/>
        <v>1</v>
      </c>
      <c r="AM65" s="72">
        <f t="shared" si="362"/>
        <v>0</v>
      </c>
      <c r="AN65" s="72">
        <f t="shared" si="363"/>
        <v>0</v>
      </c>
      <c r="AO65" s="72">
        <f t="shared" si="364"/>
        <v>0</v>
      </c>
      <c r="AP65" s="72">
        <f t="shared" si="365"/>
        <v>0</v>
      </c>
      <c r="AQ65" s="72">
        <f t="shared" si="366"/>
        <v>0</v>
      </c>
      <c r="AR65" s="72">
        <f t="shared" si="367"/>
        <v>0</v>
      </c>
      <c r="AS65" s="72">
        <f t="shared" si="368"/>
        <v>1</v>
      </c>
      <c r="AT65" s="72">
        <f t="shared" si="369"/>
        <v>0</v>
      </c>
      <c r="AU65" s="72">
        <f t="shared" si="370"/>
        <v>1</v>
      </c>
      <c r="AV65" s="72">
        <f t="shared" si="371"/>
        <v>0</v>
      </c>
      <c r="AW65" s="72">
        <f t="shared" si="372"/>
        <v>0</v>
      </c>
      <c r="AX65" s="72">
        <f t="shared" si="373"/>
        <v>1</v>
      </c>
      <c r="AY65" s="72">
        <f t="shared" si="374"/>
        <v>0</v>
      </c>
      <c r="AZ65" s="72">
        <f t="shared" si="375"/>
        <v>0</v>
      </c>
      <c r="BA65" s="72">
        <f t="shared" si="376"/>
        <v>0</v>
      </c>
      <c r="BB65" s="72">
        <f t="shared" si="377"/>
        <v>1</v>
      </c>
      <c r="BC65" s="72">
        <f t="shared" si="378"/>
        <v>0</v>
      </c>
      <c r="BD65" s="72">
        <f t="shared" si="379"/>
        <v>0</v>
      </c>
      <c r="BE65" s="72">
        <f t="shared" si="380"/>
        <v>0</v>
      </c>
      <c r="BF65" s="72">
        <f t="shared" si="381"/>
        <v>1</v>
      </c>
      <c r="BG65" s="72">
        <f t="shared" si="382"/>
        <v>0</v>
      </c>
      <c r="BH65" s="72">
        <f t="shared" si="383"/>
        <v>0</v>
      </c>
      <c r="BI65" s="72">
        <f t="shared" si="384"/>
        <v>0</v>
      </c>
      <c r="BJ65" s="72">
        <f t="shared" si="385"/>
        <v>0</v>
      </c>
      <c r="BK65" s="72">
        <f t="shared" si="386"/>
        <v>0</v>
      </c>
      <c r="BL65" s="72">
        <f t="shared" si="387"/>
        <v>0</v>
      </c>
      <c r="BM65" s="72">
        <f t="shared" si="388"/>
        <v>0</v>
      </c>
      <c r="BN65" s="72">
        <f t="shared" si="389"/>
        <v>0</v>
      </c>
      <c r="BO65" s="72">
        <f t="shared" si="390"/>
        <v>0</v>
      </c>
      <c r="BP65" s="72">
        <f t="shared" si="391"/>
        <v>0</v>
      </c>
      <c r="BQ65" s="72">
        <f t="shared" si="392"/>
        <v>0</v>
      </c>
      <c r="BR65" s="72">
        <f t="shared" si="393"/>
        <v>0</v>
      </c>
      <c r="BS65" s="72">
        <f t="shared" si="394"/>
        <v>0</v>
      </c>
      <c r="BT65" s="72">
        <f t="shared" si="395"/>
        <v>0</v>
      </c>
      <c r="BU65" s="72">
        <f t="shared" si="396"/>
        <v>0</v>
      </c>
      <c r="BW65">
        <f t="shared" si="397"/>
        <v>0</v>
      </c>
      <c r="BX65">
        <f t="shared" si="398"/>
        <v>0</v>
      </c>
      <c r="BY65">
        <f t="shared" si="399"/>
        <v>0</v>
      </c>
      <c r="BZ65">
        <f t="shared" si="400"/>
        <v>1</v>
      </c>
      <c r="CA65">
        <f t="shared" si="68"/>
        <v>0</v>
      </c>
      <c r="CB65">
        <f t="shared" si="69"/>
        <v>0</v>
      </c>
      <c r="CD65">
        <f t="shared" si="401"/>
        <v>0</v>
      </c>
      <c r="CE65">
        <f t="shared" si="402"/>
        <v>1</v>
      </c>
      <c r="CF65">
        <f t="shared" si="403"/>
        <v>0</v>
      </c>
      <c r="CG65">
        <f t="shared" si="404"/>
        <v>0</v>
      </c>
      <c r="CH65">
        <f t="shared" si="70"/>
        <v>0</v>
      </c>
      <c r="CI65">
        <f t="shared" si="71"/>
        <v>0</v>
      </c>
      <c r="CK65">
        <f t="shared" si="405"/>
        <v>0</v>
      </c>
      <c r="CL65">
        <f t="shared" si="406"/>
        <v>0</v>
      </c>
      <c r="CM65">
        <f t="shared" si="407"/>
        <v>0</v>
      </c>
      <c r="CN65">
        <f t="shared" si="408"/>
        <v>0</v>
      </c>
      <c r="CO65">
        <f t="shared" si="72"/>
        <v>0</v>
      </c>
      <c r="CP65">
        <f t="shared" si="73"/>
        <v>0</v>
      </c>
      <c r="CR65">
        <f t="shared" si="409"/>
        <v>0</v>
      </c>
      <c r="CS65">
        <f t="shared" si="410"/>
        <v>0</v>
      </c>
      <c r="CT65">
        <f t="shared" si="411"/>
        <v>0</v>
      </c>
      <c r="CU65">
        <f t="shared" si="412"/>
        <v>0</v>
      </c>
      <c r="CV65">
        <f t="shared" si="74"/>
        <v>0</v>
      </c>
      <c r="CW65">
        <f t="shared" si="75"/>
        <v>0</v>
      </c>
      <c r="CY65">
        <f t="shared" si="413"/>
        <v>0</v>
      </c>
      <c r="CZ65">
        <f t="shared" si="414"/>
        <v>0</v>
      </c>
      <c r="DA65">
        <f t="shared" si="415"/>
        <v>0</v>
      </c>
      <c r="DB65">
        <f t="shared" si="416"/>
        <v>1</v>
      </c>
      <c r="DC65">
        <f t="shared" si="76"/>
        <v>0</v>
      </c>
      <c r="DD65">
        <f t="shared" si="77"/>
        <v>0</v>
      </c>
      <c r="DF65" s="79">
        <f t="shared" si="417"/>
        <v>1</v>
      </c>
      <c r="DG65" s="79">
        <f t="shared" si="418"/>
        <v>0</v>
      </c>
      <c r="DH65">
        <f t="shared" si="124"/>
        <v>1</v>
      </c>
      <c r="DI65">
        <f t="shared" si="89"/>
        <v>0</v>
      </c>
      <c r="DK65" s="79">
        <f t="shared" si="419"/>
        <v>0</v>
      </c>
      <c r="DL65" s="79">
        <f t="shared" si="420"/>
        <v>0</v>
      </c>
      <c r="DM65">
        <f t="shared" ref="DM65:DN65" si="473">IF(DK65+DL65=0,DM64,(DM64+DK65)*DK65)</f>
        <v>1</v>
      </c>
      <c r="DN65">
        <f t="shared" si="473"/>
        <v>0</v>
      </c>
      <c r="DP65" s="79">
        <f t="shared" si="421"/>
        <v>0</v>
      </c>
      <c r="DQ65" s="79">
        <f t="shared" si="422"/>
        <v>0</v>
      </c>
      <c r="DR65">
        <f t="shared" ref="DR65:DS65" si="474">IF(DP65+DQ65=0,DR64,(DR64+DP65)*DP65)</f>
        <v>0</v>
      </c>
      <c r="DS65">
        <f t="shared" si="474"/>
        <v>1</v>
      </c>
      <c r="DU65" s="79">
        <f t="shared" si="423"/>
        <v>0</v>
      </c>
      <c r="DV65" s="79">
        <f t="shared" si="424"/>
        <v>0</v>
      </c>
      <c r="DW65">
        <f t="shared" ref="DW65:DX65" si="475">IF(DU65+DV65=0,DW64,(DW64+DU65)*DU65)</f>
        <v>0</v>
      </c>
      <c r="DX65">
        <f t="shared" si="475"/>
        <v>4</v>
      </c>
      <c r="DZ65" s="79">
        <f t="shared" si="425"/>
        <v>0</v>
      </c>
      <c r="EA65" s="79">
        <f t="shared" si="426"/>
        <v>0</v>
      </c>
      <c r="EB65">
        <f t="shared" ref="EB65:EC65" si="476">IF(DZ65+EA65=0,EB64,(EB64+DZ65)*DZ65)</f>
        <v>0</v>
      </c>
      <c r="EC65">
        <f t="shared" si="476"/>
        <v>2</v>
      </c>
    </row>
    <row r="66" spans="1:133">
      <c r="A66" s="29">
        <v>65</v>
      </c>
      <c r="B66" s="29" t="s">
        <v>23</v>
      </c>
      <c r="C66" s="29" t="s">
        <v>32</v>
      </c>
      <c r="D66" s="29" t="s">
        <v>44</v>
      </c>
      <c r="E66" s="29" t="s">
        <v>42</v>
      </c>
      <c r="F66" s="30"/>
      <c r="G66" s="29" t="s">
        <v>321</v>
      </c>
      <c r="H66" s="29" t="s">
        <v>17</v>
      </c>
      <c r="I66" s="29" t="s">
        <v>28</v>
      </c>
      <c r="J66" s="29" t="s">
        <v>33</v>
      </c>
      <c r="L66">
        <v>11</v>
      </c>
      <c r="M66" s="28" t="s">
        <v>91</v>
      </c>
      <c r="N66" s="28" t="s">
        <v>44</v>
      </c>
      <c r="O66" s="73">
        <f>COUNTIF($BB$2:$BB$212,2)</f>
        <v>1</v>
      </c>
      <c r="P66" s="43">
        <f>COUNTIF($BC$2:$BC$212,2)</f>
        <v>3</v>
      </c>
      <c r="Q66" s="44">
        <f t="shared" ref="Q66:Q75" si="477">IF(O66+P66=0,"-",O66/(O66+P66))</f>
        <v>0.25</v>
      </c>
      <c r="U66" s="330"/>
      <c r="V66" s="330"/>
      <c r="W66" s="330"/>
      <c r="X66" s="330"/>
      <c r="AH66" s="72">
        <f t="shared" si="357"/>
        <v>1</v>
      </c>
      <c r="AI66" s="72">
        <f t="shared" si="358"/>
        <v>0</v>
      </c>
      <c r="AJ66" s="72">
        <f t="shared" si="359"/>
        <v>1</v>
      </c>
      <c r="AK66" s="72">
        <f t="shared" si="360"/>
        <v>0</v>
      </c>
      <c r="AL66" s="72">
        <f t="shared" si="361"/>
        <v>1</v>
      </c>
      <c r="AM66" s="72">
        <f t="shared" si="362"/>
        <v>0</v>
      </c>
      <c r="AN66" s="72">
        <f t="shared" si="363"/>
        <v>0</v>
      </c>
      <c r="AO66" s="72">
        <f t="shared" si="364"/>
        <v>1</v>
      </c>
      <c r="AP66" s="72">
        <f t="shared" si="365"/>
        <v>0</v>
      </c>
      <c r="AQ66" s="72">
        <f t="shared" si="366"/>
        <v>0</v>
      </c>
      <c r="AR66" s="72">
        <f t="shared" si="367"/>
        <v>1</v>
      </c>
      <c r="AS66" s="72">
        <f t="shared" si="368"/>
        <v>0</v>
      </c>
      <c r="AT66" s="72">
        <f t="shared" si="369"/>
        <v>0</v>
      </c>
      <c r="AU66" s="72">
        <f t="shared" si="370"/>
        <v>0</v>
      </c>
      <c r="AV66" s="72">
        <f t="shared" si="371"/>
        <v>0</v>
      </c>
      <c r="AW66" s="72">
        <f t="shared" si="372"/>
        <v>1</v>
      </c>
      <c r="AX66" s="72">
        <f t="shared" si="373"/>
        <v>0</v>
      </c>
      <c r="AY66" s="72">
        <f t="shared" si="374"/>
        <v>0</v>
      </c>
      <c r="AZ66" s="72">
        <f t="shared" si="375"/>
        <v>0</v>
      </c>
      <c r="BA66" s="72">
        <f t="shared" si="376"/>
        <v>0</v>
      </c>
      <c r="BB66" s="72">
        <f t="shared" si="377"/>
        <v>1</v>
      </c>
      <c r="BC66" s="72">
        <f t="shared" si="378"/>
        <v>0</v>
      </c>
      <c r="BD66" s="72">
        <f t="shared" si="379"/>
        <v>0</v>
      </c>
      <c r="BE66" s="72">
        <f t="shared" si="380"/>
        <v>0</v>
      </c>
      <c r="BF66" s="72">
        <f t="shared" si="381"/>
        <v>0</v>
      </c>
      <c r="BG66" s="72">
        <f t="shared" si="382"/>
        <v>1</v>
      </c>
      <c r="BH66" s="72">
        <f t="shared" si="383"/>
        <v>0</v>
      </c>
      <c r="BI66" s="72">
        <f t="shared" si="384"/>
        <v>0</v>
      </c>
      <c r="BJ66" s="72">
        <f t="shared" si="385"/>
        <v>0</v>
      </c>
      <c r="BK66" s="72">
        <f t="shared" si="386"/>
        <v>0</v>
      </c>
      <c r="BL66" s="72">
        <f t="shared" si="387"/>
        <v>0</v>
      </c>
      <c r="BM66" s="72">
        <f t="shared" si="388"/>
        <v>0</v>
      </c>
      <c r="BN66" s="72">
        <f t="shared" si="389"/>
        <v>0</v>
      </c>
      <c r="BO66" s="72">
        <f t="shared" si="390"/>
        <v>0</v>
      </c>
      <c r="BP66" s="72">
        <f t="shared" si="391"/>
        <v>0</v>
      </c>
      <c r="BQ66" s="72">
        <f t="shared" si="392"/>
        <v>0</v>
      </c>
      <c r="BR66" s="72">
        <f t="shared" si="393"/>
        <v>0</v>
      </c>
      <c r="BS66" s="72">
        <f t="shared" si="394"/>
        <v>0</v>
      </c>
      <c r="BT66" s="72">
        <f t="shared" si="395"/>
        <v>0</v>
      </c>
      <c r="BU66" s="72">
        <f t="shared" si="396"/>
        <v>0</v>
      </c>
      <c r="BW66">
        <f t="shared" si="397"/>
        <v>0</v>
      </c>
      <c r="BX66">
        <f t="shared" si="398"/>
        <v>1</v>
      </c>
      <c r="BY66">
        <f t="shared" si="399"/>
        <v>0</v>
      </c>
      <c r="BZ66">
        <f t="shared" si="400"/>
        <v>0</v>
      </c>
      <c r="CA66">
        <f t="shared" si="68"/>
        <v>0</v>
      </c>
      <c r="CB66">
        <f t="shared" si="69"/>
        <v>0</v>
      </c>
      <c r="CD66">
        <f t="shared" si="401"/>
        <v>0</v>
      </c>
      <c r="CE66">
        <f t="shared" si="402"/>
        <v>1</v>
      </c>
      <c r="CF66">
        <f t="shared" si="403"/>
        <v>0</v>
      </c>
      <c r="CG66">
        <f t="shared" si="404"/>
        <v>0</v>
      </c>
      <c r="CH66">
        <f t="shared" si="70"/>
        <v>0</v>
      </c>
      <c r="CI66">
        <f t="shared" si="71"/>
        <v>0</v>
      </c>
      <c r="CK66">
        <f t="shared" si="405"/>
        <v>0</v>
      </c>
      <c r="CL66">
        <f t="shared" si="406"/>
        <v>0</v>
      </c>
      <c r="CM66">
        <f t="shared" si="407"/>
        <v>0</v>
      </c>
      <c r="CN66">
        <f t="shared" si="408"/>
        <v>0</v>
      </c>
      <c r="CO66">
        <f t="shared" si="72"/>
        <v>0</v>
      </c>
      <c r="CP66">
        <f t="shared" si="73"/>
        <v>0</v>
      </c>
      <c r="CR66">
        <f t="shared" si="409"/>
        <v>0</v>
      </c>
      <c r="CS66">
        <f t="shared" si="410"/>
        <v>0</v>
      </c>
      <c r="CT66">
        <f t="shared" si="411"/>
        <v>1</v>
      </c>
      <c r="CU66">
        <f t="shared" si="412"/>
        <v>0</v>
      </c>
      <c r="CV66">
        <f t="shared" si="74"/>
        <v>0</v>
      </c>
      <c r="CW66">
        <f t="shared" si="75"/>
        <v>0</v>
      </c>
      <c r="CY66">
        <f t="shared" si="413"/>
        <v>0</v>
      </c>
      <c r="CZ66">
        <f t="shared" si="414"/>
        <v>1</v>
      </c>
      <c r="DA66">
        <f t="shared" si="415"/>
        <v>1</v>
      </c>
      <c r="DB66">
        <f t="shared" si="416"/>
        <v>0</v>
      </c>
      <c r="DC66">
        <f t="shared" si="76"/>
        <v>0</v>
      </c>
      <c r="DD66">
        <f t="shared" si="77"/>
        <v>1</v>
      </c>
      <c r="DF66" s="79">
        <f t="shared" si="417"/>
        <v>1</v>
      </c>
      <c r="DG66" s="79">
        <f t="shared" si="418"/>
        <v>0</v>
      </c>
      <c r="DH66">
        <f t="shared" si="124"/>
        <v>2</v>
      </c>
      <c r="DI66">
        <f t="shared" si="89"/>
        <v>0</v>
      </c>
      <c r="DK66" s="79">
        <f t="shared" si="419"/>
        <v>0</v>
      </c>
      <c r="DL66" s="79">
        <f t="shared" si="420"/>
        <v>0</v>
      </c>
      <c r="DM66">
        <f t="shared" ref="DM66:DN66" si="478">IF(DK66+DL66=0,DM65,(DM65+DK66)*DK66)</f>
        <v>1</v>
      </c>
      <c r="DN66">
        <f t="shared" si="478"/>
        <v>0</v>
      </c>
      <c r="DP66" s="79">
        <f t="shared" si="421"/>
        <v>0</v>
      </c>
      <c r="DQ66" s="79">
        <f t="shared" si="422"/>
        <v>0</v>
      </c>
      <c r="DR66">
        <f t="shared" ref="DR66:DS66" si="479">IF(DP66+DQ66=0,DR65,(DR65+DP66)*DP66)</f>
        <v>0</v>
      </c>
      <c r="DS66">
        <f t="shared" si="479"/>
        <v>1</v>
      </c>
      <c r="DU66" s="79">
        <f t="shared" si="423"/>
        <v>0</v>
      </c>
      <c r="DV66" s="79">
        <f t="shared" si="424"/>
        <v>0</v>
      </c>
      <c r="DW66">
        <f t="shared" ref="DW66:DX66" si="480">IF(DU66+DV66=0,DW65,(DW65+DU66)*DU66)</f>
        <v>0</v>
      </c>
      <c r="DX66">
        <f t="shared" si="480"/>
        <v>4</v>
      </c>
      <c r="DZ66" s="79">
        <f t="shared" si="425"/>
        <v>0</v>
      </c>
      <c r="EA66" s="79">
        <f t="shared" si="426"/>
        <v>0</v>
      </c>
      <c r="EB66">
        <f t="shared" ref="EB66:EC66" si="481">IF(DZ66+EA66=0,EB65,(EB65+DZ66)*DZ66)</f>
        <v>0</v>
      </c>
      <c r="EC66">
        <f t="shared" si="481"/>
        <v>2</v>
      </c>
    </row>
    <row r="67" spans="1:133">
      <c r="A67" s="29">
        <v>66</v>
      </c>
      <c r="B67" s="29" t="s">
        <v>321</v>
      </c>
      <c r="C67" s="29" t="s">
        <v>17</v>
      </c>
      <c r="D67" s="29" t="s">
        <v>44</v>
      </c>
      <c r="E67" s="29" t="s">
        <v>42</v>
      </c>
      <c r="F67" s="30"/>
      <c r="G67" s="29" t="s">
        <v>23</v>
      </c>
      <c r="H67" s="29" t="s">
        <v>32</v>
      </c>
      <c r="I67" s="29" t="s">
        <v>19</v>
      </c>
      <c r="J67" s="29" t="s">
        <v>33</v>
      </c>
      <c r="L67">
        <v>12</v>
      </c>
      <c r="M67" s="28" t="s">
        <v>91</v>
      </c>
      <c r="N67" s="28" t="s">
        <v>34</v>
      </c>
      <c r="O67" s="73">
        <f>COUNTIF($BD$2:$BD$212,2)</f>
        <v>0</v>
      </c>
      <c r="P67" s="43">
        <f>COUNTIF($BE$2:$BE$212,2)</f>
        <v>2</v>
      </c>
      <c r="Q67" s="44">
        <f t="shared" si="477"/>
        <v>0</v>
      </c>
      <c r="T67" s="69"/>
      <c r="U67" s="69"/>
      <c r="V67" s="69"/>
      <c r="W67" s="69"/>
      <c r="X67" s="69"/>
      <c r="Y67" s="69"/>
      <c r="Z67" s="69"/>
      <c r="AA67" s="69"/>
      <c r="AB67" s="69"/>
      <c r="AH67" s="72">
        <f t="shared" si="357"/>
        <v>1</v>
      </c>
      <c r="AI67" s="72">
        <f t="shared" si="358"/>
        <v>0</v>
      </c>
      <c r="AJ67" s="72">
        <f t="shared" si="359"/>
        <v>1</v>
      </c>
      <c r="AK67" s="72">
        <f t="shared" si="360"/>
        <v>0</v>
      </c>
      <c r="AL67" s="72">
        <f t="shared" si="361"/>
        <v>1</v>
      </c>
      <c r="AM67" s="72">
        <f t="shared" si="362"/>
        <v>0</v>
      </c>
      <c r="AN67" s="72">
        <f t="shared" si="363"/>
        <v>1</v>
      </c>
      <c r="AO67" s="72">
        <f t="shared" si="364"/>
        <v>0</v>
      </c>
      <c r="AP67" s="72">
        <f t="shared" si="365"/>
        <v>0</v>
      </c>
      <c r="AQ67" s="72">
        <f t="shared" si="366"/>
        <v>0</v>
      </c>
      <c r="AR67" s="72">
        <f t="shared" si="367"/>
        <v>0</v>
      </c>
      <c r="AS67" s="72">
        <f t="shared" si="368"/>
        <v>1</v>
      </c>
      <c r="AT67" s="72">
        <f t="shared" si="369"/>
        <v>0</v>
      </c>
      <c r="AU67" s="72">
        <f t="shared" si="370"/>
        <v>0</v>
      </c>
      <c r="AV67" s="72">
        <f t="shared" si="371"/>
        <v>0</v>
      </c>
      <c r="AW67" s="72">
        <f t="shared" si="372"/>
        <v>1</v>
      </c>
      <c r="AX67" s="72">
        <f t="shared" si="373"/>
        <v>0</v>
      </c>
      <c r="AY67" s="72">
        <f t="shared" si="374"/>
        <v>1</v>
      </c>
      <c r="AZ67" s="72">
        <f t="shared" si="375"/>
        <v>0</v>
      </c>
      <c r="BA67" s="72">
        <f t="shared" si="376"/>
        <v>0</v>
      </c>
      <c r="BB67" s="72">
        <f t="shared" si="377"/>
        <v>1</v>
      </c>
      <c r="BC67" s="72">
        <f t="shared" si="378"/>
        <v>0</v>
      </c>
      <c r="BD67" s="72">
        <f t="shared" si="379"/>
        <v>0</v>
      </c>
      <c r="BE67" s="72">
        <f t="shared" si="380"/>
        <v>0</v>
      </c>
      <c r="BF67" s="72">
        <f t="shared" si="381"/>
        <v>1</v>
      </c>
      <c r="BG67" s="72">
        <f t="shared" si="382"/>
        <v>0</v>
      </c>
      <c r="BH67" s="72">
        <f t="shared" si="383"/>
        <v>0</v>
      </c>
      <c r="BI67" s="72">
        <f t="shared" si="384"/>
        <v>0</v>
      </c>
      <c r="BJ67" s="72">
        <f t="shared" si="385"/>
        <v>0</v>
      </c>
      <c r="BK67" s="72">
        <f t="shared" si="386"/>
        <v>0</v>
      </c>
      <c r="BL67" s="72">
        <f t="shared" si="387"/>
        <v>0</v>
      </c>
      <c r="BM67" s="72">
        <f t="shared" si="388"/>
        <v>0</v>
      </c>
      <c r="BN67" s="72">
        <f t="shared" si="389"/>
        <v>0</v>
      </c>
      <c r="BO67" s="72">
        <f t="shared" si="390"/>
        <v>0</v>
      </c>
      <c r="BP67" s="72">
        <f t="shared" si="391"/>
        <v>0</v>
      </c>
      <c r="BQ67" s="72">
        <f t="shared" si="392"/>
        <v>0</v>
      </c>
      <c r="BR67" s="72">
        <f t="shared" si="393"/>
        <v>0</v>
      </c>
      <c r="BS67" s="72">
        <f t="shared" si="394"/>
        <v>0</v>
      </c>
      <c r="BT67" s="72">
        <f t="shared" si="395"/>
        <v>0</v>
      </c>
      <c r="BU67" s="72">
        <f t="shared" si="396"/>
        <v>0</v>
      </c>
      <c r="BW67">
        <f t="shared" si="397"/>
        <v>0</v>
      </c>
      <c r="BX67">
        <f t="shared" si="398"/>
        <v>0</v>
      </c>
      <c r="BY67">
        <f t="shared" si="399"/>
        <v>0</v>
      </c>
      <c r="BZ67">
        <f t="shared" si="400"/>
        <v>1</v>
      </c>
      <c r="CA67">
        <f t="shared" si="68"/>
        <v>0</v>
      </c>
      <c r="CB67">
        <f t="shared" si="69"/>
        <v>0</v>
      </c>
      <c r="CD67">
        <f t="shared" si="401"/>
        <v>0</v>
      </c>
      <c r="CE67">
        <f t="shared" si="402"/>
        <v>1</v>
      </c>
      <c r="CF67">
        <f t="shared" si="403"/>
        <v>0</v>
      </c>
      <c r="CG67">
        <f t="shared" si="404"/>
        <v>0</v>
      </c>
      <c r="CH67">
        <f t="shared" si="70"/>
        <v>0</v>
      </c>
      <c r="CI67">
        <f t="shared" si="71"/>
        <v>0</v>
      </c>
      <c r="CK67">
        <f t="shared" si="405"/>
        <v>0</v>
      </c>
      <c r="CL67">
        <f t="shared" si="406"/>
        <v>0</v>
      </c>
      <c r="CM67">
        <f t="shared" si="407"/>
        <v>0</v>
      </c>
      <c r="CN67">
        <f t="shared" si="408"/>
        <v>0</v>
      </c>
      <c r="CO67">
        <f t="shared" si="72"/>
        <v>0</v>
      </c>
      <c r="CP67">
        <f t="shared" si="73"/>
        <v>0</v>
      </c>
      <c r="CR67">
        <f t="shared" si="409"/>
        <v>1</v>
      </c>
      <c r="CS67">
        <f t="shared" si="410"/>
        <v>0</v>
      </c>
      <c r="CT67">
        <f t="shared" si="411"/>
        <v>0</v>
      </c>
      <c r="CU67">
        <f t="shared" si="412"/>
        <v>0</v>
      </c>
      <c r="CV67">
        <f t="shared" si="74"/>
        <v>0</v>
      </c>
      <c r="CW67">
        <f t="shared" si="75"/>
        <v>0</v>
      </c>
      <c r="CY67">
        <f t="shared" si="413"/>
        <v>1</v>
      </c>
      <c r="CZ67">
        <f t="shared" si="414"/>
        <v>0</v>
      </c>
      <c r="DA67">
        <f t="shared" si="415"/>
        <v>0</v>
      </c>
      <c r="DB67">
        <f t="shared" si="416"/>
        <v>1</v>
      </c>
      <c r="DC67">
        <f t="shared" si="76"/>
        <v>1</v>
      </c>
      <c r="DD67">
        <f t="shared" si="77"/>
        <v>0</v>
      </c>
      <c r="DF67" s="79">
        <f t="shared" si="417"/>
        <v>0</v>
      </c>
      <c r="DG67" s="79">
        <f t="shared" si="418"/>
        <v>1</v>
      </c>
      <c r="DH67">
        <f t="shared" si="124"/>
        <v>0</v>
      </c>
      <c r="DI67">
        <f t="shared" si="89"/>
        <v>1</v>
      </c>
      <c r="DK67" s="79">
        <f t="shared" si="419"/>
        <v>0</v>
      </c>
      <c r="DL67" s="79">
        <f t="shared" si="420"/>
        <v>0</v>
      </c>
      <c r="DM67">
        <f t="shared" ref="DM67:DN67" si="482">IF(DK67+DL67=0,DM66,(DM66+DK67)*DK67)</f>
        <v>1</v>
      </c>
      <c r="DN67">
        <f t="shared" si="482"/>
        <v>0</v>
      </c>
      <c r="DP67" s="79">
        <f t="shared" si="421"/>
        <v>0</v>
      </c>
      <c r="DQ67" s="79">
        <f t="shared" si="422"/>
        <v>0</v>
      </c>
      <c r="DR67">
        <f t="shared" ref="DR67:DS67" si="483">IF(DP67+DQ67=0,DR66,(DR66+DP67)*DP67)</f>
        <v>0</v>
      </c>
      <c r="DS67">
        <f t="shared" si="483"/>
        <v>1</v>
      </c>
      <c r="DU67" s="79">
        <f t="shared" si="423"/>
        <v>0</v>
      </c>
      <c r="DV67" s="79">
        <f t="shared" si="424"/>
        <v>0</v>
      </c>
      <c r="DW67">
        <f t="shared" ref="DW67:DX67" si="484">IF(DU67+DV67=0,DW66,(DW66+DU67)*DU67)</f>
        <v>0</v>
      </c>
      <c r="DX67">
        <f t="shared" si="484"/>
        <v>4</v>
      </c>
      <c r="DZ67" s="79">
        <f t="shared" si="425"/>
        <v>0</v>
      </c>
      <c r="EA67" s="79">
        <f t="shared" si="426"/>
        <v>0</v>
      </c>
      <c r="EB67">
        <f t="shared" ref="EB67:EC67" si="485">IF(DZ67+EA67=0,EB66,(EB66+DZ67)*DZ67)</f>
        <v>0</v>
      </c>
      <c r="EC67">
        <f t="shared" si="485"/>
        <v>2</v>
      </c>
    </row>
    <row r="68" spans="1:133">
      <c r="A68" s="29">
        <v>67</v>
      </c>
      <c r="B68" s="29" t="s">
        <v>17</v>
      </c>
      <c r="C68" s="29" t="s">
        <v>23</v>
      </c>
      <c r="D68" s="29" t="s">
        <v>46</v>
      </c>
      <c r="E68" s="29" t="s">
        <v>20</v>
      </c>
      <c r="F68" s="30"/>
      <c r="G68" s="29" t="s">
        <v>32</v>
      </c>
      <c r="H68" s="29" t="s">
        <v>36</v>
      </c>
      <c r="I68" s="29" t="s">
        <v>44</v>
      </c>
      <c r="J68" s="29" t="s">
        <v>33</v>
      </c>
      <c r="L68">
        <v>13</v>
      </c>
      <c r="M68" s="28" t="s">
        <v>91</v>
      </c>
      <c r="N68" s="28" t="s">
        <v>321</v>
      </c>
      <c r="O68" s="73">
        <f>COUNTIF($BF$2:$BF$212,2)</f>
        <v>1</v>
      </c>
      <c r="P68" s="43">
        <f>COUNTIF($BG$2:$BG$212,2)</f>
        <v>1</v>
      </c>
      <c r="Q68" s="44">
        <f t="shared" si="477"/>
        <v>0.5</v>
      </c>
      <c r="T68" s="69"/>
      <c r="U68" s="69"/>
      <c r="V68" s="69"/>
      <c r="W68" s="69"/>
      <c r="X68" s="69"/>
      <c r="Y68" s="69"/>
      <c r="Z68" s="69"/>
      <c r="AA68" s="69"/>
      <c r="AB68" s="69"/>
      <c r="AH68" s="72">
        <f t="shared" si="357"/>
        <v>0</v>
      </c>
      <c r="AI68" s="72">
        <f t="shared" si="358"/>
        <v>1</v>
      </c>
      <c r="AJ68" s="72">
        <f t="shared" si="359"/>
        <v>0</v>
      </c>
      <c r="AK68" s="72">
        <f t="shared" si="360"/>
        <v>1</v>
      </c>
      <c r="AL68" s="72">
        <f t="shared" si="361"/>
        <v>0</v>
      </c>
      <c r="AM68" s="72">
        <f t="shared" si="362"/>
        <v>1</v>
      </c>
      <c r="AN68" s="72">
        <f t="shared" si="363"/>
        <v>1</v>
      </c>
      <c r="AO68" s="72">
        <f t="shared" si="364"/>
        <v>0</v>
      </c>
      <c r="AP68" s="72">
        <f t="shared" si="365"/>
        <v>0</v>
      </c>
      <c r="AQ68" s="72">
        <f t="shared" si="366"/>
        <v>0</v>
      </c>
      <c r="AR68" s="72">
        <f t="shared" si="367"/>
        <v>0</v>
      </c>
      <c r="AS68" s="72">
        <f t="shared" si="368"/>
        <v>1</v>
      </c>
      <c r="AT68" s="72">
        <f t="shared" si="369"/>
        <v>1</v>
      </c>
      <c r="AU68" s="72">
        <f t="shared" si="370"/>
        <v>0</v>
      </c>
      <c r="AV68" s="72">
        <f t="shared" si="371"/>
        <v>0</v>
      </c>
      <c r="AW68" s="72">
        <f t="shared" si="372"/>
        <v>1</v>
      </c>
      <c r="AX68" s="72">
        <f t="shared" si="373"/>
        <v>0</v>
      </c>
      <c r="AY68" s="72">
        <f t="shared" si="374"/>
        <v>0</v>
      </c>
      <c r="AZ68" s="72">
        <f t="shared" si="375"/>
        <v>1</v>
      </c>
      <c r="BA68" s="72">
        <f t="shared" si="376"/>
        <v>0</v>
      </c>
      <c r="BB68" s="72">
        <f t="shared" si="377"/>
        <v>0</v>
      </c>
      <c r="BC68" s="72">
        <f t="shared" si="378"/>
        <v>1</v>
      </c>
      <c r="BD68" s="72">
        <f t="shared" si="379"/>
        <v>0</v>
      </c>
      <c r="BE68" s="72">
        <f t="shared" si="380"/>
        <v>0</v>
      </c>
      <c r="BF68" s="72">
        <f t="shared" si="381"/>
        <v>0</v>
      </c>
      <c r="BG68" s="72">
        <f t="shared" si="382"/>
        <v>0</v>
      </c>
      <c r="BH68" s="72">
        <f t="shared" si="383"/>
        <v>0</v>
      </c>
      <c r="BI68" s="72">
        <f t="shared" si="384"/>
        <v>0</v>
      </c>
      <c r="BJ68" s="72">
        <f t="shared" si="385"/>
        <v>0</v>
      </c>
      <c r="BK68" s="72">
        <f t="shared" si="386"/>
        <v>0</v>
      </c>
      <c r="BL68" s="72">
        <f t="shared" si="387"/>
        <v>0</v>
      </c>
      <c r="BM68" s="72">
        <f t="shared" si="388"/>
        <v>0</v>
      </c>
      <c r="BN68" s="72">
        <f t="shared" si="389"/>
        <v>0</v>
      </c>
      <c r="BO68" s="72">
        <f t="shared" si="390"/>
        <v>1</v>
      </c>
      <c r="BP68" s="72">
        <f t="shared" si="391"/>
        <v>0</v>
      </c>
      <c r="BQ68" s="72">
        <f t="shared" si="392"/>
        <v>0</v>
      </c>
      <c r="BR68" s="72">
        <f t="shared" si="393"/>
        <v>0</v>
      </c>
      <c r="BS68" s="72">
        <f t="shared" si="394"/>
        <v>0</v>
      </c>
      <c r="BT68" s="72">
        <f t="shared" si="395"/>
        <v>0</v>
      </c>
      <c r="BU68" s="72">
        <f t="shared" si="396"/>
        <v>0</v>
      </c>
      <c r="BW68">
        <f t="shared" si="397"/>
        <v>0</v>
      </c>
      <c r="BX68">
        <f t="shared" si="398"/>
        <v>0</v>
      </c>
      <c r="BY68">
        <f t="shared" si="399"/>
        <v>0</v>
      </c>
      <c r="BZ68">
        <f t="shared" si="400"/>
        <v>1</v>
      </c>
      <c r="CA68">
        <f t="shared" si="68"/>
        <v>0</v>
      </c>
      <c r="CB68">
        <f t="shared" si="69"/>
        <v>0</v>
      </c>
      <c r="CD68">
        <f t="shared" si="401"/>
        <v>0</v>
      </c>
      <c r="CE68">
        <f t="shared" si="402"/>
        <v>0</v>
      </c>
      <c r="CF68">
        <f t="shared" si="403"/>
        <v>0</v>
      </c>
      <c r="CG68">
        <f t="shared" si="404"/>
        <v>1</v>
      </c>
      <c r="CH68">
        <f t="shared" si="70"/>
        <v>0</v>
      </c>
      <c r="CI68">
        <f t="shared" si="71"/>
        <v>0</v>
      </c>
      <c r="CK68">
        <f t="shared" si="405"/>
        <v>0</v>
      </c>
      <c r="CL68">
        <f t="shared" si="406"/>
        <v>0</v>
      </c>
      <c r="CM68">
        <f t="shared" si="407"/>
        <v>0</v>
      </c>
      <c r="CN68">
        <f t="shared" si="408"/>
        <v>0</v>
      </c>
      <c r="CO68">
        <f t="shared" si="72"/>
        <v>0</v>
      </c>
      <c r="CP68">
        <f t="shared" si="73"/>
        <v>0</v>
      </c>
      <c r="CR68">
        <f t="shared" si="409"/>
        <v>1</v>
      </c>
      <c r="CS68">
        <f t="shared" si="410"/>
        <v>0</v>
      </c>
      <c r="CT68">
        <f t="shared" si="411"/>
        <v>0</v>
      </c>
      <c r="CU68">
        <f t="shared" si="412"/>
        <v>0</v>
      </c>
      <c r="CV68">
        <f t="shared" si="74"/>
        <v>0</v>
      </c>
      <c r="CW68">
        <f t="shared" si="75"/>
        <v>0</v>
      </c>
      <c r="CY68">
        <f t="shared" si="413"/>
        <v>1</v>
      </c>
      <c r="CZ68">
        <f t="shared" si="414"/>
        <v>0</v>
      </c>
      <c r="DA68">
        <f t="shared" si="415"/>
        <v>0</v>
      </c>
      <c r="DB68">
        <f t="shared" si="416"/>
        <v>1</v>
      </c>
      <c r="DC68">
        <f t="shared" si="76"/>
        <v>1</v>
      </c>
      <c r="DD68">
        <f t="shared" si="77"/>
        <v>0</v>
      </c>
      <c r="DF68" s="79">
        <f t="shared" si="417"/>
        <v>1</v>
      </c>
      <c r="DG68" s="79">
        <f t="shared" si="418"/>
        <v>0</v>
      </c>
      <c r="DH68">
        <f t="shared" si="124"/>
        <v>1</v>
      </c>
      <c r="DI68">
        <f t="shared" si="89"/>
        <v>0</v>
      </c>
      <c r="DK68" s="79">
        <f t="shared" si="419"/>
        <v>1</v>
      </c>
      <c r="DL68" s="79">
        <f t="shared" si="420"/>
        <v>0</v>
      </c>
      <c r="DM68">
        <f t="shared" ref="DM68:DN68" si="486">IF(DK68+DL68=0,DM67,(DM67+DK68)*DK68)</f>
        <v>2</v>
      </c>
      <c r="DN68">
        <f t="shared" si="486"/>
        <v>0</v>
      </c>
      <c r="DP68" s="79">
        <f t="shared" si="421"/>
        <v>0</v>
      </c>
      <c r="DQ68" s="79">
        <f t="shared" si="422"/>
        <v>0</v>
      </c>
      <c r="DR68">
        <f t="shared" ref="DR68:DS68" si="487">IF(DP68+DQ68=0,DR67,(DR67+DP68)*DP68)</f>
        <v>0</v>
      </c>
      <c r="DS68">
        <f t="shared" si="487"/>
        <v>1</v>
      </c>
      <c r="DU68" s="79">
        <f t="shared" si="423"/>
        <v>0</v>
      </c>
      <c r="DV68" s="79">
        <f t="shared" si="424"/>
        <v>0</v>
      </c>
      <c r="DW68">
        <f t="shared" ref="DW68:DX68" si="488">IF(DU68+DV68=0,DW67,(DW67+DU68)*DU68)</f>
        <v>0</v>
      </c>
      <c r="DX68">
        <f t="shared" si="488"/>
        <v>4</v>
      </c>
      <c r="DZ68" s="79">
        <f t="shared" si="425"/>
        <v>0</v>
      </c>
      <c r="EA68" s="79">
        <f t="shared" si="426"/>
        <v>0</v>
      </c>
      <c r="EB68">
        <f t="shared" ref="EB68:EC68" si="489">IF(DZ68+EA68=0,EB67,(EB67+DZ68)*DZ68)</f>
        <v>0</v>
      </c>
      <c r="EC68">
        <f t="shared" si="489"/>
        <v>2</v>
      </c>
    </row>
    <row r="69" spans="1:133">
      <c r="A69" s="29">
        <v>68</v>
      </c>
      <c r="B69" s="29" t="s">
        <v>28</v>
      </c>
      <c r="C69" s="29" t="s">
        <v>31</v>
      </c>
      <c r="D69" s="29" t="s">
        <v>23</v>
      </c>
      <c r="E69" s="29" t="s">
        <v>34</v>
      </c>
      <c r="F69" s="30"/>
      <c r="G69" s="29" t="s">
        <v>321</v>
      </c>
      <c r="H69" s="29" t="s">
        <v>46</v>
      </c>
      <c r="I69" s="29" t="s">
        <v>19</v>
      </c>
      <c r="J69" s="29" t="s">
        <v>17</v>
      </c>
      <c r="L69">
        <v>14</v>
      </c>
      <c r="M69" s="28" t="s">
        <v>91</v>
      </c>
      <c r="N69" s="28" t="s">
        <v>40</v>
      </c>
      <c r="O69" s="73">
        <f>COUNTIF($BH$2:$BH$212,2)</f>
        <v>0</v>
      </c>
      <c r="P69" s="43">
        <f>COUNTIF($BI$2:$BI$212,2)</f>
        <v>1</v>
      </c>
      <c r="Q69" s="44">
        <f t="shared" si="477"/>
        <v>0</v>
      </c>
      <c r="T69" s="69"/>
      <c r="U69" s="69"/>
      <c r="V69" s="69"/>
      <c r="W69" s="69"/>
      <c r="X69" s="69"/>
      <c r="Y69" s="69"/>
      <c r="Z69" s="69"/>
      <c r="AA69" s="69"/>
      <c r="AB69" s="69"/>
      <c r="AH69" s="72">
        <f t="shared" si="357"/>
        <v>0</v>
      </c>
      <c r="AI69" s="72">
        <f t="shared" si="358"/>
        <v>0</v>
      </c>
      <c r="AJ69" s="72">
        <f t="shared" si="359"/>
        <v>0</v>
      </c>
      <c r="AK69" s="72">
        <f t="shared" si="360"/>
        <v>0</v>
      </c>
      <c r="AL69" s="72">
        <f t="shared" si="361"/>
        <v>0</v>
      </c>
      <c r="AM69" s="72">
        <f t="shared" si="362"/>
        <v>0</v>
      </c>
      <c r="AN69" s="72">
        <f t="shared" si="363"/>
        <v>0</v>
      </c>
      <c r="AO69" s="72">
        <f t="shared" si="364"/>
        <v>1</v>
      </c>
      <c r="AP69" s="72">
        <f t="shared" si="365"/>
        <v>1</v>
      </c>
      <c r="AQ69" s="72">
        <f t="shared" si="366"/>
        <v>0</v>
      </c>
      <c r="AR69" s="72">
        <f t="shared" si="367"/>
        <v>0</v>
      </c>
      <c r="AS69" s="72">
        <f t="shared" si="368"/>
        <v>0</v>
      </c>
      <c r="AT69" s="72">
        <f t="shared" si="369"/>
        <v>0</v>
      </c>
      <c r="AU69" s="72">
        <f t="shared" si="370"/>
        <v>1</v>
      </c>
      <c r="AV69" s="72">
        <f t="shared" si="371"/>
        <v>0</v>
      </c>
      <c r="AW69" s="72">
        <f t="shared" si="372"/>
        <v>0</v>
      </c>
      <c r="AX69" s="72">
        <f t="shared" si="373"/>
        <v>0</v>
      </c>
      <c r="AY69" s="72">
        <f t="shared" si="374"/>
        <v>1</v>
      </c>
      <c r="AZ69" s="72">
        <f t="shared" si="375"/>
        <v>0</v>
      </c>
      <c r="BA69" s="72">
        <f t="shared" si="376"/>
        <v>0</v>
      </c>
      <c r="BB69" s="72">
        <f t="shared" si="377"/>
        <v>0</v>
      </c>
      <c r="BC69" s="72">
        <f t="shared" si="378"/>
        <v>0</v>
      </c>
      <c r="BD69" s="72">
        <f t="shared" si="379"/>
        <v>1</v>
      </c>
      <c r="BE69" s="72">
        <f t="shared" si="380"/>
        <v>0</v>
      </c>
      <c r="BF69" s="72">
        <f t="shared" si="381"/>
        <v>0</v>
      </c>
      <c r="BG69" s="72">
        <f t="shared" si="382"/>
        <v>1</v>
      </c>
      <c r="BH69" s="72">
        <f t="shared" si="383"/>
        <v>0</v>
      </c>
      <c r="BI69" s="72">
        <f t="shared" si="384"/>
        <v>0</v>
      </c>
      <c r="BJ69" s="72">
        <f t="shared" si="385"/>
        <v>0</v>
      </c>
      <c r="BK69" s="72">
        <f t="shared" si="386"/>
        <v>0</v>
      </c>
      <c r="BL69" s="72">
        <f t="shared" si="387"/>
        <v>0</v>
      </c>
      <c r="BM69" s="72">
        <f t="shared" si="388"/>
        <v>0</v>
      </c>
      <c r="BN69" s="72">
        <f t="shared" si="389"/>
        <v>0</v>
      </c>
      <c r="BO69" s="72">
        <f t="shared" si="390"/>
        <v>0</v>
      </c>
      <c r="BP69" s="72">
        <f t="shared" si="391"/>
        <v>0</v>
      </c>
      <c r="BQ69" s="72">
        <f t="shared" si="392"/>
        <v>0</v>
      </c>
      <c r="BR69" s="72">
        <f t="shared" si="393"/>
        <v>0</v>
      </c>
      <c r="BS69" s="72">
        <f t="shared" si="394"/>
        <v>0</v>
      </c>
      <c r="BT69" s="72">
        <f t="shared" si="395"/>
        <v>0</v>
      </c>
      <c r="BU69" s="72">
        <f t="shared" si="396"/>
        <v>0</v>
      </c>
      <c r="BW69">
        <f t="shared" si="397"/>
        <v>0</v>
      </c>
      <c r="BX69">
        <f t="shared" si="398"/>
        <v>0</v>
      </c>
      <c r="BY69">
        <f t="shared" si="399"/>
        <v>0</v>
      </c>
      <c r="BZ69">
        <f t="shared" si="400"/>
        <v>0</v>
      </c>
      <c r="CA69">
        <f t="shared" si="68"/>
        <v>0</v>
      </c>
      <c r="CB69">
        <f t="shared" si="69"/>
        <v>0</v>
      </c>
      <c r="CD69">
        <f t="shared" si="401"/>
        <v>0</v>
      </c>
      <c r="CE69">
        <f t="shared" si="402"/>
        <v>0</v>
      </c>
      <c r="CF69">
        <f t="shared" si="403"/>
        <v>0</v>
      </c>
      <c r="CG69">
        <f t="shared" si="404"/>
        <v>0</v>
      </c>
      <c r="CH69">
        <f t="shared" si="70"/>
        <v>0</v>
      </c>
      <c r="CI69">
        <f t="shared" si="71"/>
        <v>0</v>
      </c>
      <c r="CK69">
        <f t="shared" si="405"/>
        <v>0</v>
      </c>
      <c r="CL69">
        <f t="shared" si="406"/>
        <v>1</v>
      </c>
      <c r="CM69">
        <f t="shared" si="407"/>
        <v>0</v>
      </c>
      <c r="CN69">
        <f t="shared" si="408"/>
        <v>0</v>
      </c>
      <c r="CO69">
        <f t="shared" si="72"/>
        <v>0</v>
      </c>
      <c r="CP69">
        <f t="shared" si="73"/>
        <v>0</v>
      </c>
      <c r="CR69">
        <f t="shared" si="409"/>
        <v>0</v>
      </c>
      <c r="CS69">
        <f t="shared" si="410"/>
        <v>1</v>
      </c>
      <c r="CT69">
        <f t="shared" si="411"/>
        <v>1</v>
      </c>
      <c r="CU69">
        <f t="shared" si="412"/>
        <v>0</v>
      </c>
      <c r="CV69">
        <f t="shared" si="74"/>
        <v>0</v>
      </c>
      <c r="CW69">
        <f t="shared" si="75"/>
        <v>1</v>
      </c>
      <c r="CY69">
        <f t="shared" si="413"/>
        <v>0</v>
      </c>
      <c r="CZ69">
        <f t="shared" si="414"/>
        <v>0</v>
      </c>
      <c r="DA69">
        <f t="shared" si="415"/>
        <v>1</v>
      </c>
      <c r="DB69">
        <f t="shared" si="416"/>
        <v>0</v>
      </c>
      <c r="DC69">
        <f t="shared" si="76"/>
        <v>0</v>
      </c>
      <c r="DD69">
        <f t="shared" si="77"/>
        <v>0</v>
      </c>
      <c r="DF69" s="79">
        <f t="shared" si="417"/>
        <v>1</v>
      </c>
      <c r="DG69" s="79">
        <f t="shared" si="418"/>
        <v>0</v>
      </c>
      <c r="DH69">
        <f t="shared" si="124"/>
        <v>2</v>
      </c>
      <c r="DI69">
        <f t="shared" si="89"/>
        <v>0</v>
      </c>
      <c r="DK69" s="79">
        <f t="shared" si="419"/>
        <v>0</v>
      </c>
      <c r="DL69" s="79">
        <f t="shared" si="420"/>
        <v>0</v>
      </c>
      <c r="DM69">
        <f t="shared" ref="DM69:DN69" si="490">IF(DK69+DL69=0,DM68,(DM68+DK69)*DK69)</f>
        <v>2</v>
      </c>
      <c r="DN69">
        <f t="shared" si="490"/>
        <v>0</v>
      </c>
      <c r="DP69" s="79">
        <f t="shared" si="421"/>
        <v>0</v>
      </c>
      <c r="DQ69" s="79">
        <f t="shared" si="422"/>
        <v>0</v>
      </c>
      <c r="DR69">
        <f t="shared" ref="DR69:DS69" si="491">IF(DP69+DQ69=0,DR68,(DR68+DP69)*DP69)</f>
        <v>0</v>
      </c>
      <c r="DS69">
        <f t="shared" si="491"/>
        <v>1</v>
      </c>
      <c r="DU69" s="79">
        <f t="shared" si="423"/>
        <v>0</v>
      </c>
      <c r="DV69" s="79">
        <f t="shared" si="424"/>
        <v>0</v>
      </c>
      <c r="DW69">
        <f t="shared" ref="DW69:DX69" si="492">IF(DU69+DV69=0,DW68,(DW68+DU69)*DU69)</f>
        <v>0</v>
      </c>
      <c r="DX69">
        <f t="shared" si="492"/>
        <v>4</v>
      </c>
      <c r="DZ69" s="79">
        <f t="shared" si="425"/>
        <v>0</v>
      </c>
      <c r="EA69" s="79">
        <f t="shared" si="426"/>
        <v>0</v>
      </c>
      <c r="EB69">
        <f t="shared" ref="EB69:EC69" si="493">IF(DZ69+EA69=0,EB68,(EB68+DZ69)*DZ69)</f>
        <v>0</v>
      </c>
      <c r="EC69">
        <f t="shared" si="493"/>
        <v>2</v>
      </c>
    </row>
    <row r="70" spans="1:133">
      <c r="A70" s="29">
        <v>69</v>
      </c>
      <c r="B70" s="29" t="s">
        <v>28</v>
      </c>
      <c r="C70" s="29" t="s">
        <v>31</v>
      </c>
      <c r="D70" s="29" t="s">
        <v>17</v>
      </c>
      <c r="E70" s="29" t="s">
        <v>32</v>
      </c>
      <c r="F70" s="30"/>
      <c r="G70" s="29" t="s">
        <v>19</v>
      </c>
      <c r="H70" s="29" t="s">
        <v>46</v>
      </c>
      <c r="I70" s="29" t="s">
        <v>36</v>
      </c>
      <c r="J70" s="29" t="s">
        <v>33</v>
      </c>
      <c r="L70">
        <v>15</v>
      </c>
      <c r="M70" s="28" t="s">
        <v>91</v>
      </c>
      <c r="N70" s="28" t="s">
        <v>47</v>
      </c>
      <c r="O70" s="73">
        <f>COUNTIF($BJ$2:$BJ$212,2)</f>
        <v>0</v>
      </c>
      <c r="P70" s="43">
        <f>COUNTIF($BK$2:$BK$212,2)</f>
        <v>2</v>
      </c>
      <c r="Q70" s="44">
        <f t="shared" si="477"/>
        <v>0</v>
      </c>
      <c r="T70" s="69"/>
      <c r="U70" s="69"/>
      <c r="V70" s="69"/>
      <c r="W70" s="69"/>
      <c r="X70" s="69"/>
      <c r="Y70" s="69"/>
      <c r="Z70" s="69"/>
      <c r="AA70" s="69"/>
      <c r="AB70" s="69"/>
      <c r="AH70" s="72">
        <f t="shared" si="357"/>
        <v>0</v>
      </c>
      <c r="AI70" s="72">
        <f t="shared" si="358"/>
        <v>0</v>
      </c>
      <c r="AJ70" s="72">
        <f t="shared" si="359"/>
        <v>0</v>
      </c>
      <c r="AK70" s="72">
        <f t="shared" si="360"/>
        <v>0</v>
      </c>
      <c r="AL70" s="72">
        <f t="shared" si="361"/>
        <v>0</v>
      </c>
      <c r="AM70" s="72">
        <f t="shared" si="362"/>
        <v>0</v>
      </c>
      <c r="AN70" s="72">
        <f t="shared" si="363"/>
        <v>1</v>
      </c>
      <c r="AO70" s="72">
        <f t="shared" si="364"/>
        <v>0</v>
      </c>
      <c r="AP70" s="72">
        <f t="shared" si="365"/>
        <v>1</v>
      </c>
      <c r="AQ70" s="72">
        <f t="shared" si="366"/>
        <v>0</v>
      </c>
      <c r="AR70" s="72">
        <f t="shared" si="367"/>
        <v>1</v>
      </c>
      <c r="AS70" s="72">
        <f t="shared" si="368"/>
        <v>0</v>
      </c>
      <c r="AT70" s="72">
        <f t="shared" si="369"/>
        <v>0</v>
      </c>
      <c r="AU70" s="72">
        <f t="shared" si="370"/>
        <v>1</v>
      </c>
      <c r="AV70" s="72">
        <f t="shared" si="371"/>
        <v>0</v>
      </c>
      <c r="AW70" s="72">
        <f t="shared" si="372"/>
        <v>1</v>
      </c>
      <c r="AX70" s="72">
        <f t="shared" si="373"/>
        <v>0</v>
      </c>
      <c r="AY70" s="72">
        <f t="shared" si="374"/>
        <v>1</v>
      </c>
      <c r="AZ70" s="72">
        <f t="shared" si="375"/>
        <v>0</v>
      </c>
      <c r="BA70" s="72">
        <f t="shared" si="376"/>
        <v>0</v>
      </c>
      <c r="BB70" s="72">
        <f t="shared" si="377"/>
        <v>0</v>
      </c>
      <c r="BC70" s="72">
        <f t="shared" si="378"/>
        <v>0</v>
      </c>
      <c r="BD70" s="72">
        <f t="shared" si="379"/>
        <v>0</v>
      </c>
      <c r="BE70" s="72">
        <f t="shared" si="380"/>
        <v>0</v>
      </c>
      <c r="BF70" s="72">
        <f t="shared" si="381"/>
        <v>0</v>
      </c>
      <c r="BG70" s="72">
        <f t="shared" si="382"/>
        <v>0</v>
      </c>
      <c r="BH70" s="72">
        <f t="shared" si="383"/>
        <v>0</v>
      </c>
      <c r="BI70" s="72">
        <f t="shared" si="384"/>
        <v>0</v>
      </c>
      <c r="BJ70" s="72">
        <f t="shared" si="385"/>
        <v>0</v>
      </c>
      <c r="BK70" s="72">
        <f t="shared" si="386"/>
        <v>0</v>
      </c>
      <c r="BL70" s="72">
        <f t="shared" si="387"/>
        <v>0</v>
      </c>
      <c r="BM70" s="72">
        <f t="shared" si="388"/>
        <v>0</v>
      </c>
      <c r="BN70" s="72">
        <f t="shared" si="389"/>
        <v>0</v>
      </c>
      <c r="BO70" s="72">
        <f t="shared" si="390"/>
        <v>1</v>
      </c>
      <c r="BP70" s="72">
        <f t="shared" si="391"/>
        <v>0</v>
      </c>
      <c r="BQ70" s="72">
        <f t="shared" si="392"/>
        <v>0</v>
      </c>
      <c r="BR70" s="72">
        <f t="shared" si="393"/>
        <v>0</v>
      </c>
      <c r="BS70" s="72">
        <f t="shared" si="394"/>
        <v>0</v>
      </c>
      <c r="BT70" s="72">
        <f t="shared" si="395"/>
        <v>0</v>
      </c>
      <c r="BU70" s="72">
        <f t="shared" si="396"/>
        <v>0</v>
      </c>
      <c r="BW70">
        <f t="shared" si="397"/>
        <v>0</v>
      </c>
      <c r="BX70">
        <f t="shared" si="398"/>
        <v>1</v>
      </c>
      <c r="BY70">
        <f t="shared" si="399"/>
        <v>0</v>
      </c>
      <c r="BZ70">
        <f t="shared" si="400"/>
        <v>0</v>
      </c>
      <c r="CA70">
        <f t="shared" si="68"/>
        <v>0</v>
      </c>
      <c r="CB70">
        <f t="shared" si="69"/>
        <v>0</v>
      </c>
      <c r="CD70">
        <f t="shared" si="401"/>
        <v>0</v>
      </c>
      <c r="CE70">
        <f t="shared" si="402"/>
        <v>0</v>
      </c>
      <c r="CF70">
        <f t="shared" si="403"/>
        <v>0</v>
      </c>
      <c r="CG70">
        <f t="shared" si="404"/>
        <v>0</v>
      </c>
      <c r="CH70">
        <f t="shared" si="70"/>
        <v>0</v>
      </c>
      <c r="CI70">
        <f t="shared" si="71"/>
        <v>0</v>
      </c>
      <c r="CK70">
        <f t="shared" si="405"/>
        <v>0</v>
      </c>
      <c r="CL70">
        <f t="shared" si="406"/>
        <v>1</v>
      </c>
      <c r="CM70">
        <f t="shared" si="407"/>
        <v>0</v>
      </c>
      <c r="CN70">
        <f t="shared" si="408"/>
        <v>0</v>
      </c>
      <c r="CO70">
        <f t="shared" si="72"/>
        <v>0</v>
      </c>
      <c r="CP70">
        <f t="shared" si="73"/>
        <v>0</v>
      </c>
      <c r="CR70">
        <f t="shared" si="409"/>
        <v>1</v>
      </c>
      <c r="CS70">
        <f t="shared" si="410"/>
        <v>0</v>
      </c>
      <c r="CT70">
        <f t="shared" si="411"/>
        <v>0</v>
      </c>
      <c r="CU70">
        <f t="shared" si="412"/>
        <v>0</v>
      </c>
      <c r="CV70">
        <f t="shared" si="74"/>
        <v>0</v>
      </c>
      <c r="CW70">
        <f t="shared" si="75"/>
        <v>0</v>
      </c>
      <c r="CY70">
        <f t="shared" si="413"/>
        <v>1</v>
      </c>
      <c r="CZ70">
        <f t="shared" si="414"/>
        <v>1</v>
      </c>
      <c r="DA70">
        <f t="shared" si="415"/>
        <v>0</v>
      </c>
      <c r="DB70">
        <f t="shared" si="416"/>
        <v>0</v>
      </c>
      <c r="DC70">
        <f t="shared" si="76"/>
        <v>0</v>
      </c>
      <c r="DD70">
        <f t="shared" si="77"/>
        <v>0</v>
      </c>
      <c r="DF70" s="79">
        <f t="shared" si="417"/>
        <v>0</v>
      </c>
      <c r="DG70" s="79">
        <f t="shared" si="418"/>
        <v>0</v>
      </c>
      <c r="DH70">
        <f t="shared" si="124"/>
        <v>2</v>
      </c>
      <c r="DI70">
        <f t="shared" si="89"/>
        <v>0</v>
      </c>
      <c r="DK70" s="79">
        <f t="shared" si="419"/>
        <v>0</v>
      </c>
      <c r="DL70" s="79">
        <f t="shared" si="420"/>
        <v>0</v>
      </c>
      <c r="DM70">
        <f t="shared" ref="DM70:DN70" si="494">IF(DK70+DL70=0,DM69,(DM69+DK70)*DK70)</f>
        <v>2</v>
      </c>
      <c r="DN70">
        <f t="shared" si="494"/>
        <v>0</v>
      </c>
      <c r="DP70" s="79">
        <f t="shared" si="421"/>
        <v>0</v>
      </c>
      <c r="DQ70" s="79">
        <f t="shared" si="422"/>
        <v>0</v>
      </c>
      <c r="DR70">
        <f t="shared" ref="DR70:DS70" si="495">IF(DP70+DQ70=0,DR69,(DR69+DP70)*DP70)</f>
        <v>0</v>
      </c>
      <c r="DS70">
        <f t="shared" si="495"/>
        <v>1</v>
      </c>
      <c r="DU70" s="79">
        <f t="shared" si="423"/>
        <v>0</v>
      </c>
      <c r="DV70" s="79">
        <f t="shared" si="424"/>
        <v>0</v>
      </c>
      <c r="DW70">
        <f t="shared" ref="DW70:DX70" si="496">IF(DU70+DV70=0,DW69,(DW69+DU70)*DU70)</f>
        <v>0</v>
      </c>
      <c r="DX70">
        <f t="shared" si="496"/>
        <v>4</v>
      </c>
      <c r="DZ70" s="79">
        <f t="shared" si="425"/>
        <v>0</v>
      </c>
      <c r="EA70" s="79">
        <f t="shared" si="426"/>
        <v>0</v>
      </c>
      <c r="EB70">
        <f t="shared" ref="EB70:EC70" si="497">IF(DZ70+EA70=0,EB69,(EB69+DZ70)*DZ70)</f>
        <v>0</v>
      </c>
      <c r="EC70">
        <f t="shared" si="497"/>
        <v>2</v>
      </c>
    </row>
    <row r="71" spans="1:133">
      <c r="A71" s="29">
        <v>70</v>
      </c>
      <c r="B71" s="29" t="s">
        <v>23</v>
      </c>
      <c r="C71" s="29" t="s">
        <v>46</v>
      </c>
      <c r="D71" s="29" t="s">
        <v>17</v>
      </c>
      <c r="E71" s="29" t="s">
        <v>33</v>
      </c>
      <c r="F71" s="30"/>
      <c r="G71" s="29" t="s">
        <v>19</v>
      </c>
      <c r="H71" s="29" t="s">
        <v>31</v>
      </c>
      <c r="I71" s="29" t="s">
        <v>36</v>
      </c>
      <c r="J71" s="29" t="s">
        <v>38</v>
      </c>
      <c r="L71">
        <v>16</v>
      </c>
      <c r="M71" s="28" t="s">
        <v>91</v>
      </c>
      <c r="N71" s="28" t="s">
        <v>38</v>
      </c>
      <c r="O71" s="73">
        <f>COUNTIF($BL$2:$BL$212,2)</f>
        <v>1</v>
      </c>
      <c r="P71" s="43">
        <f>COUNTIF($BM$2:$BM$212,2)</f>
        <v>4</v>
      </c>
      <c r="Q71" s="44">
        <f t="shared" si="477"/>
        <v>0.2</v>
      </c>
      <c r="T71" s="69"/>
      <c r="U71" s="69"/>
      <c r="V71" s="69"/>
      <c r="W71" s="69"/>
      <c r="X71" s="69"/>
      <c r="Y71" s="69"/>
      <c r="Z71" s="69"/>
      <c r="AA71" s="69"/>
      <c r="AB71" s="69"/>
      <c r="AH71" s="72">
        <f t="shared" si="357"/>
        <v>0</v>
      </c>
      <c r="AI71" s="72">
        <f t="shared" si="358"/>
        <v>0</v>
      </c>
      <c r="AJ71" s="72">
        <f t="shared" si="359"/>
        <v>0</v>
      </c>
      <c r="AK71" s="72">
        <f t="shared" si="360"/>
        <v>0</v>
      </c>
      <c r="AL71" s="72">
        <f t="shared" si="361"/>
        <v>0</v>
      </c>
      <c r="AM71" s="72">
        <f t="shared" si="362"/>
        <v>0</v>
      </c>
      <c r="AN71" s="72">
        <f t="shared" si="363"/>
        <v>1</v>
      </c>
      <c r="AO71" s="72">
        <f t="shared" si="364"/>
        <v>0</v>
      </c>
      <c r="AP71" s="72">
        <f t="shared" si="365"/>
        <v>0</v>
      </c>
      <c r="AQ71" s="72">
        <f t="shared" si="366"/>
        <v>1</v>
      </c>
      <c r="AR71" s="72">
        <f t="shared" si="367"/>
        <v>0</v>
      </c>
      <c r="AS71" s="72">
        <f t="shared" si="368"/>
        <v>0</v>
      </c>
      <c r="AT71" s="72">
        <f t="shared" si="369"/>
        <v>1</v>
      </c>
      <c r="AU71" s="72">
        <f t="shared" si="370"/>
        <v>0</v>
      </c>
      <c r="AV71" s="72">
        <f t="shared" si="371"/>
        <v>1</v>
      </c>
      <c r="AW71" s="72">
        <f t="shared" si="372"/>
        <v>0</v>
      </c>
      <c r="AX71" s="72">
        <f t="shared" si="373"/>
        <v>0</v>
      </c>
      <c r="AY71" s="72">
        <f t="shared" si="374"/>
        <v>1</v>
      </c>
      <c r="AZ71" s="72">
        <f t="shared" si="375"/>
        <v>0</v>
      </c>
      <c r="BA71" s="72">
        <f t="shared" si="376"/>
        <v>0</v>
      </c>
      <c r="BB71" s="72">
        <f t="shared" si="377"/>
        <v>0</v>
      </c>
      <c r="BC71" s="72">
        <f t="shared" si="378"/>
        <v>0</v>
      </c>
      <c r="BD71" s="72">
        <f t="shared" si="379"/>
        <v>0</v>
      </c>
      <c r="BE71" s="72">
        <f t="shared" si="380"/>
        <v>0</v>
      </c>
      <c r="BF71" s="72">
        <f t="shared" si="381"/>
        <v>0</v>
      </c>
      <c r="BG71" s="72">
        <f t="shared" si="382"/>
        <v>0</v>
      </c>
      <c r="BH71" s="72">
        <f t="shared" si="383"/>
        <v>0</v>
      </c>
      <c r="BI71" s="72">
        <f t="shared" si="384"/>
        <v>0</v>
      </c>
      <c r="BJ71" s="72">
        <f t="shared" si="385"/>
        <v>0</v>
      </c>
      <c r="BK71" s="72">
        <f t="shared" si="386"/>
        <v>0</v>
      </c>
      <c r="BL71" s="72">
        <f t="shared" si="387"/>
        <v>0</v>
      </c>
      <c r="BM71" s="72">
        <f t="shared" si="388"/>
        <v>1</v>
      </c>
      <c r="BN71" s="72">
        <f t="shared" si="389"/>
        <v>0</v>
      </c>
      <c r="BO71" s="72">
        <f t="shared" si="390"/>
        <v>1</v>
      </c>
      <c r="BP71" s="72">
        <f t="shared" si="391"/>
        <v>0</v>
      </c>
      <c r="BQ71" s="72">
        <f t="shared" si="392"/>
        <v>0</v>
      </c>
      <c r="BR71" s="72">
        <f t="shared" si="393"/>
        <v>0</v>
      </c>
      <c r="BS71" s="72">
        <f t="shared" si="394"/>
        <v>0</v>
      </c>
      <c r="BT71" s="72">
        <f t="shared" si="395"/>
        <v>0</v>
      </c>
      <c r="BU71" s="72">
        <f t="shared" si="396"/>
        <v>0</v>
      </c>
      <c r="BW71">
        <f t="shared" si="397"/>
        <v>0</v>
      </c>
      <c r="BX71">
        <f t="shared" si="398"/>
        <v>0</v>
      </c>
      <c r="BY71">
        <f t="shared" si="399"/>
        <v>0</v>
      </c>
      <c r="BZ71">
        <f t="shared" si="400"/>
        <v>0</v>
      </c>
      <c r="CA71">
        <f t="shared" si="68"/>
        <v>0</v>
      </c>
      <c r="CB71">
        <f t="shared" si="69"/>
        <v>0</v>
      </c>
      <c r="CD71">
        <f t="shared" si="401"/>
        <v>0</v>
      </c>
      <c r="CE71">
        <f t="shared" si="402"/>
        <v>0</v>
      </c>
      <c r="CF71">
        <f t="shared" si="403"/>
        <v>0</v>
      </c>
      <c r="CG71">
        <f t="shared" si="404"/>
        <v>0</v>
      </c>
      <c r="CH71">
        <f t="shared" si="70"/>
        <v>0</v>
      </c>
      <c r="CI71">
        <f t="shared" si="71"/>
        <v>0</v>
      </c>
      <c r="CK71">
        <f t="shared" si="405"/>
        <v>0</v>
      </c>
      <c r="CL71">
        <f t="shared" si="406"/>
        <v>0</v>
      </c>
      <c r="CM71">
        <f t="shared" si="407"/>
        <v>0</v>
      </c>
      <c r="CN71">
        <f t="shared" si="408"/>
        <v>1</v>
      </c>
      <c r="CO71">
        <f t="shared" si="72"/>
        <v>0</v>
      </c>
      <c r="CP71">
        <f t="shared" si="73"/>
        <v>0</v>
      </c>
      <c r="CR71">
        <f t="shared" si="409"/>
        <v>1</v>
      </c>
      <c r="CS71">
        <f t="shared" si="410"/>
        <v>0</v>
      </c>
      <c r="CT71">
        <f t="shared" si="411"/>
        <v>0</v>
      </c>
      <c r="CU71">
        <f t="shared" si="412"/>
        <v>0</v>
      </c>
      <c r="CV71">
        <f t="shared" si="74"/>
        <v>0</v>
      </c>
      <c r="CW71">
        <f t="shared" si="75"/>
        <v>0</v>
      </c>
      <c r="CY71">
        <f t="shared" si="413"/>
        <v>1</v>
      </c>
      <c r="CZ71">
        <f t="shared" si="414"/>
        <v>0</v>
      </c>
      <c r="DA71">
        <f t="shared" si="415"/>
        <v>0</v>
      </c>
      <c r="DB71">
        <f t="shared" si="416"/>
        <v>0</v>
      </c>
      <c r="DC71">
        <f t="shared" si="76"/>
        <v>0</v>
      </c>
      <c r="DD71">
        <f t="shared" si="77"/>
        <v>0</v>
      </c>
      <c r="DF71" s="79">
        <f t="shared" si="417"/>
        <v>1</v>
      </c>
      <c r="DG71" s="79">
        <f t="shared" si="418"/>
        <v>0</v>
      </c>
      <c r="DH71">
        <f t="shared" si="124"/>
        <v>3</v>
      </c>
      <c r="DI71">
        <f t="shared" si="89"/>
        <v>0</v>
      </c>
      <c r="DK71" s="79">
        <f t="shared" si="419"/>
        <v>0</v>
      </c>
      <c r="DL71" s="79">
        <f t="shared" si="420"/>
        <v>0</v>
      </c>
      <c r="DM71">
        <f t="shared" ref="DM71:DN71" si="498">IF(DK71+DL71=0,DM70,(DM70+DK71)*DK71)</f>
        <v>2</v>
      </c>
      <c r="DN71">
        <f t="shared" si="498"/>
        <v>0</v>
      </c>
      <c r="DP71" s="79">
        <f t="shared" si="421"/>
        <v>0</v>
      </c>
      <c r="DQ71" s="79">
        <f t="shared" si="422"/>
        <v>0</v>
      </c>
      <c r="DR71">
        <f t="shared" ref="DR71:DS71" si="499">IF(DP71+DQ71=0,DR70,(DR70+DP71)*DP71)</f>
        <v>0</v>
      </c>
      <c r="DS71">
        <f t="shared" si="499"/>
        <v>1</v>
      </c>
      <c r="DU71" s="79">
        <f t="shared" si="423"/>
        <v>0</v>
      </c>
      <c r="DV71" s="79">
        <f t="shared" si="424"/>
        <v>0</v>
      </c>
      <c r="DW71">
        <f t="shared" ref="DW71:DX71" si="500">IF(DU71+DV71=0,DW70,(DW70+DU71)*DU71)</f>
        <v>0</v>
      </c>
      <c r="DX71">
        <f t="shared" si="500"/>
        <v>4</v>
      </c>
      <c r="DZ71" s="79">
        <f t="shared" si="425"/>
        <v>0</v>
      </c>
      <c r="EA71" s="79">
        <f t="shared" si="426"/>
        <v>0</v>
      </c>
      <c r="EB71">
        <f t="shared" ref="EB71:EC71" si="501">IF(DZ71+EA71=0,EB70,(EB70+DZ71)*DZ71)</f>
        <v>0</v>
      </c>
      <c r="EC71">
        <f t="shared" si="501"/>
        <v>2</v>
      </c>
    </row>
    <row r="72" spans="1:133">
      <c r="A72" s="29">
        <v>71</v>
      </c>
      <c r="B72" s="29" t="s">
        <v>17</v>
      </c>
      <c r="C72" s="29" t="s">
        <v>46</v>
      </c>
      <c r="D72" s="29" t="s">
        <v>28</v>
      </c>
      <c r="E72" s="29" t="s">
        <v>34</v>
      </c>
      <c r="F72" s="30"/>
      <c r="G72" s="29" t="s">
        <v>20</v>
      </c>
      <c r="H72" s="29" t="s">
        <v>40</v>
      </c>
      <c r="I72" s="29" t="s">
        <v>33</v>
      </c>
      <c r="J72" s="29" t="s">
        <v>44</v>
      </c>
      <c r="L72">
        <v>17</v>
      </c>
      <c r="M72" s="28" t="s">
        <v>91</v>
      </c>
      <c r="N72" s="28" t="s">
        <v>36</v>
      </c>
      <c r="O72" s="73">
        <f>COUNTIF($BN$2:$BN$212,2)</f>
        <v>1</v>
      </c>
      <c r="P72" s="43">
        <f>COUNTIF($BO$2:$BO$212,2)</f>
        <v>6</v>
      </c>
      <c r="Q72" s="44">
        <f t="shared" si="477"/>
        <v>0.14285714285714285</v>
      </c>
      <c r="T72" s="69"/>
      <c r="U72" s="69"/>
      <c r="V72" s="69"/>
      <c r="W72" s="69"/>
      <c r="X72" s="69"/>
      <c r="Y72" s="69"/>
      <c r="Z72" s="69"/>
      <c r="AA72" s="69"/>
      <c r="AB72" s="69"/>
      <c r="AH72" s="72">
        <f t="shared" si="357"/>
        <v>0</v>
      </c>
      <c r="AI72" s="72">
        <f t="shared" si="358"/>
        <v>1</v>
      </c>
      <c r="AJ72" s="72">
        <f t="shared" si="359"/>
        <v>0</v>
      </c>
      <c r="AK72" s="72">
        <f t="shared" si="360"/>
        <v>1</v>
      </c>
      <c r="AL72" s="72">
        <f t="shared" si="361"/>
        <v>0</v>
      </c>
      <c r="AM72" s="72">
        <f t="shared" si="362"/>
        <v>1</v>
      </c>
      <c r="AN72" s="72">
        <f t="shared" si="363"/>
        <v>1</v>
      </c>
      <c r="AO72" s="72">
        <f t="shared" si="364"/>
        <v>0</v>
      </c>
      <c r="AP72" s="72">
        <f t="shared" si="365"/>
        <v>0</v>
      </c>
      <c r="AQ72" s="72">
        <f t="shared" si="366"/>
        <v>0</v>
      </c>
      <c r="AR72" s="72">
        <f t="shared" si="367"/>
        <v>0</v>
      </c>
      <c r="AS72" s="72">
        <f t="shared" si="368"/>
        <v>0</v>
      </c>
      <c r="AT72" s="72">
        <f t="shared" si="369"/>
        <v>1</v>
      </c>
      <c r="AU72" s="72">
        <f t="shared" si="370"/>
        <v>0</v>
      </c>
      <c r="AV72" s="72">
        <f t="shared" si="371"/>
        <v>0</v>
      </c>
      <c r="AW72" s="72">
        <f t="shared" si="372"/>
        <v>1</v>
      </c>
      <c r="AX72" s="72">
        <f t="shared" si="373"/>
        <v>0</v>
      </c>
      <c r="AY72" s="72">
        <f t="shared" si="374"/>
        <v>0</v>
      </c>
      <c r="AZ72" s="72">
        <f t="shared" si="375"/>
        <v>0</v>
      </c>
      <c r="BA72" s="72">
        <f t="shared" si="376"/>
        <v>1</v>
      </c>
      <c r="BB72" s="72">
        <f t="shared" si="377"/>
        <v>0</v>
      </c>
      <c r="BC72" s="72">
        <f t="shared" si="378"/>
        <v>1</v>
      </c>
      <c r="BD72" s="72">
        <f t="shared" si="379"/>
        <v>1</v>
      </c>
      <c r="BE72" s="72">
        <f t="shared" si="380"/>
        <v>0</v>
      </c>
      <c r="BF72" s="72">
        <f t="shared" si="381"/>
        <v>0</v>
      </c>
      <c r="BG72" s="72">
        <f t="shared" si="382"/>
        <v>0</v>
      </c>
      <c r="BH72" s="72">
        <f t="shared" si="383"/>
        <v>0</v>
      </c>
      <c r="BI72" s="72">
        <f t="shared" si="384"/>
        <v>1</v>
      </c>
      <c r="BJ72" s="72">
        <f t="shared" si="385"/>
        <v>0</v>
      </c>
      <c r="BK72" s="72">
        <f t="shared" si="386"/>
        <v>0</v>
      </c>
      <c r="BL72" s="72">
        <f t="shared" si="387"/>
        <v>0</v>
      </c>
      <c r="BM72" s="72">
        <f t="shared" si="388"/>
        <v>0</v>
      </c>
      <c r="BN72" s="72">
        <f t="shared" si="389"/>
        <v>0</v>
      </c>
      <c r="BO72" s="72">
        <f t="shared" si="390"/>
        <v>0</v>
      </c>
      <c r="BP72" s="72">
        <f t="shared" si="391"/>
        <v>0</v>
      </c>
      <c r="BQ72" s="72">
        <f t="shared" si="392"/>
        <v>0</v>
      </c>
      <c r="BR72" s="72">
        <f t="shared" si="393"/>
        <v>0</v>
      </c>
      <c r="BS72" s="72">
        <f t="shared" si="394"/>
        <v>0</v>
      </c>
      <c r="BT72" s="72">
        <f t="shared" si="395"/>
        <v>0</v>
      </c>
      <c r="BU72" s="72">
        <f t="shared" si="396"/>
        <v>0</v>
      </c>
      <c r="BW72">
        <f t="shared" si="397"/>
        <v>0</v>
      </c>
      <c r="BX72">
        <f t="shared" si="398"/>
        <v>0</v>
      </c>
      <c r="BY72">
        <f t="shared" si="399"/>
        <v>0</v>
      </c>
      <c r="BZ72">
        <f t="shared" si="400"/>
        <v>0</v>
      </c>
      <c r="CA72">
        <f t="shared" si="68"/>
        <v>0</v>
      </c>
      <c r="CB72">
        <f t="shared" si="69"/>
        <v>0</v>
      </c>
      <c r="CD72">
        <f t="shared" si="401"/>
        <v>0</v>
      </c>
      <c r="CE72">
        <f t="shared" si="402"/>
        <v>0</v>
      </c>
      <c r="CF72">
        <f t="shared" si="403"/>
        <v>0</v>
      </c>
      <c r="CG72">
        <f t="shared" si="404"/>
        <v>1</v>
      </c>
      <c r="CH72">
        <f t="shared" si="70"/>
        <v>0</v>
      </c>
      <c r="CI72">
        <f t="shared" si="71"/>
        <v>0</v>
      </c>
      <c r="CK72">
        <f t="shared" si="405"/>
        <v>0</v>
      </c>
      <c r="CL72">
        <f t="shared" si="406"/>
        <v>0</v>
      </c>
      <c r="CM72">
        <f t="shared" si="407"/>
        <v>0</v>
      </c>
      <c r="CN72">
        <f t="shared" si="408"/>
        <v>0</v>
      </c>
      <c r="CO72">
        <f t="shared" si="72"/>
        <v>0</v>
      </c>
      <c r="CP72">
        <f t="shared" si="73"/>
        <v>0</v>
      </c>
      <c r="CR72">
        <f t="shared" si="409"/>
        <v>1</v>
      </c>
      <c r="CS72">
        <f t="shared" si="410"/>
        <v>1</v>
      </c>
      <c r="CT72">
        <f t="shared" si="411"/>
        <v>0</v>
      </c>
      <c r="CU72">
        <f t="shared" si="412"/>
        <v>0</v>
      </c>
      <c r="CV72">
        <f t="shared" si="74"/>
        <v>0</v>
      </c>
      <c r="CW72">
        <f t="shared" si="75"/>
        <v>0</v>
      </c>
      <c r="CY72">
        <f t="shared" si="413"/>
        <v>1</v>
      </c>
      <c r="CZ72">
        <f t="shared" si="414"/>
        <v>0</v>
      </c>
      <c r="DA72">
        <f t="shared" si="415"/>
        <v>0</v>
      </c>
      <c r="DB72">
        <f t="shared" si="416"/>
        <v>0</v>
      </c>
      <c r="DC72">
        <f t="shared" si="76"/>
        <v>0</v>
      </c>
      <c r="DD72">
        <f t="shared" si="77"/>
        <v>0</v>
      </c>
      <c r="DF72" s="79">
        <f t="shared" si="417"/>
        <v>0</v>
      </c>
      <c r="DG72" s="79">
        <f t="shared" si="418"/>
        <v>0</v>
      </c>
      <c r="DH72">
        <f t="shared" si="124"/>
        <v>3</v>
      </c>
      <c r="DI72">
        <f t="shared" si="89"/>
        <v>0</v>
      </c>
      <c r="DK72" s="79">
        <f t="shared" si="419"/>
        <v>0</v>
      </c>
      <c r="DL72" s="79">
        <f t="shared" si="420"/>
        <v>1</v>
      </c>
      <c r="DM72">
        <f t="shared" ref="DM72:DN72" si="502">IF(DK72+DL72=0,DM71,(DM71+DK72)*DK72)</f>
        <v>0</v>
      </c>
      <c r="DN72">
        <f t="shared" si="502"/>
        <v>1</v>
      </c>
      <c r="DP72" s="79">
        <f t="shared" si="421"/>
        <v>0</v>
      </c>
      <c r="DQ72" s="79">
        <f t="shared" si="422"/>
        <v>0</v>
      </c>
      <c r="DR72">
        <f t="shared" ref="DR72:DS72" si="503">IF(DP72+DQ72=0,DR71,(DR71+DP72)*DP72)</f>
        <v>0</v>
      </c>
      <c r="DS72">
        <f t="shared" si="503"/>
        <v>1</v>
      </c>
      <c r="DU72" s="79">
        <f t="shared" si="423"/>
        <v>0</v>
      </c>
      <c r="DV72" s="79">
        <f t="shared" si="424"/>
        <v>0</v>
      </c>
      <c r="DW72">
        <f t="shared" ref="DW72:DX72" si="504">IF(DU72+DV72=0,DW71,(DW71+DU72)*DU72)</f>
        <v>0</v>
      </c>
      <c r="DX72">
        <f t="shared" si="504"/>
        <v>4</v>
      </c>
      <c r="DZ72" s="79">
        <f t="shared" si="425"/>
        <v>0</v>
      </c>
      <c r="EA72" s="79">
        <f t="shared" si="426"/>
        <v>1</v>
      </c>
      <c r="EB72">
        <f t="shared" ref="EB72:EC72" si="505">IF(DZ72+EA72=0,EB71,(EB71+DZ72)*DZ72)</f>
        <v>0</v>
      </c>
      <c r="EC72">
        <f t="shared" si="505"/>
        <v>3</v>
      </c>
    </row>
    <row r="73" spans="1:133">
      <c r="A73" s="29">
        <v>72</v>
      </c>
      <c r="B73" s="29" t="s">
        <v>40</v>
      </c>
      <c r="C73" s="29" t="s">
        <v>23</v>
      </c>
      <c r="D73" s="29" t="s">
        <v>44</v>
      </c>
      <c r="E73" s="29" t="s">
        <v>33</v>
      </c>
      <c r="F73" s="30"/>
      <c r="G73" s="29" t="s">
        <v>28</v>
      </c>
      <c r="H73" s="29" t="s">
        <v>20</v>
      </c>
      <c r="I73" s="29" t="s">
        <v>17</v>
      </c>
      <c r="J73" s="29" t="s">
        <v>34</v>
      </c>
      <c r="L73">
        <v>18</v>
      </c>
      <c r="M73" s="28" t="s">
        <v>91</v>
      </c>
      <c r="N73" s="28" t="s">
        <v>18</v>
      </c>
      <c r="O73" s="73">
        <f>COUNTIF($BP$2:$BP$212,2)</f>
        <v>0</v>
      </c>
      <c r="P73" s="43">
        <f>COUNTIF($BQ$2:$BQ$212,2)</f>
        <v>2</v>
      </c>
      <c r="Q73" s="44">
        <f t="shared" si="477"/>
        <v>0</v>
      </c>
      <c r="AH73" s="72">
        <f t="shared" si="357"/>
        <v>1</v>
      </c>
      <c r="AI73" s="72">
        <f t="shared" si="358"/>
        <v>0</v>
      </c>
      <c r="AJ73" s="72">
        <f t="shared" si="359"/>
        <v>1</v>
      </c>
      <c r="AK73" s="72">
        <f t="shared" si="360"/>
        <v>0</v>
      </c>
      <c r="AL73" s="72">
        <f t="shared" si="361"/>
        <v>1</v>
      </c>
      <c r="AM73" s="72">
        <f t="shared" si="362"/>
        <v>0</v>
      </c>
      <c r="AN73" s="72">
        <f t="shared" si="363"/>
        <v>0</v>
      </c>
      <c r="AO73" s="72">
        <f t="shared" si="364"/>
        <v>1</v>
      </c>
      <c r="AP73" s="72">
        <f t="shared" si="365"/>
        <v>0</v>
      </c>
      <c r="AQ73" s="72">
        <f t="shared" si="366"/>
        <v>0</v>
      </c>
      <c r="AR73" s="72">
        <f t="shared" si="367"/>
        <v>0</v>
      </c>
      <c r="AS73" s="72">
        <f t="shared" si="368"/>
        <v>0</v>
      </c>
      <c r="AT73" s="72">
        <f t="shared" si="369"/>
        <v>0</v>
      </c>
      <c r="AU73" s="72">
        <f t="shared" si="370"/>
        <v>0</v>
      </c>
      <c r="AV73" s="72">
        <f t="shared" si="371"/>
        <v>1</v>
      </c>
      <c r="AW73" s="72">
        <f t="shared" si="372"/>
        <v>0</v>
      </c>
      <c r="AX73" s="72">
        <f t="shared" si="373"/>
        <v>0</v>
      </c>
      <c r="AY73" s="72">
        <f t="shared" si="374"/>
        <v>0</v>
      </c>
      <c r="AZ73" s="72">
        <f t="shared" si="375"/>
        <v>0</v>
      </c>
      <c r="BA73" s="72">
        <f t="shared" si="376"/>
        <v>1</v>
      </c>
      <c r="BB73" s="72">
        <f t="shared" si="377"/>
        <v>1</v>
      </c>
      <c r="BC73" s="72">
        <f t="shared" si="378"/>
        <v>0</v>
      </c>
      <c r="BD73" s="72">
        <f t="shared" si="379"/>
        <v>0</v>
      </c>
      <c r="BE73" s="72">
        <f t="shared" si="380"/>
        <v>1</v>
      </c>
      <c r="BF73" s="72">
        <f t="shared" si="381"/>
        <v>0</v>
      </c>
      <c r="BG73" s="72">
        <f t="shared" si="382"/>
        <v>0</v>
      </c>
      <c r="BH73" s="72">
        <f t="shared" si="383"/>
        <v>1</v>
      </c>
      <c r="BI73" s="72">
        <f t="shared" si="384"/>
        <v>0</v>
      </c>
      <c r="BJ73" s="72">
        <f t="shared" si="385"/>
        <v>0</v>
      </c>
      <c r="BK73" s="72">
        <f t="shared" si="386"/>
        <v>0</v>
      </c>
      <c r="BL73" s="72">
        <f t="shared" si="387"/>
        <v>0</v>
      </c>
      <c r="BM73" s="72">
        <f t="shared" si="388"/>
        <v>0</v>
      </c>
      <c r="BN73" s="72">
        <f t="shared" si="389"/>
        <v>0</v>
      </c>
      <c r="BO73" s="72">
        <f t="shared" si="390"/>
        <v>0</v>
      </c>
      <c r="BP73" s="72">
        <f t="shared" si="391"/>
        <v>0</v>
      </c>
      <c r="BQ73" s="72">
        <f t="shared" si="392"/>
        <v>0</v>
      </c>
      <c r="BR73" s="72">
        <f t="shared" si="393"/>
        <v>0</v>
      </c>
      <c r="BS73" s="72">
        <f t="shared" si="394"/>
        <v>0</v>
      </c>
      <c r="BT73" s="72">
        <f t="shared" si="395"/>
        <v>0</v>
      </c>
      <c r="BU73" s="72">
        <f t="shared" si="396"/>
        <v>0</v>
      </c>
      <c r="BW73">
        <f t="shared" si="397"/>
        <v>0</v>
      </c>
      <c r="BX73">
        <f t="shared" si="398"/>
        <v>0</v>
      </c>
      <c r="BY73">
        <f t="shared" si="399"/>
        <v>0</v>
      </c>
      <c r="BZ73">
        <f t="shared" si="400"/>
        <v>0</v>
      </c>
      <c r="CA73">
        <f t="shared" si="68"/>
        <v>0</v>
      </c>
      <c r="CB73">
        <f t="shared" si="69"/>
        <v>0</v>
      </c>
      <c r="CD73">
        <f t="shared" si="401"/>
        <v>0</v>
      </c>
      <c r="CE73">
        <f t="shared" si="402"/>
        <v>1</v>
      </c>
      <c r="CF73">
        <f t="shared" si="403"/>
        <v>0</v>
      </c>
      <c r="CG73">
        <f t="shared" si="404"/>
        <v>0</v>
      </c>
      <c r="CH73">
        <f t="shared" si="70"/>
        <v>0</v>
      </c>
      <c r="CI73">
        <f t="shared" si="71"/>
        <v>0</v>
      </c>
      <c r="CK73">
        <f t="shared" si="405"/>
        <v>0</v>
      </c>
      <c r="CL73">
        <f t="shared" si="406"/>
        <v>0</v>
      </c>
      <c r="CM73">
        <f t="shared" si="407"/>
        <v>0</v>
      </c>
      <c r="CN73">
        <f t="shared" si="408"/>
        <v>0</v>
      </c>
      <c r="CO73">
        <f t="shared" si="72"/>
        <v>0</v>
      </c>
      <c r="CP73">
        <f t="shared" si="73"/>
        <v>0</v>
      </c>
      <c r="CR73">
        <f t="shared" si="409"/>
        <v>0</v>
      </c>
      <c r="CS73">
        <f t="shared" si="410"/>
        <v>0</v>
      </c>
      <c r="CT73">
        <f t="shared" si="411"/>
        <v>1</v>
      </c>
      <c r="CU73">
        <f t="shared" si="412"/>
        <v>1</v>
      </c>
      <c r="CV73">
        <f t="shared" si="74"/>
        <v>0</v>
      </c>
      <c r="CW73">
        <f t="shared" si="75"/>
        <v>0</v>
      </c>
      <c r="CY73">
        <f t="shared" si="413"/>
        <v>0</v>
      </c>
      <c r="CZ73">
        <f t="shared" si="414"/>
        <v>0</v>
      </c>
      <c r="DA73">
        <f t="shared" si="415"/>
        <v>1</v>
      </c>
      <c r="DB73">
        <f t="shared" si="416"/>
        <v>0</v>
      </c>
      <c r="DC73">
        <f t="shared" si="76"/>
        <v>0</v>
      </c>
      <c r="DD73">
        <f t="shared" si="77"/>
        <v>0</v>
      </c>
      <c r="DF73" s="79">
        <f t="shared" si="417"/>
        <v>1</v>
      </c>
      <c r="DG73" s="79">
        <f t="shared" si="418"/>
        <v>0</v>
      </c>
      <c r="DH73">
        <f t="shared" si="124"/>
        <v>4</v>
      </c>
      <c r="DI73">
        <f t="shared" si="89"/>
        <v>0</v>
      </c>
      <c r="DK73" s="79">
        <f t="shared" si="419"/>
        <v>0</v>
      </c>
      <c r="DL73" s="79">
        <f t="shared" si="420"/>
        <v>1</v>
      </c>
      <c r="DM73">
        <f t="shared" ref="DM73:DN73" si="506">IF(DK73+DL73=0,DM72,(DM72+DK73)*DK73)</f>
        <v>0</v>
      </c>
      <c r="DN73">
        <f t="shared" si="506"/>
        <v>2</v>
      </c>
      <c r="DP73" s="79">
        <f t="shared" si="421"/>
        <v>0</v>
      </c>
      <c r="DQ73" s="79">
        <f t="shared" si="422"/>
        <v>0</v>
      </c>
      <c r="DR73">
        <f t="shared" ref="DR73:DS73" si="507">IF(DP73+DQ73=0,DR72,(DR72+DP73)*DP73)</f>
        <v>0</v>
      </c>
      <c r="DS73">
        <f t="shared" si="507"/>
        <v>1</v>
      </c>
      <c r="DU73" s="79">
        <f t="shared" si="423"/>
        <v>0</v>
      </c>
      <c r="DV73" s="79">
        <f t="shared" si="424"/>
        <v>0</v>
      </c>
      <c r="DW73">
        <f t="shared" ref="DW73:DX73" si="508">IF(DU73+DV73=0,DW72,(DW72+DU73)*DU73)</f>
        <v>0</v>
      </c>
      <c r="DX73">
        <f t="shared" si="508"/>
        <v>4</v>
      </c>
      <c r="DZ73" s="79">
        <f t="shared" si="425"/>
        <v>1</v>
      </c>
      <c r="EA73" s="79">
        <f t="shared" si="426"/>
        <v>0</v>
      </c>
      <c r="EB73">
        <f t="shared" ref="EB73:EC73" si="509">IF(DZ73+EA73=0,EB72,(EB72+DZ73)*DZ73)</f>
        <v>1</v>
      </c>
      <c r="EC73">
        <f t="shared" si="509"/>
        <v>0</v>
      </c>
    </row>
    <row r="74" spans="1:133">
      <c r="A74" s="29">
        <v>73</v>
      </c>
      <c r="B74" s="29" t="s">
        <v>28</v>
      </c>
      <c r="C74" s="29" t="s">
        <v>23</v>
      </c>
      <c r="D74" s="29" t="s">
        <v>44</v>
      </c>
      <c r="E74" s="29" t="s">
        <v>47</v>
      </c>
      <c r="F74" s="30"/>
      <c r="G74" s="29" t="s">
        <v>20</v>
      </c>
      <c r="H74" s="29" t="s">
        <v>31</v>
      </c>
      <c r="I74" s="29" t="s">
        <v>40</v>
      </c>
      <c r="J74" s="29" t="s">
        <v>34</v>
      </c>
      <c r="L74">
        <v>19</v>
      </c>
      <c r="M74" s="28" t="s">
        <v>91</v>
      </c>
      <c r="N74" s="28" t="s">
        <v>37</v>
      </c>
      <c r="O74" s="73">
        <f>COUNTIF($BR$2:$BR$212,2)</f>
        <v>0</v>
      </c>
      <c r="P74" s="43">
        <f>COUNTIF($BS$2:$BS$212,2)</f>
        <v>3</v>
      </c>
      <c r="Q74" s="44">
        <f t="shared" si="477"/>
        <v>0</v>
      </c>
      <c r="AH74" s="72">
        <f t="shared" si="357"/>
        <v>2</v>
      </c>
      <c r="AI74" s="72">
        <f t="shared" si="358"/>
        <v>0</v>
      </c>
      <c r="AJ74" s="72">
        <f t="shared" si="359"/>
        <v>2</v>
      </c>
      <c r="AK74" s="72">
        <f t="shared" si="360"/>
        <v>0</v>
      </c>
      <c r="AL74" s="72">
        <f t="shared" si="361"/>
        <v>1</v>
      </c>
      <c r="AM74" s="72">
        <f t="shared" si="362"/>
        <v>0</v>
      </c>
      <c r="AN74" s="72">
        <f t="shared" si="363"/>
        <v>0</v>
      </c>
      <c r="AO74" s="72">
        <f t="shared" si="364"/>
        <v>0</v>
      </c>
      <c r="AP74" s="72">
        <f t="shared" si="365"/>
        <v>0</v>
      </c>
      <c r="AQ74" s="72">
        <f t="shared" si="366"/>
        <v>1</v>
      </c>
      <c r="AR74" s="72">
        <f t="shared" si="367"/>
        <v>0</v>
      </c>
      <c r="AS74" s="72">
        <f t="shared" si="368"/>
        <v>0</v>
      </c>
      <c r="AT74" s="72">
        <f t="shared" si="369"/>
        <v>0</v>
      </c>
      <c r="AU74" s="72">
        <f t="shared" si="370"/>
        <v>0</v>
      </c>
      <c r="AV74" s="72">
        <f t="shared" si="371"/>
        <v>0</v>
      </c>
      <c r="AW74" s="72">
        <f t="shared" si="372"/>
        <v>0</v>
      </c>
      <c r="AX74" s="72">
        <f t="shared" si="373"/>
        <v>0</v>
      </c>
      <c r="AY74" s="72">
        <f t="shared" si="374"/>
        <v>0</v>
      </c>
      <c r="AZ74" s="72">
        <f t="shared" si="375"/>
        <v>0</v>
      </c>
      <c r="BA74" s="72">
        <f t="shared" si="376"/>
        <v>1</v>
      </c>
      <c r="BB74" s="72">
        <f t="shared" si="377"/>
        <v>1</v>
      </c>
      <c r="BC74" s="72">
        <f t="shared" si="378"/>
        <v>0</v>
      </c>
      <c r="BD74" s="72">
        <f t="shared" si="379"/>
        <v>0</v>
      </c>
      <c r="BE74" s="72">
        <f t="shared" si="380"/>
        <v>1</v>
      </c>
      <c r="BF74" s="72">
        <f t="shared" si="381"/>
        <v>0</v>
      </c>
      <c r="BG74" s="72">
        <f t="shared" si="382"/>
        <v>0</v>
      </c>
      <c r="BH74" s="72">
        <f t="shared" si="383"/>
        <v>0</v>
      </c>
      <c r="BI74" s="72">
        <f t="shared" si="384"/>
        <v>1</v>
      </c>
      <c r="BJ74" s="72">
        <f t="shared" si="385"/>
        <v>1</v>
      </c>
      <c r="BK74" s="72">
        <f t="shared" si="386"/>
        <v>0</v>
      </c>
      <c r="BL74" s="72">
        <f t="shared" si="387"/>
        <v>0</v>
      </c>
      <c r="BM74" s="72">
        <f t="shared" si="388"/>
        <v>0</v>
      </c>
      <c r="BN74" s="72">
        <f t="shared" si="389"/>
        <v>0</v>
      </c>
      <c r="BO74" s="72">
        <f t="shared" si="390"/>
        <v>0</v>
      </c>
      <c r="BP74" s="72">
        <f t="shared" si="391"/>
        <v>0</v>
      </c>
      <c r="BQ74" s="72">
        <f t="shared" si="392"/>
        <v>0</v>
      </c>
      <c r="BR74" s="72">
        <f t="shared" si="393"/>
        <v>0</v>
      </c>
      <c r="BS74" s="72">
        <f t="shared" si="394"/>
        <v>0</v>
      </c>
      <c r="BT74" s="72">
        <f t="shared" si="395"/>
        <v>0</v>
      </c>
      <c r="BU74" s="72">
        <f t="shared" si="396"/>
        <v>0</v>
      </c>
      <c r="BW74">
        <f t="shared" si="397"/>
        <v>1</v>
      </c>
      <c r="BX74">
        <f t="shared" si="398"/>
        <v>0</v>
      </c>
      <c r="BY74">
        <f t="shared" si="399"/>
        <v>0</v>
      </c>
      <c r="BZ74">
        <f t="shared" si="400"/>
        <v>0</v>
      </c>
      <c r="CA74">
        <f t="shared" si="68"/>
        <v>0</v>
      </c>
      <c r="CB74">
        <f t="shared" si="69"/>
        <v>0</v>
      </c>
      <c r="CD74">
        <f t="shared" si="401"/>
        <v>1</v>
      </c>
      <c r="CE74">
        <f t="shared" si="402"/>
        <v>1</v>
      </c>
      <c r="CF74">
        <f t="shared" si="403"/>
        <v>0</v>
      </c>
      <c r="CG74">
        <f t="shared" si="404"/>
        <v>0</v>
      </c>
      <c r="CH74">
        <f t="shared" si="70"/>
        <v>0</v>
      </c>
      <c r="CI74">
        <f t="shared" si="71"/>
        <v>0</v>
      </c>
      <c r="CK74">
        <f t="shared" si="405"/>
        <v>1</v>
      </c>
      <c r="CL74">
        <f t="shared" si="406"/>
        <v>0</v>
      </c>
      <c r="CM74">
        <f t="shared" si="407"/>
        <v>0</v>
      </c>
      <c r="CN74">
        <f t="shared" si="408"/>
        <v>1</v>
      </c>
      <c r="CO74">
        <f t="shared" si="72"/>
        <v>1</v>
      </c>
      <c r="CP74">
        <f t="shared" si="73"/>
        <v>0</v>
      </c>
      <c r="CR74">
        <f t="shared" si="409"/>
        <v>0</v>
      </c>
      <c r="CS74">
        <f t="shared" si="410"/>
        <v>0</v>
      </c>
      <c r="CT74">
        <f t="shared" si="411"/>
        <v>0</v>
      </c>
      <c r="CU74">
        <f t="shared" si="412"/>
        <v>1</v>
      </c>
      <c r="CV74">
        <f t="shared" si="74"/>
        <v>0</v>
      </c>
      <c r="CW74">
        <f t="shared" si="75"/>
        <v>0</v>
      </c>
      <c r="CY74">
        <f t="shared" si="413"/>
        <v>0</v>
      </c>
      <c r="CZ74">
        <f t="shared" si="414"/>
        <v>0</v>
      </c>
      <c r="DA74">
        <f t="shared" si="415"/>
        <v>0</v>
      </c>
      <c r="DB74">
        <f t="shared" si="416"/>
        <v>0</v>
      </c>
      <c r="DC74">
        <f t="shared" si="76"/>
        <v>0</v>
      </c>
      <c r="DD74">
        <f t="shared" si="77"/>
        <v>0</v>
      </c>
      <c r="DF74" s="79">
        <f t="shared" si="417"/>
        <v>1</v>
      </c>
      <c r="DG74" s="79">
        <f t="shared" si="418"/>
        <v>0</v>
      </c>
      <c r="DH74">
        <f t="shared" si="124"/>
        <v>5</v>
      </c>
      <c r="DI74">
        <f t="shared" si="89"/>
        <v>0</v>
      </c>
      <c r="DK74" s="79">
        <f t="shared" si="419"/>
        <v>0</v>
      </c>
      <c r="DL74" s="79">
        <f t="shared" si="420"/>
        <v>1</v>
      </c>
      <c r="DM74">
        <f t="shared" ref="DM74:DN74" si="510">IF(DK74+DL74=0,DM73,(DM73+DK74)*DK74)</f>
        <v>0</v>
      </c>
      <c r="DN74">
        <f t="shared" si="510"/>
        <v>3</v>
      </c>
      <c r="DP74" s="79">
        <f t="shared" si="421"/>
        <v>0</v>
      </c>
      <c r="DQ74" s="79">
        <f t="shared" si="422"/>
        <v>0</v>
      </c>
      <c r="DR74">
        <f t="shared" ref="DR74:DS74" si="511">IF(DP74+DQ74=0,DR73,(DR73+DP74)*DP74)</f>
        <v>0</v>
      </c>
      <c r="DS74">
        <f t="shared" si="511"/>
        <v>1</v>
      </c>
      <c r="DU74" s="79">
        <f t="shared" si="423"/>
        <v>0</v>
      </c>
      <c r="DV74" s="79">
        <f t="shared" si="424"/>
        <v>0</v>
      </c>
      <c r="DW74">
        <f t="shared" ref="DW74:DX74" si="512">IF(DU74+DV74=0,DW73,(DW73+DU74)*DU74)</f>
        <v>0</v>
      </c>
      <c r="DX74">
        <f t="shared" si="512"/>
        <v>4</v>
      </c>
      <c r="DZ74" s="79">
        <f t="shared" si="425"/>
        <v>0</v>
      </c>
      <c r="EA74" s="79">
        <f t="shared" si="426"/>
        <v>1</v>
      </c>
      <c r="EB74">
        <f t="shared" ref="EB74:EC74" si="513">IF(DZ74+EA74=0,EB73,(EB73+DZ74)*DZ74)</f>
        <v>0</v>
      </c>
      <c r="EC74">
        <f t="shared" si="513"/>
        <v>1</v>
      </c>
    </row>
    <row r="75" spans="1:133">
      <c r="A75" s="29">
        <v>74</v>
      </c>
      <c r="B75" s="29" t="s">
        <v>28</v>
      </c>
      <c r="C75" s="29" t="s">
        <v>31</v>
      </c>
      <c r="D75" s="29" t="s">
        <v>23</v>
      </c>
      <c r="E75" s="29" t="s">
        <v>47</v>
      </c>
      <c r="F75" s="30"/>
      <c r="G75" s="29" t="s">
        <v>34</v>
      </c>
      <c r="H75" s="29" t="s">
        <v>40</v>
      </c>
      <c r="I75" s="29" t="s">
        <v>44</v>
      </c>
      <c r="J75" s="29" t="s">
        <v>20</v>
      </c>
      <c r="L75">
        <v>20</v>
      </c>
      <c r="M75" s="28"/>
      <c r="N75" s="28"/>
      <c r="O75" s="73">
        <f>COUNTIF($BT$2:$BT$212,2)</f>
        <v>0</v>
      </c>
      <c r="P75" s="43">
        <f>COUNTIF($BU$2:$BU$212,2)</f>
        <v>0</v>
      </c>
      <c r="Q75" s="44" t="str">
        <f t="shared" si="477"/>
        <v>-</v>
      </c>
      <c r="AH75" s="72">
        <f t="shared" si="357"/>
        <v>1</v>
      </c>
      <c r="AI75" s="72">
        <f t="shared" si="358"/>
        <v>1</v>
      </c>
      <c r="AJ75" s="72">
        <f t="shared" si="359"/>
        <v>1</v>
      </c>
      <c r="AK75" s="72">
        <f t="shared" si="360"/>
        <v>1</v>
      </c>
      <c r="AL75" s="72">
        <f t="shared" si="361"/>
        <v>0</v>
      </c>
      <c r="AM75" s="72">
        <f t="shared" si="362"/>
        <v>1</v>
      </c>
      <c r="AN75" s="72">
        <f t="shared" si="363"/>
        <v>0</v>
      </c>
      <c r="AO75" s="72">
        <f t="shared" si="364"/>
        <v>0</v>
      </c>
      <c r="AP75" s="72">
        <f t="shared" si="365"/>
        <v>1</v>
      </c>
      <c r="AQ75" s="72">
        <f t="shared" si="366"/>
        <v>0</v>
      </c>
      <c r="AR75" s="72">
        <f t="shared" si="367"/>
        <v>0</v>
      </c>
      <c r="AS75" s="72">
        <f t="shared" si="368"/>
        <v>0</v>
      </c>
      <c r="AT75" s="72">
        <f t="shared" si="369"/>
        <v>0</v>
      </c>
      <c r="AU75" s="72">
        <f t="shared" si="370"/>
        <v>0</v>
      </c>
      <c r="AV75" s="72">
        <f t="shared" si="371"/>
        <v>0</v>
      </c>
      <c r="AW75" s="72">
        <f t="shared" si="372"/>
        <v>0</v>
      </c>
      <c r="AX75" s="72">
        <f t="shared" si="373"/>
        <v>0</v>
      </c>
      <c r="AY75" s="72">
        <f t="shared" si="374"/>
        <v>0</v>
      </c>
      <c r="AZ75" s="72">
        <f t="shared" si="375"/>
        <v>0</v>
      </c>
      <c r="BA75" s="72">
        <f t="shared" si="376"/>
        <v>1</v>
      </c>
      <c r="BB75" s="72">
        <f t="shared" si="377"/>
        <v>0</v>
      </c>
      <c r="BC75" s="72">
        <f t="shared" si="378"/>
        <v>1</v>
      </c>
      <c r="BD75" s="72">
        <f t="shared" si="379"/>
        <v>0</v>
      </c>
      <c r="BE75" s="72">
        <f t="shared" si="380"/>
        <v>1</v>
      </c>
      <c r="BF75" s="72">
        <f t="shared" si="381"/>
        <v>0</v>
      </c>
      <c r="BG75" s="72">
        <f t="shared" si="382"/>
        <v>0</v>
      </c>
      <c r="BH75" s="72">
        <f t="shared" si="383"/>
        <v>0</v>
      </c>
      <c r="BI75" s="72">
        <f t="shared" si="384"/>
        <v>1</v>
      </c>
      <c r="BJ75" s="72">
        <f t="shared" si="385"/>
        <v>1</v>
      </c>
      <c r="BK75" s="72">
        <f t="shared" si="386"/>
        <v>0</v>
      </c>
      <c r="BL75" s="72">
        <f t="shared" si="387"/>
        <v>0</v>
      </c>
      <c r="BM75" s="72">
        <f t="shared" si="388"/>
        <v>0</v>
      </c>
      <c r="BN75" s="72">
        <f t="shared" si="389"/>
        <v>0</v>
      </c>
      <c r="BO75" s="72">
        <f t="shared" si="390"/>
        <v>0</v>
      </c>
      <c r="BP75" s="72">
        <f t="shared" si="391"/>
        <v>0</v>
      </c>
      <c r="BQ75" s="72">
        <f t="shared" si="392"/>
        <v>0</v>
      </c>
      <c r="BR75" s="72">
        <f t="shared" si="393"/>
        <v>0</v>
      </c>
      <c r="BS75" s="72">
        <f t="shared" si="394"/>
        <v>0</v>
      </c>
      <c r="BT75" s="72">
        <f t="shared" si="395"/>
        <v>0</v>
      </c>
      <c r="BU75" s="72">
        <f t="shared" si="396"/>
        <v>0</v>
      </c>
      <c r="BW75">
        <f t="shared" si="397"/>
        <v>1</v>
      </c>
      <c r="BX75">
        <f t="shared" si="398"/>
        <v>0</v>
      </c>
      <c r="BY75">
        <f t="shared" si="399"/>
        <v>0</v>
      </c>
      <c r="BZ75">
        <f t="shared" si="400"/>
        <v>0</v>
      </c>
      <c r="CA75">
        <f t="shared" si="68"/>
        <v>0</v>
      </c>
      <c r="CB75">
        <f t="shared" si="69"/>
        <v>0</v>
      </c>
      <c r="CD75">
        <f t="shared" si="401"/>
        <v>1</v>
      </c>
      <c r="CE75">
        <f t="shared" si="402"/>
        <v>0</v>
      </c>
      <c r="CF75">
        <f t="shared" si="403"/>
        <v>0</v>
      </c>
      <c r="CG75">
        <f t="shared" si="404"/>
        <v>1</v>
      </c>
      <c r="CH75">
        <f t="shared" si="70"/>
        <v>1</v>
      </c>
      <c r="CI75">
        <f t="shared" si="71"/>
        <v>0</v>
      </c>
      <c r="CK75">
        <f t="shared" si="405"/>
        <v>1</v>
      </c>
      <c r="CL75">
        <f t="shared" si="406"/>
        <v>1</v>
      </c>
      <c r="CM75">
        <f t="shared" si="407"/>
        <v>0</v>
      </c>
      <c r="CN75">
        <f t="shared" si="408"/>
        <v>0</v>
      </c>
      <c r="CO75">
        <f t="shared" si="72"/>
        <v>0</v>
      </c>
      <c r="CP75">
        <f t="shared" si="73"/>
        <v>0</v>
      </c>
      <c r="CR75">
        <f t="shared" si="409"/>
        <v>0</v>
      </c>
      <c r="CS75">
        <f t="shared" si="410"/>
        <v>0</v>
      </c>
      <c r="CT75">
        <f t="shared" si="411"/>
        <v>0</v>
      </c>
      <c r="CU75">
        <f t="shared" si="412"/>
        <v>1</v>
      </c>
      <c r="CV75">
        <f t="shared" si="74"/>
        <v>0</v>
      </c>
      <c r="CW75">
        <f t="shared" si="75"/>
        <v>0</v>
      </c>
      <c r="CY75">
        <f t="shared" si="413"/>
        <v>0</v>
      </c>
      <c r="CZ75">
        <f t="shared" si="414"/>
        <v>0</v>
      </c>
      <c r="DA75">
        <f t="shared" si="415"/>
        <v>0</v>
      </c>
      <c r="DB75">
        <f t="shared" si="416"/>
        <v>0</v>
      </c>
      <c r="DC75">
        <f t="shared" si="76"/>
        <v>0</v>
      </c>
      <c r="DD75">
        <f t="shared" si="77"/>
        <v>0</v>
      </c>
      <c r="DF75" s="79">
        <f t="shared" si="417"/>
        <v>1</v>
      </c>
      <c r="DG75" s="79">
        <f t="shared" si="418"/>
        <v>0</v>
      </c>
      <c r="DH75">
        <f t="shared" si="124"/>
        <v>6</v>
      </c>
      <c r="DI75">
        <f t="shared" si="89"/>
        <v>0</v>
      </c>
      <c r="DK75" s="79">
        <f t="shared" si="419"/>
        <v>0</v>
      </c>
      <c r="DL75" s="79">
        <f t="shared" si="420"/>
        <v>1</v>
      </c>
      <c r="DM75">
        <f t="shared" ref="DM75:DN75" si="514">IF(DK75+DL75=0,DM74,(DM74+DK75)*DK75)</f>
        <v>0</v>
      </c>
      <c r="DN75">
        <f t="shared" si="514"/>
        <v>4</v>
      </c>
      <c r="DP75" s="79">
        <f t="shared" si="421"/>
        <v>0</v>
      </c>
      <c r="DQ75" s="79">
        <f t="shared" si="422"/>
        <v>0</v>
      </c>
      <c r="DR75">
        <f t="shared" ref="DR75:DS75" si="515">IF(DP75+DQ75=0,DR74,(DR74+DP75)*DP75)</f>
        <v>0</v>
      </c>
      <c r="DS75">
        <f t="shared" si="515"/>
        <v>1</v>
      </c>
      <c r="DU75" s="79">
        <f t="shared" si="423"/>
        <v>0</v>
      </c>
      <c r="DV75" s="79">
        <f t="shared" si="424"/>
        <v>0</v>
      </c>
      <c r="DW75">
        <f t="shared" ref="DW75:DX75" si="516">IF(DU75+DV75=0,DW74,(DW74+DU75)*DU75)</f>
        <v>0</v>
      </c>
      <c r="DX75">
        <f t="shared" si="516"/>
        <v>4</v>
      </c>
      <c r="DZ75" s="79">
        <f t="shared" si="425"/>
        <v>0</v>
      </c>
      <c r="EA75" s="79">
        <f t="shared" si="426"/>
        <v>1</v>
      </c>
      <c r="EB75">
        <f t="shared" ref="EB75:EC75" si="517">IF(DZ75+EA75=0,EB74,(EB74+DZ75)*DZ75)</f>
        <v>0</v>
      </c>
      <c r="EC75">
        <f t="shared" si="517"/>
        <v>2</v>
      </c>
    </row>
    <row r="76" spans="1:133">
      <c r="A76" s="29">
        <v>75</v>
      </c>
      <c r="B76" s="29" t="s">
        <v>20</v>
      </c>
      <c r="C76" s="29" t="s">
        <v>23</v>
      </c>
      <c r="D76" s="29" t="s">
        <v>40</v>
      </c>
      <c r="E76" s="29" t="s">
        <v>47</v>
      </c>
      <c r="F76" s="30"/>
      <c r="G76" s="29" t="s">
        <v>33</v>
      </c>
      <c r="H76" s="29" t="s">
        <v>31</v>
      </c>
      <c r="I76" s="29" t="s">
        <v>36</v>
      </c>
      <c r="J76" s="29" t="s">
        <v>44</v>
      </c>
      <c r="AH76" s="72">
        <f t="shared" si="357"/>
        <v>1</v>
      </c>
      <c r="AI76" s="72">
        <f t="shared" si="358"/>
        <v>1</v>
      </c>
      <c r="AJ76" s="72">
        <f t="shared" si="359"/>
        <v>1</v>
      </c>
      <c r="AK76" s="72">
        <f t="shared" si="360"/>
        <v>1</v>
      </c>
      <c r="AL76" s="72">
        <f t="shared" si="361"/>
        <v>0</v>
      </c>
      <c r="AM76" s="72">
        <f t="shared" si="362"/>
        <v>1</v>
      </c>
      <c r="AN76" s="72">
        <f t="shared" si="363"/>
        <v>0</v>
      </c>
      <c r="AO76" s="72">
        <f t="shared" si="364"/>
        <v>0</v>
      </c>
      <c r="AP76" s="72">
        <f t="shared" si="365"/>
        <v>0</v>
      </c>
      <c r="AQ76" s="72">
        <f t="shared" si="366"/>
        <v>1</v>
      </c>
      <c r="AR76" s="72">
        <f t="shared" si="367"/>
        <v>0</v>
      </c>
      <c r="AS76" s="72">
        <f t="shared" si="368"/>
        <v>0</v>
      </c>
      <c r="AT76" s="72">
        <f t="shared" si="369"/>
        <v>0</v>
      </c>
      <c r="AU76" s="72">
        <f t="shared" si="370"/>
        <v>0</v>
      </c>
      <c r="AV76" s="72">
        <f t="shared" si="371"/>
        <v>0</v>
      </c>
      <c r="AW76" s="72">
        <f t="shared" si="372"/>
        <v>1</v>
      </c>
      <c r="AX76" s="72">
        <f t="shared" si="373"/>
        <v>0</v>
      </c>
      <c r="AY76" s="72">
        <f t="shared" si="374"/>
        <v>0</v>
      </c>
      <c r="AZ76" s="72">
        <f t="shared" si="375"/>
        <v>1</v>
      </c>
      <c r="BA76" s="72">
        <f t="shared" si="376"/>
        <v>0</v>
      </c>
      <c r="BB76" s="72">
        <f t="shared" si="377"/>
        <v>0</v>
      </c>
      <c r="BC76" s="72">
        <f t="shared" si="378"/>
        <v>1</v>
      </c>
      <c r="BD76" s="72">
        <f t="shared" si="379"/>
        <v>0</v>
      </c>
      <c r="BE76" s="72">
        <f t="shared" si="380"/>
        <v>0</v>
      </c>
      <c r="BF76" s="72">
        <f t="shared" si="381"/>
        <v>0</v>
      </c>
      <c r="BG76" s="72">
        <f t="shared" si="382"/>
        <v>0</v>
      </c>
      <c r="BH76" s="72">
        <f t="shared" si="383"/>
        <v>1</v>
      </c>
      <c r="BI76" s="72">
        <f t="shared" si="384"/>
        <v>0</v>
      </c>
      <c r="BJ76" s="72">
        <f t="shared" si="385"/>
        <v>1</v>
      </c>
      <c r="BK76" s="72">
        <f t="shared" si="386"/>
        <v>0</v>
      </c>
      <c r="BL76" s="72">
        <f t="shared" si="387"/>
        <v>0</v>
      </c>
      <c r="BM76" s="72">
        <f t="shared" si="388"/>
        <v>0</v>
      </c>
      <c r="BN76" s="72">
        <f t="shared" si="389"/>
        <v>0</v>
      </c>
      <c r="BO76" s="72">
        <f t="shared" si="390"/>
        <v>1</v>
      </c>
      <c r="BP76" s="72">
        <f t="shared" si="391"/>
        <v>0</v>
      </c>
      <c r="BQ76" s="72">
        <f t="shared" si="392"/>
        <v>0</v>
      </c>
      <c r="BR76" s="72">
        <f t="shared" si="393"/>
        <v>0</v>
      </c>
      <c r="BS76" s="72">
        <f t="shared" si="394"/>
        <v>0</v>
      </c>
      <c r="BT76" s="72">
        <f t="shared" si="395"/>
        <v>0</v>
      </c>
      <c r="BU76" s="72">
        <f t="shared" si="396"/>
        <v>0</v>
      </c>
      <c r="BW76">
        <f t="shared" si="397"/>
        <v>1</v>
      </c>
      <c r="BX76">
        <f t="shared" si="398"/>
        <v>0</v>
      </c>
      <c r="BY76">
        <f t="shared" si="399"/>
        <v>0</v>
      </c>
      <c r="BZ76">
        <f t="shared" si="400"/>
        <v>0</v>
      </c>
      <c r="CA76">
        <f t="shared" si="68"/>
        <v>0</v>
      </c>
      <c r="CB76">
        <f t="shared" si="69"/>
        <v>0</v>
      </c>
      <c r="CD76">
        <f t="shared" si="401"/>
        <v>1</v>
      </c>
      <c r="CE76">
        <f t="shared" si="402"/>
        <v>0</v>
      </c>
      <c r="CF76">
        <f t="shared" si="403"/>
        <v>0</v>
      </c>
      <c r="CG76">
        <f t="shared" si="404"/>
        <v>1</v>
      </c>
      <c r="CH76">
        <f t="shared" si="70"/>
        <v>1</v>
      </c>
      <c r="CI76">
        <f t="shared" si="71"/>
        <v>0</v>
      </c>
      <c r="CK76">
        <f t="shared" si="405"/>
        <v>1</v>
      </c>
      <c r="CL76">
        <f t="shared" si="406"/>
        <v>0</v>
      </c>
      <c r="CM76">
        <f t="shared" si="407"/>
        <v>0</v>
      </c>
      <c r="CN76">
        <f t="shared" si="408"/>
        <v>1</v>
      </c>
      <c r="CO76">
        <f t="shared" si="72"/>
        <v>1</v>
      </c>
      <c r="CP76">
        <f t="shared" si="73"/>
        <v>0</v>
      </c>
      <c r="CR76">
        <f t="shared" si="409"/>
        <v>0</v>
      </c>
      <c r="CS76">
        <f t="shared" si="410"/>
        <v>0</v>
      </c>
      <c r="CT76">
        <f t="shared" si="411"/>
        <v>0</v>
      </c>
      <c r="CU76">
        <f t="shared" si="412"/>
        <v>0</v>
      </c>
      <c r="CV76">
        <f t="shared" si="74"/>
        <v>0</v>
      </c>
      <c r="CW76">
        <f t="shared" si="75"/>
        <v>0</v>
      </c>
      <c r="CY76">
        <f t="shared" si="413"/>
        <v>0</v>
      </c>
      <c r="CZ76">
        <f t="shared" si="414"/>
        <v>0</v>
      </c>
      <c r="DA76">
        <f t="shared" si="415"/>
        <v>0</v>
      </c>
      <c r="DB76">
        <f t="shared" si="416"/>
        <v>0</v>
      </c>
      <c r="DC76">
        <f t="shared" si="76"/>
        <v>0</v>
      </c>
      <c r="DD76">
        <f t="shared" si="77"/>
        <v>0</v>
      </c>
      <c r="DF76" s="79">
        <f t="shared" si="417"/>
        <v>1</v>
      </c>
      <c r="DG76" s="79">
        <f t="shared" si="418"/>
        <v>0</v>
      </c>
      <c r="DH76">
        <f t="shared" si="124"/>
        <v>7</v>
      </c>
      <c r="DI76">
        <f t="shared" si="89"/>
        <v>0</v>
      </c>
      <c r="DK76" s="79">
        <f t="shared" si="419"/>
        <v>1</v>
      </c>
      <c r="DL76" s="79">
        <f t="shared" si="420"/>
        <v>0</v>
      </c>
      <c r="DM76">
        <f t="shared" ref="DM76:DN76" si="518">IF(DK76+DL76=0,DM75,(DM75+DK76)*DK76)</f>
        <v>1</v>
      </c>
      <c r="DN76">
        <f t="shared" si="518"/>
        <v>0</v>
      </c>
      <c r="DP76" s="79">
        <f t="shared" si="421"/>
        <v>0</v>
      </c>
      <c r="DQ76" s="79">
        <f t="shared" si="422"/>
        <v>0</v>
      </c>
      <c r="DR76">
        <f t="shared" ref="DR76:DS76" si="519">IF(DP76+DQ76=0,DR75,(DR75+DP76)*DP76)</f>
        <v>0</v>
      </c>
      <c r="DS76">
        <f t="shared" si="519"/>
        <v>1</v>
      </c>
      <c r="DU76" s="79">
        <f t="shared" si="423"/>
        <v>0</v>
      </c>
      <c r="DV76" s="79">
        <f t="shared" si="424"/>
        <v>0</v>
      </c>
      <c r="DW76">
        <f t="shared" ref="DW76:DX76" si="520">IF(DU76+DV76=0,DW75,(DW75+DU76)*DU76)</f>
        <v>0</v>
      </c>
      <c r="DX76">
        <f t="shared" si="520"/>
        <v>4</v>
      </c>
      <c r="DZ76" s="79">
        <f t="shared" si="425"/>
        <v>1</v>
      </c>
      <c r="EA76" s="79">
        <f t="shared" si="426"/>
        <v>0</v>
      </c>
      <c r="EB76">
        <f t="shared" ref="EB76:EC76" si="521">IF(DZ76+EA76=0,EB75,(EB75+DZ76)*DZ76)</f>
        <v>1</v>
      </c>
      <c r="EC76">
        <f t="shared" si="521"/>
        <v>0</v>
      </c>
    </row>
    <row r="77" spans="1:133">
      <c r="A77" s="29">
        <v>76</v>
      </c>
      <c r="B77" s="29" t="s">
        <v>32</v>
      </c>
      <c r="C77" s="29" t="s">
        <v>23</v>
      </c>
      <c r="D77" s="29" t="s">
        <v>17</v>
      </c>
      <c r="E77" s="29" t="s">
        <v>26</v>
      </c>
      <c r="F77" s="30"/>
      <c r="G77" s="29" t="s">
        <v>42</v>
      </c>
      <c r="H77" s="29" t="s">
        <v>46</v>
      </c>
      <c r="I77" s="29" t="s">
        <v>40</v>
      </c>
      <c r="J77" s="29" t="s">
        <v>33</v>
      </c>
      <c r="AH77" s="72">
        <f t="shared" si="357"/>
        <v>0</v>
      </c>
      <c r="AI77" s="72">
        <f t="shared" si="358"/>
        <v>0</v>
      </c>
      <c r="AJ77" s="72">
        <f t="shared" si="359"/>
        <v>0</v>
      </c>
      <c r="AK77" s="72">
        <f t="shared" si="360"/>
        <v>0</v>
      </c>
      <c r="AL77" s="72">
        <f t="shared" si="361"/>
        <v>1</v>
      </c>
      <c r="AM77" s="72">
        <f t="shared" si="362"/>
        <v>0</v>
      </c>
      <c r="AN77" s="72">
        <f t="shared" si="363"/>
        <v>2</v>
      </c>
      <c r="AO77" s="72">
        <f t="shared" si="364"/>
        <v>0</v>
      </c>
      <c r="AP77" s="72">
        <f t="shared" si="365"/>
        <v>1</v>
      </c>
      <c r="AQ77" s="72">
        <f t="shared" si="366"/>
        <v>0</v>
      </c>
      <c r="AR77" s="72">
        <f t="shared" si="367"/>
        <v>2</v>
      </c>
      <c r="AS77" s="72">
        <f t="shared" si="368"/>
        <v>0</v>
      </c>
      <c r="AT77" s="72">
        <f t="shared" si="369"/>
        <v>1</v>
      </c>
      <c r="AU77" s="72">
        <f t="shared" si="370"/>
        <v>1</v>
      </c>
      <c r="AV77" s="72">
        <f t="shared" si="371"/>
        <v>1</v>
      </c>
      <c r="AW77" s="72">
        <f t="shared" si="372"/>
        <v>1</v>
      </c>
      <c r="AX77" s="72">
        <f t="shared" si="373"/>
        <v>1</v>
      </c>
      <c r="AY77" s="72">
        <f t="shared" si="374"/>
        <v>0</v>
      </c>
      <c r="AZ77" s="72">
        <f t="shared" si="375"/>
        <v>1</v>
      </c>
      <c r="BA77" s="72">
        <f t="shared" si="376"/>
        <v>0</v>
      </c>
      <c r="BB77" s="72">
        <f t="shared" si="377"/>
        <v>1</v>
      </c>
      <c r="BC77" s="72">
        <f t="shared" si="378"/>
        <v>0</v>
      </c>
      <c r="BD77" s="72">
        <f t="shared" si="379"/>
        <v>1</v>
      </c>
      <c r="BE77" s="72">
        <f t="shared" si="380"/>
        <v>0</v>
      </c>
      <c r="BF77" s="72">
        <f t="shared" si="381"/>
        <v>1</v>
      </c>
      <c r="BG77" s="72">
        <f t="shared" si="382"/>
        <v>0</v>
      </c>
      <c r="BH77" s="72">
        <f t="shared" si="383"/>
        <v>1</v>
      </c>
      <c r="BI77" s="72">
        <f t="shared" si="384"/>
        <v>1</v>
      </c>
      <c r="BJ77" s="72">
        <f t="shared" si="385"/>
        <v>1</v>
      </c>
      <c r="BK77" s="72">
        <f t="shared" si="386"/>
        <v>0</v>
      </c>
      <c r="BL77" s="72">
        <f t="shared" si="387"/>
        <v>1</v>
      </c>
      <c r="BM77" s="72">
        <f t="shared" si="388"/>
        <v>0</v>
      </c>
      <c r="BN77" s="72">
        <f t="shared" si="389"/>
        <v>1</v>
      </c>
      <c r="BO77" s="72">
        <f t="shared" si="390"/>
        <v>0</v>
      </c>
      <c r="BP77" s="72">
        <f t="shared" si="391"/>
        <v>1</v>
      </c>
      <c r="BQ77" s="72">
        <f t="shared" si="392"/>
        <v>0</v>
      </c>
      <c r="BR77" s="72">
        <f t="shared" si="393"/>
        <v>1</v>
      </c>
      <c r="BS77" s="72">
        <f t="shared" si="394"/>
        <v>0</v>
      </c>
      <c r="BT77" s="72">
        <f t="shared" si="395"/>
        <v>0</v>
      </c>
      <c r="BU77" s="72">
        <f t="shared" si="396"/>
        <v>0</v>
      </c>
      <c r="BW77">
        <f t="shared" si="397"/>
        <v>0</v>
      </c>
      <c r="BX77">
        <f t="shared" si="398"/>
        <v>1</v>
      </c>
      <c r="BY77">
        <f t="shared" si="399"/>
        <v>0</v>
      </c>
      <c r="BZ77">
        <f t="shared" si="400"/>
        <v>0</v>
      </c>
      <c r="CA77">
        <f t="shared" si="68"/>
        <v>0</v>
      </c>
      <c r="CB77">
        <f t="shared" si="69"/>
        <v>0</v>
      </c>
      <c r="CD77">
        <f t="shared" si="401"/>
        <v>0</v>
      </c>
      <c r="CE77">
        <f t="shared" si="402"/>
        <v>0</v>
      </c>
      <c r="CF77">
        <f t="shared" si="403"/>
        <v>0</v>
      </c>
      <c r="CG77">
        <f t="shared" si="404"/>
        <v>0</v>
      </c>
      <c r="CH77">
        <f t="shared" si="70"/>
        <v>0</v>
      </c>
      <c r="CI77">
        <f t="shared" si="71"/>
        <v>0</v>
      </c>
      <c r="CK77">
        <f t="shared" si="405"/>
        <v>0</v>
      </c>
      <c r="CL77">
        <f t="shared" si="406"/>
        <v>0</v>
      </c>
      <c r="CM77">
        <f t="shared" si="407"/>
        <v>0</v>
      </c>
      <c r="CN77">
        <f t="shared" si="408"/>
        <v>0</v>
      </c>
      <c r="CO77">
        <f t="shared" si="72"/>
        <v>0</v>
      </c>
      <c r="CP77">
        <f t="shared" si="73"/>
        <v>0</v>
      </c>
      <c r="CR77">
        <f t="shared" si="409"/>
        <v>1</v>
      </c>
      <c r="CS77">
        <f t="shared" si="410"/>
        <v>0</v>
      </c>
      <c r="CT77">
        <f t="shared" si="411"/>
        <v>0</v>
      </c>
      <c r="CU77">
        <f t="shared" si="412"/>
        <v>0</v>
      </c>
      <c r="CV77">
        <f t="shared" si="74"/>
        <v>0</v>
      </c>
      <c r="CW77">
        <f t="shared" si="75"/>
        <v>0</v>
      </c>
      <c r="CY77">
        <f t="shared" si="413"/>
        <v>1</v>
      </c>
      <c r="CZ77">
        <f t="shared" si="414"/>
        <v>1</v>
      </c>
      <c r="DA77">
        <f t="shared" si="415"/>
        <v>0</v>
      </c>
      <c r="DB77">
        <f t="shared" si="416"/>
        <v>0</v>
      </c>
      <c r="DC77">
        <f t="shared" si="76"/>
        <v>0</v>
      </c>
      <c r="DD77">
        <f t="shared" si="77"/>
        <v>0</v>
      </c>
      <c r="DF77" s="79">
        <f t="shared" si="417"/>
        <v>1</v>
      </c>
      <c r="DG77" s="79">
        <f t="shared" si="418"/>
        <v>0</v>
      </c>
      <c r="DH77">
        <f t="shared" si="124"/>
        <v>8</v>
      </c>
      <c r="DI77">
        <f t="shared" si="89"/>
        <v>0</v>
      </c>
      <c r="DK77" s="79">
        <f t="shared" si="419"/>
        <v>0</v>
      </c>
      <c r="DL77" s="79">
        <f t="shared" si="420"/>
        <v>0</v>
      </c>
      <c r="DM77">
        <f t="shared" ref="DM77:DN77" si="522">IF(DK77+DL77=0,DM76,(DM76+DK77)*DK77)</f>
        <v>1</v>
      </c>
      <c r="DN77">
        <f t="shared" si="522"/>
        <v>0</v>
      </c>
      <c r="DP77" s="79">
        <f t="shared" si="421"/>
        <v>0</v>
      </c>
      <c r="DQ77" s="79">
        <f t="shared" si="422"/>
        <v>0</v>
      </c>
      <c r="DR77">
        <f t="shared" ref="DR77:DS77" si="523">IF(DP77+DQ77=0,DR76,(DR76+DP77)*DP77)</f>
        <v>0</v>
      </c>
      <c r="DS77">
        <f t="shared" si="523"/>
        <v>1</v>
      </c>
      <c r="DU77" s="79">
        <f t="shared" si="423"/>
        <v>1</v>
      </c>
      <c r="DV77" s="79">
        <f t="shared" si="424"/>
        <v>0</v>
      </c>
      <c r="DW77">
        <f t="shared" ref="DW77:DX77" si="524">IF(DU77+DV77=0,DW76,(DW76+DU77)*DU77)</f>
        <v>1</v>
      </c>
      <c r="DX77">
        <f t="shared" si="524"/>
        <v>0</v>
      </c>
      <c r="DZ77" s="79">
        <f t="shared" si="425"/>
        <v>0</v>
      </c>
      <c r="EA77" s="79">
        <f t="shared" si="426"/>
        <v>1</v>
      </c>
      <c r="EB77">
        <f t="shared" ref="EB77:EC77" si="525">IF(DZ77+EA77=0,EB76,(EB76+DZ77)*DZ77)</f>
        <v>0</v>
      </c>
      <c r="EC77">
        <f t="shared" si="525"/>
        <v>1</v>
      </c>
    </row>
    <row r="78" spans="1:133">
      <c r="A78" s="29">
        <v>77</v>
      </c>
      <c r="B78" s="29" t="s">
        <v>32</v>
      </c>
      <c r="C78" s="29" t="s">
        <v>23</v>
      </c>
      <c r="D78" s="29" t="s">
        <v>40</v>
      </c>
      <c r="E78" s="29" t="s">
        <v>17</v>
      </c>
      <c r="F78" s="30"/>
      <c r="G78" s="29" t="s">
        <v>42</v>
      </c>
      <c r="H78" s="29" t="s">
        <v>46</v>
      </c>
      <c r="I78" s="29" t="s">
        <v>33</v>
      </c>
      <c r="J78" s="29" t="s">
        <v>26</v>
      </c>
      <c r="AH78" s="72">
        <f t="shared" si="357"/>
        <v>0</v>
      </c>
      <c r="AI78" s="72">
        <f t="shared" si="358"/>
        <v>0</v>
      </c>
      <c r="AJ78" s="72">
        <f t="shared" si="359"/>
        <v>0</v>
      </c>
      <c r="AK78" s="72">
        <f t="shared" si="360"/>
        <v>0</v>
      </c>
      <c r="AL78" s="72">
        <f t="shared" si="361"/>
        <v>0</v>
      </c>
      <c r="AM78" s="72">
        <f t="shared" si="362"/>
        <v>1</v>
      </c>
      <c r="AN78" s="72">
        <f t="shared" si="363"/>
        <v>1</v>
      </c>
      <c r="AO78" s="72">
        <f t="shared" si="364"/>
        <v>1</v>
      </c>
      <c r="AP78" s="72">
        <f t="shared" si="365"/>
        <v>0</v>
      </c>
      <c r="AQ78" s="72">
        <f t="shared" si="366"/>
        <v>1</v>
      </c>
      <c r="AR78" s="72">
        <f t="shared" si="367"/>
        <v>1</v>
      </c>
      <c r="AS78" s="72">
        <f t="shared" si="368"/>
        <v>1</v>
      </c>
      <c r="AT78" s="72">
        <f t="shared" si="369"/>
        <v>0</v>
      </c>
      <c r="AU78" s="72">
        <f t="shared" si="370"/>
        <v>2</v>
      </c>
      <c r="AV78" s="72">
        <f t="shared" si="371"/>
        <v>0</v>
      </c>
      <c r="AW78" s="72">
        <f t="shared" si="372"/>
        <v>2</v>
      </c>
      <c r="AX78" s="72">
        <f t="shared" si="373"/>
        <v>0</v>
      </c>
      <c r="AY78" s="72">
        <f t="shared" si="374"/>
        <v>1</v>
      </c>
      <c r="AZ78" s="72">
        <f t="shared" si="375"/>
        <v>0</v>
      </c>
      <c r="BA78" s="72">
        <f t="shared" si="376"/>
        <v>1</v>
      </c>
      <c r="BB78" s="72">
        <f t="shared" si="377"/>
        <v>0</v>
      </c>
      <c r="BC78" s="72">
        <f t="shared" si="378"/>
        <v>1</v>
      </c>
      <c r="BD78" s="72">
        <f t="shared" si="379"/>
        <v>0</v>
      </c>
      <c r="BE78" s="72">
        <f t="shared" si="380"/>
        <v>1</v>
      </c>
      <c r="BF78" s="72">
        <f t="shared" si="381"/>
        <v>0</v>
      </c>
      <c r="BG78" s="72">
        <f t="shared" si="382"/>
        <v>1</v>
      </c>
      <c r="BH78" s="72">
        <f t="shared" si="383"/>
        <v>1</v>
      </c>
      <c r="BI78" s="72">
        <f t="shared" si="384"/>
        <v>1</v>
      </c>
      <c r="BJ78" s="72">
        <f t="shared" si="385"/>
        <v>0</v>
      </c>
      <c r="BK78" s="72">
        <f t="shared" si="386"/>
        <v>1</v>
      </c>
      <c r="BL78" s="72">
        <f t="shared" si="387"/>
        <v>0</v>
      </c>
      <c r="BM78" s="72">
        <f t="shared" si="388"/>
        <v>1</v>
      </c>
      <c r="BN78" s="72">
        <f t="shared" si="389"/>
        <v>0</v>
      </c>
      <c r="BO78" s="72">
        <f t="shared" si="390"/>
        <v>1</v>
      </c>
      <c r="BP78" s="72">
        <f t="shared" si="391"/>
        <v>0</v>
      </c>
      <c r="BQ78" s="72">
        <f t="shared" si="392"/>
        <v>1</v>
      </c>
      <c r="BR78" s="72">
        <f t="shared" si="393"/>
        <v>0</v>
      </c>
      <c r="BS78" s="72">
        <f t="shared" si="394"/>
        <v>1</v>
      </c>
      <c r="BT78" s="72">
        <f t="shared" si="395"/>
        <v>0</v>
      </c>
      <c r="BU78" s="72">
        <f t="shared" si="396"/>
        <v>0</v>
      </c>
      <c r="BW78">
        <f t="shared" si="397"/>
        <v>0</v>
      </c>
      <c r="BX78">
        <f t="shared" si="398"/>
        <v>1</v>
      </c>
      <c r="BY78">
        <f t="shared" si="399"/>
        <v>0</v>
      </c>
      <c r="BZ78">
        <f t="shared" si="400"/>
        <v>0</v>
      </c>
      <c r="CA78">
        <f t="shared" si="68"/>
        <v>0</v>
      </c>
      <c r="CB78">
        <f t="shared" si="69"/>
        <v>0</v>
      </c>
      <c r="CD78">
        <f t="shared" si="401"/>
        <v>0</v>
      </c>
      <c r="CE78">
        <f t="shared" si="402"/>
        <v>0</v>
      </c>
      <c r="CF78">
        <f t="shared" si="403"/>
        <v>0</v>
      </c>
      <c r="CG78">
        <f t="shared" si="404"/>
        <v>0</v>
      </c>
      <c r="CH78">
        <f t="shared" si="70"/>
        <v>0</v>
      </c>
      <c r="CI78">
        <f t="shared" si="71"/>
        <v>0</v>
      </c>
      <c r="CK78">
        <f t="shared" si="405"/>
        <v>0</v>
      </c>
      <c r="CL78">
        <f t="shared" si="406"/>
        <v>0</v>
      </c>
      <c r="CM78">
        <f t="shared" si="407"/>
        <v>0</v>
      </c>
      <c r="CN78">
        <f t="shared" si="408"/>
        <v>0</v>
      </c>
      <c r="CO78">
        <f t="shared" si="72"/>
        <v>0</v>
      </c>
      <c r="CP78">
        <f t="shared" si="73"/>
        <v>0</v>
      </c>
      <c r="CR78">
        <f t="shared" si="409"/>
        <v>1</v>
      </c>
      <c r="CS78">
        <f t="shared" si="410"/>
        <v>0</v>
      </c>
      <c r="CT78">
        <f t="shared" si="411"/>
        <v>0</v>
      </c>
      <c r="CU78">
        <f t="shared" si="412"/>
        <v>0</v>
      </c>
      <c r="CV78">
        <f t="shared" si="74"/>
        <v>0</v>
      </c>
      <c r="CW78">
        <f t="shared" si="75"/>
        <v>0</v>
      </c>
      <c r="CY78">
        <f t="shared" si="413"/>
        <v>1</v>
      </c>
      <c r="CZ78">
        <f t="shared" si="414"/>
        <v>1</v>
      </c>
      <c r="DA78">
        <f t="shared" si="415"/>
        <v>0</v>
      </c>
      <c r="DB78">
        <f t="shared" si="416"/>
        <v>0</v>
      </c>
      <c r="DC78">
        <f t="shared" si="76"/>
        <v>0</v>
      </c>
      <c r="DD78">
        <f t="shared" si="77"/>
        <v>0</v>
      </c>
      <c r="DF78" s="79">
        <f t="shared" si="417"/>
        <v>1</v>
      </c>
      <c r="DG78" s="79">
        <f t="shared" si="418"/>
        <v>0</v>
      </c>
      <c r="DH78">
        <f t="shared" si="124"/>
        <v>9</v>
      </c>
      <c r="DI78">
        <f t="shared" si="89"/>
        <v>0</v>
      </c>
      <c r="DK78" s="79">
        <f t="shared" si="419"/>
        <v>0</v>
      </c>
      <c r="DL78" s="79">
        <f t="shared" si="420"/>
        <v>0</v>
      </c>
      <c r="DM78">
        <f t="shared" ref="DM78:DN78" si="526">IF(DK78+DL78=0,DM77,(DM77+DK78)*DK78)</f>
        <v>1</v>
      </c>
      <c r="DN78">
        <f t="shared" si="526"/>
        <v>0</v>
      </c>
      <c r="DP78" s="79">
        <f t="shared" si="421"/>
        <v>0</v>
      </c>
      <c r="DQ78" s="79">
        <f t="shared" si="422"/>
        <v>0</v>
      </c>
      <c r="DR78">
        <f t="shared" ref="DR78:DS78" si="527">IF(DP78+DQ78=0,DR77,(DR77+DP78)*DP78)</f>
        <v>0</v>
      </c>
      <c r="DS78">
        <f t="shared" si="527"/>
        <v>1</v>
      </c>
      <c r="DU78" s="79">
        <f t="shared" si="423"/>
        <v>0</v>
      </c>
      <c r="DV78" s="79">
        <f t="shared" si="424"/>
        <v>1</v>
      </c>
      <c r="DW78">
        <f t="shared" ref="DW78:DX78" si="528">IF(DU78+DV78=0,DW77,(DW77+DU78)*DU78)</f>
        <v>0</v>
      </c>
      <c r="DX78">
        <f t="shared" si="528"/>
        <v>1</v>
      </c>
      <c r="DZ78" s="79">
        <f t="shared" si="425"/>
        <v>1</v>
      </c>
      <c r="EA78" s="79">
        <f t="shared" si="426"/>
        <v>0</v>
      </c>
      <c r="EB78">
        <f t="shared" ref="EB78:EC78" si="529">IF(DZ78+EA78=0,EB77,(EB77+DZ78)*DZ78)</f>
        <v>1</v>
      </c>
      <c r="EC78">
        <f t="shared" si="529"/>
        <v>0</v>
      </c>
    </row>
    <row r="79" spans="1:133">
      <c r="A79" s="29">
        <v>78</v>
      </c>
      <c r="B79" s="29" t="s">
        <v>26</v>
      </c>
      <c r="C79" s="29" t="s">
        <v>321</v>
      </c>
      <c r="D79" s="29" t="s">
        <v>31</v>
      </c>
      <c r="E79" s="29" t="s">
        <v>28</v>
      </c>
      <c r="F79" s="30"/>
      <c r="G79" s="29" t="s">
        <v>42</v>
      </c>
      <c r="H79" s="29" t="s">
        <v>40</v>
      </c>
      <c r="I79" s="29" t="s">
        <v>44</v>
      </c>
      <c r="J79" s="29" t="s">
        <v>32</v>
      </c>
      <c r="AH79" s="72">
        <f t="shared" ref="AH79:AH112" si="530">COUNTIF(B79:E79,$M$56)+COUNTIF(B79:E79,$N$56)</f>
        <v>0</v>
      </c>
      <c r="AI79" s="72">
        <f t="shared" ref="AI79:AI112" si="531">COUNTIF(G79:J79,$M$56)+COUNTIF(G79:J79,$N$56)</f>
        <v>1</v>
      </c>
      <c r="AJ79" s="72">
        <f t="shared" ref="AJ79:AJ112" si="532">COUNTIF(B79:E79,$M$57)+COUNTIF(B79:E79,$N$57)</f>
        <v>0</v>
      </c>
      <c r="AK79" s="72">
        <f t="shared" ref="AK79:AK112" si="533">COUNTIF(G79:J79,$M$57)+COUNTIF(G79:J79,$N$57)</f>
        <v>1</v>
      </c>
      <c r="AL79" s="72">
        <f t="shared" ref="AL79:AL112" si="534">COUNTIF(B79:E79,$M$58)+COUNTIF(B79:E79,$N$58)</f>
        <v>1</v>
      </c>
      <c r="AM79" s="72">
        <f t="shared" ref="AM79:AM112" si="535">COUNTIF(G79:J79,$M$58)+COUNTIF(G79:J79,$N$58)</f>
        <v>1</v>
      </c>
      <c r="AN79" s="72">
        <f t="shared" ref="AN79:AN112" si="536">COUNTIF(B79:E79,$M$59)+COUNTIF(B79:E79,$N$59)</f>
        <v>1</v>
      </c>
      <c r="AO79" s="72">
        <f t="shared" ref="AO79:AO112" si="537">COUNTIF(G79:J79,$M$59)+COUNTIF(G79:J79,$N$59)</f>
        <v>0</v>
      </c>
      <c r="AP79" s="72">
        <f t="shared" ref="AP79:AP112" si="538">COUNTIF(B79:E79,$M$60)+COUNTIF(B79:E79,$N$60)</f>
        <v>2</v>
      </c>
      <c r="AQ79" s="72">
        <f t="shared" ref="AQ79:AQ112" si="539">COUNTIF(G79:J79,$M$60)+COUNTIF(G79:J79,$N$60)</f>
        <v>0</v>
      </c>
      <c r="AR79" s="72">
        <f t="shared" ref="AR79:AR112" si="540">COUNTIF(B79:E79,$M$61)+COUNTIF(B79:E79,$N$61)</f>
        <v>1</v>
      </c>
      <c r="AS79" s="72">
        <f t="shared" ref="AS79:AS112" si="541">COUNTIF(G79:J79,$M$61)+COUNTIF(G79:J79,$N$61)</f>
        <v>1</v>
      </c>
      <c r="AT79" s="72">
        <f t="shared" ref="AT79:AT112" si="542">COUNTIF(B79:E79,$M$62)+COUNTIF(B79:E79,$N$62)</f>
        <v>1</v>
      </c>
      <c r="AU79" s="72">
        <f t="shared" ref="AU79:AU112" si="543">COUNTIF(G79:J79,$M$62)+COUNTIF(G79:J79,$N$62)</f>
        <v>0</v>
      </c>
      <c r="AV79" s="72">
        <f t="shared" ref="AV79:AV112" si="544">COUNTIF(B79:E79,$M$63)+COUNTIF(B79:E79,$N$63)</f>
        <v>1</v>
      </c>
      <c r="AW79" s="72">
        <f t="shared" ref="AW79:AW112" si="545">COUNTIF(G79:J79,$M$63)+COUNTIF(G79:J79,$N$63)</f>
        <v>0</v>
      </c>
      <c r="AX79" s="72">
        <f t="shared" ref="AX79:AX112" si="546">COUNTIF(B79:E79,$M$64)+COUNTIF(B79:E79,$N$64)</f>
        <v>1</v>
      </c>
      <c r="AY79" s="72">
        <f t="shared" ref="AY79:AY112" si="547">COUNTIF(G79:J79,$M$64)+COUNTIF(G79:J79,$N$64)</f>
        <v>0</v>
      </c>
      <c r="AZ79" s="72">
        <f t="shared" ref="AZ79:AZ112" si="548">COUNTIF(B79:E79,$M$65)+COUNTIF(B79:E79,$N$65)</f>
        <v>1</v>
      </c>
      <c r="BA79" s="72">
        <f t="shared" ref="BA79:BA112" si="549">COUNTIF(G79:J79,$M$65)+COUNTIF(G79:J79,$N$65)</f>
        <v>0</v>
      </c>
      <c r="BB79" s="72">
        <f t="shared" ref="BB79:BB112" si="550">COUNTIF(B79:E79,$M$66)+COUNTIF(B79:E79,$N$66)</f>
        <v>1</v>
      </c>
      <c r="BC79" s="72">
        <f t="shared" ref="BC79:BC112" si="551">COUNTIF(G79:J79,$M$66)+COUNTIF(G79:J79,$N$66)</f>
        <v>1</v>
      </c>
      <c r="BD79" s="72">
        <f t="shared" ref="BD79:BD112" si="552">COUNTIF(B79:E79,$M$67)+COUNTIF(B79:E79,$N$67)</f>
        <v>1</v>
      </c>
      <c r="BE79" s="72">
        <f t="shared" ref="BE79:BE112" si="553">COUNTIF(G79:J79,$M$67)+COUNTIF(G79:J79,$N$67)</f>
        <v>0</v>
      </c>
      <c r="BF79" s="72">
        <f t="shared" ref="BF79:BF112" si="554">COUNTIF(B79:E79,$M$68)+COUNTIF(B79:E79,$N$68)</f>
        <v>2</v>
      </c>
      <c r="BG79" s="72">
        <f t="shared" ref="BG79:BG112" si="555">COUNTIF(G79:J79,$M$68)+COUNTIF(G79:J79,$N$68)</f>
        <v>0</v>
      </c>
      <c r="BH79" s="72">
        <f t="shared" ref="BH79:BH112" si="556">COUNTIF(B79:E79,$M$69)+COUNTIF(B79:E79,$N$69)</f>
        <v>1</v>
      </c>
      <c r="BI79" s="72">
        <f t="shared" ref="BI79:BI112" si="557">COUNTIF(G79:J79,$M$69)+COUNTIF(G79:J79,$N$69)</f>
        <v>1</v>
      </c>
      <c r="BJ79" s="72">
        <f t="shared" ref="BJ79:BJ112" si="558">COUNTIF(B79:E79,$M$70)+COUNTIF(B79:E79,$N$70)</f>
        <v>1</v>
      </c>
      <c r="BK79" s="72">
        <f t="shared" ref="BK79:BK112" si="559">COUNTIF(G79:J79,$M$70)+COUNTIF(G79:J79,$N$70)</f>
        <v>0</v>
      </c>
      <c r="BL79" s="72">
        <f t="shared" ref="BL79:BL112" si="560">COUNTIF(B79:E79,$M$71)+COUNTIF(B79:E79,$N$71)</f>
        <v>1</v>
      </c>
      <c r="BM79" s="72">
        <f t="shared" ref="BM79:BM112" si="561">COUNTIF(G79:J79,$M$71)+COUNTIF(G79:J79,$N$71)</f>
        <v>0</v>
      </c>
      <c r="BN79" s="72">
        <f t="shared" ref="BN79:BN112" si="562">COUNTIF(B79:E79,$M$72)+COUNTIF(B79:E79,$N$72)</f>
        <v>1</v>
      </c>
      <c r="BO79" s="72">
        <f t="shared" ref="BO79:BO112" si="563">COUNTIF(G79:J79,$M$72)+COUNTIF(G79:J79,$N$72)</f>
        <v>0</v>
      </c>
      <c r="BP79" s="72">
        <f t="shared" ref="BP79:BP112" si="564">COUNTIF(B79:E79,$M$73)+COUNTIF(B79:E79,$N$73)</f>
        <v>1</v>
      </c>
      <c r="BQ79" s="72">
        <f t="shared" ref="BQ79:BQ112" si="565">COUNTIF(G79:J79,$M$73)+COUNTIF(G79:J79,$N$73)</f>
        <v>0</v>
      </c>
      <c r="BR79" s="72">
        <f t="shared" ref="BR79:BR112" si="566">COUNTIF(B79:E79,$M$74)+COUNTIF(B79:E79,$N$74)</f>
        <v>1</v>
      </c>
      <c r="BS79" s="72">
        <f t="shared" ref="BS79:BS112" si="567">COUNTIF(G79:J79,$M$74)+COUNTIF(G79:J79,$N$74)</f>
        <v>0</v>
      </c>
      <c r="BT79" s="72">
        <f t="shared" ref="BT79:BT112" si="568">COUNTIF(B79:E79,$M$75)+COUNTIF(B79:E79,$N$75)</f>
        <v>0</v>
      </c>
      <c r="BU79" s="72">
        <f t="shared" ref="BU79:BU112" si="569">COUNTIF(G79:J79,$M$75)+COUNTIF(G79:J79,$N$75)</f>
        <v>0</v>
      </c>
      <c r="BW79">
        <f t="shared" ref="BW79:BW112" si="570">COUNTIF(B79:E79,$U$56)</f>
        <v>0</v>
      </c>
      <c r="BX79">
        <f t="shared" ref="BX79:BX112" si="571">COUNTIF(B79:E79,$X$56)</f>
        <v>0</v>
      </c>
      <c r="BY79">
        <f t="shared" ref="BY79:BY112" si="572">COUNTIF(G79:J79,$U$56)</f>
        <v>0</v>
      </c>
      <c r="BZ79">
        <f t="shared" ref="BZ79:BZ112" si="573">COUNTIF(G79:J79,$X$56)</f>
        <v>1</v>
      </c>
      <c r="CA79">
        <f t="shared" ref="CA79:CA112" si="574">IF(BW79+BX79+BY79+BZ79=1,0,IF(BW79+BX79=1,IF(BY79+BZ79=1,IF(BW79=0,0,1)),0))</f>
        <v>0</v>
      </c>
      <c r="CB79">
        <f t="shared" ref="CB79:CB112" si="575">IF(BW79+BX79+BY79+BZ79=1,0,IF(BW79+BX79=1,IF(BY79+BZ79=1,IF(BX79=0,0,1)),0))</f>
        <v>0</v>
      </c>
      <c r="CD79">
        <f t="shared" ref="CD79:CD112" si="576">COUNTIF(B79:E79,$U$57)</f>
        <v>0</v>
      </c>
      <c r="CE79">
        <f t="shared" ref="CE79:CE112" si="577">COUNTIF(B79:E79,$X$57)</f>
        <v>0</v>
      </c>
      <c r="CF79">
        <f t="shared" ref="CF79:CF112" si="578">COUNTIF(G79:J79,$U$57)</f>
        <v>0</v>
      </c>
      <c r="CG79">
        <f t="shared" ref="CG79:CG112" si="579">COUNTIF(G79:J79,$X$57)</f>
        <v>1</v>
      </c>
      <c r="CH79">
        <f t="shared" ref="CH79:CH112" si="580">IF(CD79+CE79+CF79+CG79=1,0,IF(CD79+CE79=1,IF(CF79+CG79=1,IF(CD79=0,0,1)),0))</f>
        <v>0</v>
      </c>
      <c r="CI79">
        <f t="shared" ref="CI79:CI112" si="581">IF(CD79+CE79+CF79+CG79=1,0,IF(CD79+CE79=1,IF(CF79+CG79=1,IF(CE79=0,0,1)),0))</f>
        <v>0</v>
      </c>
      <c r="CK79">
        <f t="shared" ref="CK79:CK112" si="582">COUNTIF(B79:E79,$U$58)</f>
        <v>0</v>
      </c>
      <c r="CL79">
        <f t="shared" ref="CL79:CL112" si="583">COUNTIF(B79:E79,$X$58)</f>
        <v>1</v>
      </c>
      <c r="CM79">
        <f t="shared" ref="CM79:CM112" si="584">COUNTIF(G79:J79,$U$58)</f>
        <v>0</v>
      </c>
      <c r="CN79">
        <f t="shared" ref="CN79:CN112" si="585">COUNTIF(G79:J79,$X$58)</f>
        <v>0</v>
      </c>
      <c r="CO79">
        <f t="shared" ref="CO79:CO112" si="586">IF(CK79+CL79+CM79+CN79=1,0,IF(CK79+CL79=1,IF(CM79+CN79=1,IF(CK79=0,0,1)),0))</f>
        <v>0</v>
      </c>
      <c r="CP79">
        <f t="shared" ref="CP79:CP112" si="587">IF(CK79+CL79+CM79+CN79=1,0,IF(CK79+CL79=1,IF(CM79+CN79=1,IF(CL79=0,0,1)),0))</f>
        <v>0</v>
      </c>
      <c r="CR79">
        <f t="shared" ref="CR79:CR112" si="588">COUNTIF(B79:E79,$U$59)</f>
        <v>0</v>
      </c>
      <c r="CS79">
        <f t="shared" ref="CS79:CS112" si="589">COUNTIF(B79:E79,$X$59)</f>
        <v>0</v>
      </c>
      <c r="CT79">
        <f t="shared" ref="CT79:CT112" si="590">COUNTIF(G79:J79,$U$59)</f>
        <v>0</v>
      </c>
      <c r="CU79">
        <f t="shared" ref="CU79:CU112" si="591">COUNTIF(G79:J79,$X$59)</f>
        <v>0</v>
      </c>
      <c r="CV79">
        <f t="shared" ref="CV79:CV112" si="592">IF(CR79+CS79+CT79+CU79=1,0,IF(CR79+CS79=1,IF(CT79+CU79=1,IF(CR79=0,0,1)),0))</f>
        <v>0</v>
      </c>
      <c r="CW79">
        <f t="shared" ref="CW79:CW112" si="593">IF(CR79+CS79+CT79+CU79=1,0,IF(CR79+CS79=1,IF(CT79+CU79=1,IF(CS79=0,0,1)),0))</f>
        <v>0</v>
      </c>
      <c r="CY79">
        <f t="shared" ref="CY79:CY112" si="594">COUNTIF(B79:E79,$U$60)</f>
        <v>0</v>
      </c>
      <c r="CZ79">
        <f t="shared" ref="CZ79:CZ112" si="595">COUNTIF(B79:E79,$X$60)</f>
        <v>0</v>
      </c>
      <c r="DA79">
        <f t="shared" ref="DA79:DA112" si="596">COUNTIF(G79:J79,$U$60)</f>
        <v>0</v>
      </c>
      <c r="DB79">
        <f t="shared" ref="DB79:DB112" si="597">COUNTIF(G79:J79,$X$60)</f>
        <v>1</v>
      </c>
      <c r="DC79">
        <f t="shared" ref="DC79:DC112" si="598">IF(CY79+CZ79+DA79+DB79=1,0,IF(CY79+CZ79=1,IF(DA79+DB79=1,IF(CY79=0,0,1)),0))</f>
        <v>0</v>
      </c>
      <c r="DD79">
        <f t="shared" ref="DD79:DD112" si="599">IF(CY79+CZ79+DA79+DB79=1,0,IF(CY79+CZ79=1,IF(DA79+DB79=1,IF(CZ79=0,0,1)),0))</f>
        <v>0</v>
      </c>
      <c r="DF79" s="79">
        <f t="shared" ref="DF79:DF112" si="600">COUNTIF(B79:E79,$Z$56)</f>
        <v>0</v>
      </c>
      <c r="DG79" s="79">
        <f t="shared" ref="DG79:DG112" si="601">COUNTIF(G79:J79,$Z$56)</f>
        <v>0</v>
      </c>
      <c r="DH79">
        <f t="shared" si="124"/>
        <v>9</v>
      </c>
      <c r="DI79">
        <f t="shared" si="89"/>
        <v>0</v>
      </c>
      <c r="DK79" s="79">
        <f t="shared" si="419"/>
        <v>0</v>
      </c>
      <c r="DL79" s="79">
        <f t="shared" si="420"/>
        <v>0</v>
      </c>
      <c r="DM79">
        <f t="shared" ref="DM79:DN79" si="602">IF(DK79+DL79=0,DM78,(DM78+DK79)*DK79)</f>
        <v>1</v>
      </c>
      <c r="DN79">
        <f t="shared" si="602"/>
        <v>0</v>
      </c>
      <c r="DP79" s="79">
        <f t="shared" si="421"/>
        <v>0</v>
      </c>
      <c r="DQ79" s="79">
        <f t="shared" si="422"/>
        <v>0</v>
      </c>
      <c r="DR79">
        <f t="shared" ref="DR79:DS79" si="603">IF(DP79+DQ79=0,DR78,(DR78+DP79)*DP79)</f>
        <v>0</v>
      </c>
      <c r="DS79">
        <f t="shared" si="603"/>
        <v>1</v>
      </c>
      <c r="DU79" s="79">
        <f t="shared" si="423"/>
        <v>1</v>
      </c>
      <c r="DV79" s="79">
        <f t="shared" si="424"/>
        <v>0</v>
      </c>
      <c r="DW79">
        <f t="shared" ref="DW79:DX79" si="604">IF(DU79+DV79=0,DW78,(DW78+DU79)*DU79)</f>
        <v>1</v>
      </c>
      <c r="DX79">
        <f t="shared" si="604"/>
        <v>0</v>
      </c>
      <c r="DZ79" s="79">
        <f t="shared" si="425"/>
        <v>0</v>
      </c>
      <c r="EA79" s="79">
        <f t="shared" si="426"/>
        <v>1</v>
      </c>
      <c r="EB79">
        <f t="shared" ref="EB79:EC79" si="605">IF(DZ79+EA79=0,EB78,(EB78+DZ79)*DZ79)</f>
        <v>0</v>
      </c>
      <c r="EC79">
        <f t="shared" si="605"/>
        <v>1</v>
      </c>
    </row>
    <row r="80" spans="1:133">
      <c r="A80" s="29">
        <v>79</v>
      </c>
      <c r="B80" s="29" t="s">
        <v>36</v>
      </c>
      <c r="C80" s="29" t="s">
        <v>31</v>
      </c>
      <c r="D80" s="29" t="s">
        <v>42</v>
      </c>
      <c r="E80" s="29" t="s">
        <v>33</v>
      </c>
      <c r="F80" s="30"/>
      <c r="G80" s="29" t="s">
        <v>26</v>
      </c>
      <c r="H80" s="29" t="s">
        <v>23</v>
      </c>
      <c r="I80" s="29" t="s">
        <v>44</v>
      </c>
      <c r="J80" s="29" t="s">
        <v>47</v>
      </c>
      <c r="AH80" s="72">
        <f t="shared" si="530"/>
        <v>0</v>
      </c>
      <c r="AI80" s="72">
        <f t="shared" si="531"/>
        <v>2</v>
      </c>
      <c r="AJ80" s="72">
        <f t="shared" si="532"/>
        <v>0</v>
      </c>
      <c r="AK80" s="72">
        <f t="shared" si="533"/>
        <v>2</v>
      </c>
      <c r="AL80" s="72">
        <f t="shared" si="534"/>
        <v>0</v>
      </c>
      <c r="AM80" s="72">
        <f t="shared" si="535"/>
        <v>2</v>
      </c>
      <c r="AN80" s="72">
        <f t="shared" si="536"/>
        <v>0</v>
      </c>
      <c r="AO80" s="72">
        <f t="shared" si="537"/>
        <v>1</v>
      </c>
      <c r="AP80" s="72">
        <f t="shared" si="538"/>
        <v>1</v>
      </c>
      <c r="AQ80" s="72">
        <f t="shared" si="539"/>
        <v>1</v>
      </c>
      <c r="AR80" s="72">
        <f t="shared" si="540"/>
        <v>0</v>
      </c>
      <c r="AS80" s="72">
        <f t="shared" si="541"/>
        <v>1</v>
      </c>
      <c r="AT80" s="72">
        <f t="shared" si="542"/>
        <v>0</v>
      </c>
      <c r="AU80" s="72">
        <f t="shared" si="543"/>
        <v>1</v>
      </c>
      <c r="AV80" s="72">
        <f t="shared" si="544"/>
        <v>1</v>
      </c>
      <c r="AW80" s="72">
        <f t="shared" si="545"/>
        <v>1</v>
      </c>
      <c r="AX80" s="72">
        <f t="shared" si="546"/>
        <v>0</v>
      </c>
      <c r="AY80" s="72">
        <f t="shared" si="547"/>
        <v>1</v>
      </c>
      <c r="AZ80" s="72">
        <f t="shared" si="548"/>
        <v>0</v>
      </c>
      <c r="BA80" s="72">
        <f t="shared" si="549"/>
        <v>1</v>
      </c>
      <c r="BB80" s="72">
        <f t="shared" si="550"/>
        <v>0</v>
      </c>
      <c r="BC80" s="72">
        <f t="shared" si="551"/>
        <v>2</v>
      </c>
      <c r="BD80" s="72">
        <f t="shared" si="552"/>
        <v>0</v>
      </c>
      <c r="BE80" s="72">
        <f t="shared" si="553"/>
        <v>1</v>
      </c>
      <c r="BF80" s="72">
        <f t="shared" si="554"/>
        <v>0</v>
      </c>
      <c r="BG80" s="72">
        <f t="shared" si="555"/>
        <v>1</v>
      </c>
      <c r="BH80" s="72">
        <f t="shared" si="556"/>
        <v>0</v>
      </c>
      <c r="BI80" s="72">
        <f t="shared" si="557"/>
        <v>1</v>
      </c>
      <c r="BJ80" s="72">
        <f t="shared" si="558"/>
        <v>0</v>
      </c>
      <c r="BK80" s="72">
        <f t="shared" si="559"/>
        <v>2</v>
      </c>
      <c r="BL80" s="72">
        <f t="shared" si="560"/>
        <v>0</v>
      </c>
      <c r="BM80" s="72">
        <f t="shared" si="561"/>
        <v>1</v>
      </c>
      <c r="BN80" s="72">
        <f t="shared" si="562"/>
        <v>1</v>
      </c>
      <c r="BO80" s="72">
        <f t="shared" si="563"/>
        <v>1</v>
      </c>
      <c r="BP80" s="72">
        <f t="shared" si="564"/>
        <v>0</v>
      </c>
      <c r="BQ80" s="72">
        <f t="shared" si="565"/>
        <v>1</v>
      </c>
      <c r="BR80" s="72">
        <f t="shared" si="566"/>
        <v>0</v>
      </c>
      <c r="BS80" s="72">
        <f t="shared" si="567"/>
        <v>1</v>
      </c>
      <c r="BT80" s="72">
        <f t="shared" si="568"/>
        <v>0</v>
      </c>
      <c r="BU80" s="72">
        <f t="shared" si="569"/>
        <v>0</v>
      </c>
      <c r="BW80">
        <f t="shared" si="570"/>
        <v>0</v>
      </c>
      <c r="BX80">
        <f t="shared" si="571"/>
        <v>0</v>
      </c>
      <c r="BY80">
        <f t="shared" si="572"/>
        <v>1</v>
      </c>
      <c r="BZ80">
        <f t="shared" si="573"/>
        <v>0</v>
      </c>
      <c r="CA80">
        <f t="shared" si="574"/>
        <v>0</v>
      </c>
      <c r="CB80">
        <f t="shared" si="575"/>
        <v>0</v>
      </c>
      <c r="CD80">
        <f t="shared" si="576"/>
        <v>0</v>
      </c>
      <c r="CE80">
        <f t="shared" si="577"/>
        <v>0</v>
      </c>
      <c r="CF80">
        <f t="shared" si="578"/>
        <v>1</v>
      </c>
      <c r="CG80">
        <f t="shared" si="579"/>
        <v>1</v>
      </c>
      <c r="CH80">
        <f t="shared" si="580"/>
        <v>0</v>
      </c>
      <c r="CI80">
        <f t="shared" si="581"/>
        <v>0</v>
      </c>
      <c r="CK80">
        <f t="shared" si="582"/>
        <v>0</v>
      </c>
      <c r="CL80">
        <f t="shared" si="583"/>
        <v>1</v>
      </c>
      <c r="CM80">
        <f t="shared" si="584"/>
        <v>1</v>
      </c>
      <c r="CN80">
        <f t="shared" si="585"/>
        <v>0</v>
      </c>
      <c r="CO80">
        <f t="shared" si="586"/>
        <v>0</v>
      </c>
      <c r="CP80">
        <f t="shared" si="587"/>
        <v>1</v>
      </c>
      <c r="CR80">
        <f t="shared" si="588"/>
        <v>0</v>
      </c>
      <c r="CS80">
        <f t="shared" si="589"/>
        <v>0</v>
      </c>
      <c r="CT80">
        <f t="shared" si="590"/>
        <v>0</v>
      </c>
      <c r="CU80">
        <f t="shared" si="591"/>
        <v>0</v>
      </c>
      <c r="CV80">
        <f t="shared" si="592"/>
        <v>0</v>
      </c>
      <c r="CW80">
        <f t="shared" si="593"/>
        <v>0</v>
      </c>
      <c r="CY80">
        <f t="shared" si="594"/>
        <v>0</v>
      </c>
      <c r="CZ80">
        <f t="shared" si="595"/>
        <v>0</v>
      </c>
      <c r="DA80">
        <f t="shared" si="596"/>
        <v>0</v>
      </c>
      <c r="DB80">
        <f t="shared" si="597"/>
        <v>0</v>
      </c>
      <c r="DC80">
        <f t="shared" si="598"/>
        <v>0</v>
      </c>
      <c r="DD80">
        <f t="shared" si="599"/>
        <v>0</v>
      </c>
      <c r="DF80" s="79">
        <f t="shared" si="600"/>
        <v>0</v>
      </c>
      <c r="DG80" s="79">
        <f t="shared" si="601"/>
        <v>1</v>
      </c>
      <c r="DH80">
        <f t="shared" si="124"/>
        <v>0</v>
      </c>
      <c r="DI80">
        <f t="shared" ref="DI80:DI112" si="606">IF(DG80+DH80=0,DI79,(DI79+DG80)*DG80)</f>
        <v>1</v>
      </c>
      <c r="DK80" s="79">
        <f t="shared" ref="DK80:DK112" si="607">COUNTIF(B80:E80,$Z$57)</f>
        <v>0</v>
      </c>
      <c r="DL80" s="79">
        <f t="shared" ref="DL80:DL112" si="608">COUNTIF(G80:J80,$Z$57)</f>
        <v>0</v>
      </c>
      <c r="DM80">
        <f t="shared" ref="DM80:DN80" si="609">IF(DK80+DL80=0,DM79,(DM79+DK80)*DK80)</f>
        <v>1</v>
      </c>
      <c r="DN80">
        <f t="shared" si="609"/>
        <v>0</v>
      </c>
      <c r="DP80" s="79">
        <f t="shared" ref="DP80:DP112" si="610">COUNTIF(B80:E80,$Z$58)</f>
        <v>0</v>
      </c>
      <c r="DQ80" s="79">
        <f t="shared" ref="DQ80:DQ112" si="611">COUNTIF(G80:J80,$Z$58)</f>
        <v>0</v>
      </c>
      <c r="DR80">
        <f t="shared" ref="DR80:DS80" si="612">IF(DP80+DQ80=0,DR79,(DR79+DP80)*DP80)</f>
        <v>0</v>
      </c>
      <c r="DS80">
        <f t="shared" si="612"/>
        <v>1</v>
      </c>
      <c r="DU80" s="79">
        <f t="shared" ref="DU80:DU112" si="613">COUNTIF(B80:E80,$Z$59)</f>
        <v>0</v>
      </c>
      <c r="DV80" s="79">
        <f t="shared" ref="DV80:DV112" si="614">COUNTIF(G80:J80,$Z$59)</f>
        <v>1</v>
      </c>
      <c r="DW80">
        <f t="shared" ref="DW80:DX80" si="615">IF(DU80+DV80=0,DW79,(DW79+DU80)*DU80)</f>
        <v>0</v>
      </c>
      <c r="DX80">
        <f t="shared" si="615"/>
        <v>1</v>
      </c>
      <c r="DZ80" s="79">
        <f t="shared" ref="DZ80:DZ112" si="616">COUNTIF(B80:E80,$Z$60)</f>
        <v>0</v>
      </c>
      <c r="EA80" s="79">
        <f t="shared" ref="EA80:EA112" si="617">COUNTIF(G80:J80,$Z$60)</f>
        <v>0</v>
      </c>
      <c r="EB80">
        <f t="shared" ref="EB80:EC80" si="618">IF(DZ80+EA80=0,EB79,(EB79+DZ80)*DZ80)</f>
        <v>0</v>
      </c>
      <c r="EC80">
        <f t="shared" si="618"/>
        <v>1</v>
      </c>
    </row>
    <row r="81" spans="1:133">
      <c r="A81" s="29"/>
      <c r="B81" s="29"/>
      <c r="C81" s="29"/>
      <c r="D81" s="29"/>
      <c r="E81" s="29"/>
      <c r="F81" s="30"/>
      <c r="G81" s="29"/>
      <c r="H81" s="29"/>
      <c r="I81" s="29"/>
      <c r="J81" s="29"/>
      <c r="AH81" s="72">
        <f t="shared" si="530"/>
        <v>0</v>
      </c>
      <c r="AI81" s="72">
        <f t="shared" si="531"/>
        <v>0</v>
      </c>
      <c r="AJ81" s="72">
        <f t="shared" si="532"/>
        <v>0</v>
      </c>
      <c r="AK81" s="72">
        <f t="shared" si="533"/>
        <v>0</v>
      </c>
      <c r="AL81" s="72">
        <f t="shared" si="534"/>
        <v>0</v>
      </c>
      <c r="AM81" s="72">
        <f t="shared" si="535"/>
        <v>0</v>
      </c>
      <c r="AN81" s="72">
        <f t="shared" si="536"/>
        <v>0</v>
      </c>
      <c r="AO81" s="72">
        <f t="shared" si="537"/>
        <v>0</v>
      </c>
      <c r="AP81" s="72">
        <f t="shared" si="538"/>
        <v>0</v>
      </c>
      <c r="AQ81" s="72">
        <f t="shared" si="539"/>
        <v>0</v>
      </c>
      <c r="AR81" s="72">
        <f t="shared" si="540"/>
        <v>0</v>
      </c>
      <c r="AS81" s="72">
        <f t="shared" si="541"/>
        <v>0</v>
      </c>
      <c r="AT81" s="72">
        <f t="shared" si="542"/>
        <v>0</v>
      </c>
      <c r="AU81" s="72">
        <f t="shared" si="543"/>
        <v>0</v>
      </c>
      <c r="AV81" s="72">
        <f t="shared" si="544"/>
        <v>0</v>
      </c>
      <c r="AW81" s="72">
        <f t="shared" si="545"/>
        <v>0</v>
      </c>
      <c r="AX81" s="72">
        <f t="shared" si="546"/>
        <v>0</v>
      </c>
      <c r="AY81" s="72">
        <f t="shared" si="547"/>
        <v>0</v>
      </c>
      <c r="AZ81" s="72">
        <f t="shared" si="548"/>
        <v>0</v>
      </c>
      <c r="BA81" s="72">
        <f t="shared" si="549"/>
        <v>0</v>
      </c>
      <c r="BB81" s="72">
        <f t="shared" si="550"/>
        <v>0</v>
      </c>
      <c r="BC81" s="72">
        <f t="shared" si="551"/>
        <v>0</v>
      </c>
      <c r="BD81" s="72">
        <f t="shared" si="552"/>
        <v>0</v>
      </c>
      <c r="BE81" s="72">
        <f t="shared" si="553"/>
        <v>0</v>
      </c>
      <c r="BF81" s="72">
        <f t="shared" si="554"/>
        <v>0</v>
      </c>
      <c r="BG81" s="72">
        <f t="shared" si="555"/>
        <v>0</v>
      </c>
      <c r="BH81" s="72">
        <f t="shared" si="556"/>
        <v>0</v>
      </c>
      <c r="BI81" s="72">
        <f t="shared" si="557"/>
        <v>0</v>
      </c>
      <c r="BJ81" s="72">
        <f t="shared" si="558"/>
        <v>0</v>
      </c>
      <c r="BK81" s="72">
        <f t="shared" si="559"/>
        <v>0</v>
      </c>
      <c r="BL81" s="72">
        <f t="shared" si="560"/>
        <v>0</v>
      </c>
      <c r="BM81" s="72">
        <f t="shared" si="561"/>
        <v>0</v>
      </c>
      <c r="BN81" s="72">
        <f t="shared" si="562"/>
        <v>0</v>
      </c>
      <c r="BO81" s="72">
        <f t="shared" si="563"/>
        <v>0</v>
      </c>
      <c r="BP81" s="72">
        <f t="shared" si="564"/>
        <v>0</v>
      </c>
      <c r="BQ81" s="72">
        <f t="shared" si="565"/>
        <v>0</v>
      </c>
      <c r="BR81" s="72">
        <f t="shared" si="566"/>
        <v>0</v>
      </c>
      <c r="BS81" s="72">
        <f t="shared" si="567"/>
        <v>0</v>
      </c>
      <c r="BT81" s="72">
        <f t="shared" si="568"/>
        <v>0</v>
      </c>
      <c r="BU81" s="72">
        <f t="shared" si="569"/>
        <v>0</v>
      </c>
      <c r="BW81">
        <f t="shared" si="570"/>
        <v>0</v>
      </c>
      <c r="BX81">
        <f t="shared" si="571"/>
        <v>0</v>
      </c>
      <c r="BY81">
        <f t="shared" si="572"/>
        <v>0</v>
      </c>
      <c r="BZ81">
        <f t="shared" si="573"/>
        <v>0</v>
      </c>
      <c r="CA81">
        <f t="shared" si="574"/>
        <v>0</v>
      </c>
      <c r="CB81">
        <f t="shared" si="575"/>
        <v>0</v>
      </c>
      <c r="CD81">
        <f t="shared" si="576"/>
        <v>0</v>
      </c>
      <c r="CE81">
        <f t="shared" si="577"/>
        <v>0</v>
      </c>
      <c r="CF81">
        <f t="shared" si="578"/>
        <v>0</v>
      </c>
      <c r="CG81">
        <f t="shared" si="579"/>
        <v>0</v>
      </c>
      <c r="CH81">
        <f t="shared" si="580"/>
        <v>0</v>
      </c>
      <c r="CI81">
        <f t="shared" si="581"/>
        <v>0</v>
      </c>
      <c r="CK81">
        <f t="shared" si="582"/>
        <v>0</v>
      </c>
      <c r="CL81">
        <f t="shared" si="583"/>
        <v>0</v>
      </c>
      <c r="CM81">
        <f t="shared" si="584"/>
        <v>0</v>
      </c>
      <c r="CN81">
        <f t="shared" si="585"/>
        <v>0</v>
      </c>
      <c r="CO81">
        <f t="shared" si="586"/>
        <v>0</v>
      </c>
      <c r="CP81">
        <f t="shared" si="587"/>
        <v>0</v>
      </c>
      <c r="CR81">
        <f t="shared" si="588"/>
        <v>0</v>
      </c>
      <c r="CS81">
        <f t="shared" si="589"/>
        <v>0</v>
      </c>
      <c r="CT81">
        <f t="shared" si="590"/>
        <v>0</v>
      </c>
      <c r="CU81">
        <f t="shared" si="591"/>
        <v>0</v>
      </c>
      <c r="CV81">
        <f t="shared" si="592"/>
        <v>0</v>
      </c>
      <c r="CW81">
        <f t="shared" si="593"/>
        <v>0</v>
      </c>
      <c r="CY81">
        <f t="shared" si="594"/>
        <v>0</v>
      </c>
      <c r="CZ81">
        <f t="shared" si="595"/>
        <v>0</v>
      </c>
      <c r="DA81">
        <f t="shared" si="596"/>
        <v>0</v>
      </c>
      <c r="DB81">
        <f t="shared" si="597"/>
        <v>0</v>
      </c>
      <c r="DC81">
        <f t="shared" si="598"/>
        <v>0</v>
      </c>
      <c r="DD81">
        <f t="shared" si="599"/>
        <v>0</v>
      </c>
      <c r="DF81" s="79">
        <f t="shared" si="600"/>
        <v>0</v>
      </c>
      <c r="DG81" s="79">
        <f t="shared" si="601"/>
        <v>0</v>
      </c>
      <c r="DH81">
        <f t="shared" si="124"/>
        <v>0</v>
      </c>
      <c r="DI81">
        <f t="shared" si="606"/>
        <v>1</v>
      </c>
      <c r="DK81" s="79">
        <f t="shared" si="607"/>
        <v>0</v>
      </c>
      <c r="DL81" s="79">
        <f t="shared" si="608"/>
        <v>0</v>
      </c>
      <c r="DM81">
        <f t="shared" ref="DM81:DN81" si="619">IF(DK81+DL81=0,DM80,(DM80+DK81)*DK81)</f>
        <v>1</v>
      </c>
      <c r="DN81">
        <f t="shared" si="619"/>
        <v>0</v>
      </c>
      <c r="DP81" s="79">
        <f t="shared" si="610"/>
        <v>0</v>
      </c>
      <c r="DQ81" s="79">
        <f t="shared" si="611"/>
        <v>0</v>
      </c>
      <c r="DR81">
        <f t="shared" ref="DR81:DS81" si="620">IF(DP81+DQ81=0,DR80,(DR80+DP81)*DP81)</f>
        <v>0</v>
      </c>
      <c r="DS81">
        <f t="shared" si="620"/>
        <v>1</v>
      </c>
      <c r="DU81" s="79">
        <f t="shared" si="613"/>
        <v>0</v>
      </c>
      <c r="DV81" s="79">
        <f t="shared" si="614"/>
        <v>0</v>
      </c>
      <c r="DW81">
        <f t="shared" ref="DW81:DX81" si="621">IF(DU81+DV81=0,DW80,(DW80+DU81)*DU81)</f>
        <v>0</v>
      </c>
      <c r="DX81">
        <f t="shared" si="621"/>
        <v>1</v>
      </c>
      <c r="DZ81" s="79">
        <f t="shared" si="616"/>
        <v>0</v>
      </c>
      <c r="EA81" s="79">
        <f t="shared" si="617"/>
        <v>0</v>
      </c>
      <c r="EB81">
        <f t="shared" ref="EB81:EC81" si="622">IF(DZ81+EA81=0,EB80,(EB80+DZ81)*DZ81)</f>
        <v>0</v>
      </c>
      <c r="EC81">
        <f t="shared" si="622"/>
        <v>1</v>
      </c>
    </row>
    <row r="82" spans="1:133">
      <c r="A82" s="29"/>
      <c r="B82" s="29"/>
      <c r="C82" s="29"/>
      <c r="D82" s="29"/>
      <c r="E82" s="29"/>
      <c r="F82" s="30"/>
      <c r="G82" s="29"/>
      <c r="H82" s="29"/>
      <c r="I82" s="29"/>
      <c r="J82" s="29"/>
      <c r="AH82" s="72">
        <f t="shared" si="530"/>
        <v>0</v>
      </c>
      <c r="AI82" s="72">
        <f t="shared" si="531"/>
        <v>0</v>
      </c>
      <c r="AJ82" s="72">
        <f t="shared" si="532"/>
        <v>0</v>
      </c>
      <c r="AK82" s="72">
        <f t="shared" si="533"/>
        <v>0</v>
      </c>
      <c r="AL82" s="72">
        <f t="shared" si="534"/>
        <v>0</v>
      </c>
      <c r="AM82" s="72">
        <f t="shared" si="535"/>
        <v>0</v>
      </c>
      <c r="AN82" s="72">
        <f t="shared" si="536"/>
        <v>0</v>
      </c>
      <c r="AO82" s="72">
        <f t="shared" si="537"/>
        <v>0</v>
      </c>
      <c r="AP82" s="72">
        <f t="shared" si="538"/>
        <v>0</v>
      </c>
      <c r="AQ82" s="72">
        <f t="shared" si="539"/>
        <v>0</v>
      </c>
      <c r="AR82" s="72">
        <f t="shared" si="540"/>
        <v>0</v>
      </c>
      <c r="AS82" s="72">
        <f t="shared" si="541"/>
        <v>0</v>
      </c>
      <c r="AT82" s="72">
        <f t="shared" si="542"/>
        <v>0</v>
      </c>
      <c r="AU82" s="72">
        <f t="shared" si="543"/>
        <v>0</v>
      </c>
      <c r="AV82" s="72">
        <f t="shared" si="544"/>
        <v>0</v>
      </c>
      <c r="AW82" s="72">
        <f t="shared" si="545"/>
        <v>0</v>
      </c>
      <c r="AX82" s="72">
        <f t="shared" si="546"/>
        <v>0</v>
      </c>
      <c r="AY82" s="72">
        <f t="shared" si="547"/>
        <v>0</v>
      </c>
      <c r="AZ82" s="72">
        <f t="shared" si="548"/>
        <v>0</v>
      </c>
      <c r="BA82" s="72">
        <f t="shared" si="549"/>
        <v>0</v>
      </c>
      <c r="BB82" s="72">
        <f t="shared" si="550"/>
        <v>0</v>
      </c>
      <c r="BC82" s="72">
        <f t="shared" si="551"/>
        <v>0</v>
      </c>
      <c r="BD82" s="72">
        <f t="shared" si="552"/>
        <v>0</v>
      </c>
      <c r="BE82" s="72">
        <f t="shared" si="553"/>
        <v>0</v>
      </c>
      <c r="BF82" s="72">
        <f t="shared" si="554"/>
        <v>0</v>
      </c>
      <c r="BG82" s="72">
        <f t="shared" si="555"/>
        <v>0</v>
      </c>
      <c r="BH82" s="72">
        <f t="shared" si="556"/>
        <v>0</v>
      </c>
      <c r="BI82" s="72">
        <f t="shared" si="557"/>
        <v>0</v>
      </c>
      <c r="BJ82" s="72">
        <f t="shared" si="558"/>
        <v>0</v>
      </c>
      <c r="BK82" s="72">
        <f t="shared" si="559"/>
        <v>0</v>
      </c>
      <c r="BL82" s="72">
        <f t="shared" si="560"/>
        <v>0</v>
      </c>
      <c r="BM82" s="72">
        <f t="shared" si="561"/>
        <v>0</v>
      </c>
      <c r="BN82" s="72">
        <f t="shared" si="562"/>
        <v>0</v>
      </c>
      <c r="BO82" s="72">
        <f t="shared" si="563"/>
        <v>0</v>
      </c>
      <c r="BP82" s="72">
        <f t="shared" si="564"/>
        <v>0</v>
      </c>
      <c r="BQ82" s="72">
        <f t="shared" si="565"/>
        <v>0</v>
      </c>
      <c r="BR82" s="72">
        <f t="shared" si="566"/>
        <v>0</v>
      </c>
      <c r="BS82" s="72">
        <f t="shared" si="567"/>
        <v>0</v>
      </c>
      <c r="BT82" s="72">
        <f t="shared" si="568"/>
        <v>0</v>
      </c>
      <c r="BU82" s="72">
        <f t="shared" si="569"/>
        <v>0</v>
      </c>
      <c r="BW82">
        <f t="shared" si="570"/>
        <v>0</v>
      </c>
      <c r="BX82">
        <f t="shared" si="571"/>
        <v>0</v>
      </c>
      <c r="BY82">
        <f t="shared" si="572"/>
        <v>0</v>
      </c>
      <c r="BZ82">
        <f t="shared" si="573"/>
        <v>0</v>
      </c>
      <c r="CA82">
        <f t="shared" si="574"/>
        <v>0</v>
      </c>
      <c r="CB82">
        <f t="shared" si="575"/>
        <v>0</v>
      </c>
      <c r="CD82">
        <f t="shared" si="576"/>
        <v>0</v>
      </c>
      <c r="CE82">
        <f t="shared" si="577"/>
        <v>0</v>
      </c>
      <c r="CF82">
        <f t="shared" si="578"/>
        <v>0</v>
      </c>
      <c r="CG82">
        <f t="shared" si="579"/>
        <v>0</v>
      </c>
      <c r="CH82">
        <f t="shared" si="580"/>
        <v>0</v>
      </c>
      <c r="CI82">
        <f t="shared" si="581"/>
        <v>0</v>
      </c>
      <c r="CK82">
        <f t="shared" si="582"/>
        <v>0</v>
      </c>
      <c r="CL82">
        <f t="shared" si="583"/>
        <v>0</v>
      </c>
      <c r="CM82">
        <f t="shared" si="584"/>
        <v>0</v>
      </c>
      <c r="CN82">
        <f t="shared" si="585"/>
        <v>0</v>
      </c>
      <c r="CO82">
        <f t="shared" si="586"/>
        <v>0</v>
      </c>
      <c r="CP82">
        <f t="shared" si="587"/>
        <v>0</v>
      </c>
      <c r="CR82">
        <f t="shared" si="588"/>
        <v>0</v>
      </c>
      <c r="CS82">
        <f t="shared" si="589"/>
        <v>0</v>
      </c>
      <c r="CT82">
        <f t="shared" si="590"/>
        <v>0</v>
      </c>
      <c r="CU82">
        <f t="shared" si="591"/>
        <v>0</v>
      </c>
      <c r="CV82">
        <f t="shared" si="592"/>
        <v>0</v>
      </c>
      <c r="CW82">
        <f t="shared" si="593"/>
        <v>0</v>
      </c>
      <c r="CY82">
        <f t="shared" si="594"/>
        <v>0</v>
      </c>
      <c r="CZ82">
        <f t="shared" si="595"/>
        <v>0</v>
      </c>
      <c r="DA82">
        <f t="shared" si="596"/>
        <v>0</v>
      </c>
      <c r="DB82">
        <f t="shared" si="597"/>
        <v>0</v>
      </c>
      <c r="DC82">
        <f t="shared" si="598"/>
        <v>0</v>
      </c>
      <c r="DD82">
        <f t="shared" si="599"/>
        <v>0</v>
      </c>
      <c r="DF82" s="79">
        <f t="shared" si="600"/>
        <v>0</v>
      </c>
      <c r="DG82" s="79">
        <f t="shared" si="601"/>
        <v>0</v>
      </c>
      <c r="DH82">
        <f t="shared" si="124"/>
        <v>0</v>
      </c>
      <c r="DI82">
        <f t="shared" si="606"/>
        <v>1</v>
      </c>
      <c r="DK82" s="79">
        <f t="shared" si="607"/>
        <v>0</v>
      </c>
      <c r="DL82" s="79">
        <f t="shared" si="608"/>
        <v>0</v>
      </c>
      <c r="DM82">
        <f t="shared" ref="DM82:DN82" si="623">IF(DK82+DL82=0,DM81,(DM81+DK82)*DK82)</f>
        <v>1</v>
      </c>
      <c r="DN82">
        <f t="shared" si="623"/>
        <v>0</v>
      </c>
      <c r="DP82" s="79">
        <f t="shared" si="610"/>
        <v>0</v>
      </c>
      <c r="DQ82" s="79">
        <f t="shared" si="611"/>
        <v>0</v>
      </c>
      <c r="DR82">
        <f t="shared" ref="DR82:DS82" si="624">IF(DP82+DQ82=0,DR81,(DR81+DP82)*DP82)</f>
        <v>0</v>
      </c>
      <c r="DS82">
        <f t="shared" si="624"/>
        <v>1</v>
      </c>
      <c r="DU82" s="79">
        <f t="shared" si="613"/>
        <v>0</v>
      </c>
      <c r="DV82" s="79">
        <f t="shared" si="614"/>
        <v>0</v>
      </c>
      <c r="DW82">
        <f t="shared" ref="DW82:DX82" si="625">IF(DU82+DV82=0,DW81,(DW81+DU82)*DU82)</f>
        <v>0</v>
      </c>
      <c r="DX82">
        <f t="shared" si="625"/>
        <v>1</v>
      </c>
      <c r="DZ82" s="79">
        <f t="shared" si="616"/>
        <v>0</v>
      </c>
      <c r="EA82" s="79">
        <f t="shared" si="617"/>
        <v>0</v>
      </c>
      <c r="EB82">
        <f t="shared" ref="EB82:EC82" si="626">IF(DZ82+EA82=0,EB81,(EB81+DZ82)*DZ82)</f>
        <v>0</v>
      </c>
      <c r="EC82">
        <f t="shared" si="626"/>
        <v>1</v>
      </c>
    </row>
    <row r="83" spans="1:133">
      <c r="A83" s="29"/>
      <c r="B83" s="29"/>
      <c r="C83" s="29"/>
      <c r="D83" s="29"/>
      <c r="E83" s="29"/>
      <c r="F83" s="30"/>
      <c r="G83" s="29"/>
      <c r="H83" s="29"/>
      <c r="I83" s="29"/>
      <c r="J83" s="29"/>
      <c r="AH83" s="72">
        <f t="shared" si="530"/>
        <v>0</v>
      </c>
      <c r="AI83" s="72">
        <f t="shared" si="531"/>
        <v>0</v>
      </c>
      <c r="AJ83" s="72">
        <f t="shared" si="532"/>
        <v>0</v>
      </c>
      <c r="AK83" s="72">
        <f t="shared" si="533"/>
        <v>0</v>
      </c>
      <c r="AL83" s="72">
        <f t="shared" si="534"/>
        <v>0</v>
      </c>
      <c r="AM83" s="72">
        <f t="shared" si="535"/>
        <v>0</v>
      </c>
      <c r="AN83" s="72">
        <f t="shared" si="536"/>
        <v>0</v>
      </c>
      <c r="AO83" s="72">
        <f t="shared" si="537"/>
        <v>0</v>
      </c>
      <c r="AP83" s="72">
        <f t="shared" si="538"/>
        <v>0</v>
      </c>
      <c r="AQ83" s="72">
        <f t="shared" si="539"/>
        <v>0</v>
      </c>
      <c r="AR83" s="72">
        <f t="shared" si="540"/>
        <v>0</v>
      </c>
      <c r="AS83" s="72">
        <f t="shared" si="541"/>
        <v>0</v>
      </c>
      <c r="AT83" s="72">
        <f t="shared" si="542"/>
        <v>0</v>
      </c>
      <c r="AU83" s="72">
        <f t="shared" si="543"/>
        <v>0</v>
      </c>
      <c r="AV83" s="72">
        <f t="shared" si="544"/>
        <v>0</v>
      </c>
      <c r="AW83" s="72">
        <f t="shared" si="545"/>
        <v>0</v>
      </c>
      <c r="AX83" s="72">
        <f t="shared" si="546"/>
        <v>0</v>
      </c>
      <c r="AY83" s="72">
        <f t="shared" si="547"/>
        <v>0</v>
      </c>
      <c r="AZ83" s="72">
        <f t="shared" si="548"/>
        <v>0</v>
      </c>
      <c r="BA83" s="72">
        <f t="shared" si="549"/>
        <v>0</v>
      </c>
      <c r="BB83" s="72">
        <f t="shared" si="550"/>
        <v>0</v>
      </c>
      <c r="BC83" s="72">
        <f t="shared" si="551"/>
        <v>0</v>
      </c>
      <c r="BD83" s="72">
        <f t="shared" si="552"/>
        <v>0</v>
      </c>
      <c r="BE83" s="72">
        <f t="shared" si="553"/>
        <v>0</v>
      </c>
      <c r="BF83" s="72">
        <f t="shared" si="554"/>
        <v>0</v>
      </c>
      <c r="BG83" s="72">
        <f t="shared" si="555"/>
        <v>0</v>
      </c>
      <c r="BH83" s="72">
        <f t="shared" si="556"/>
        <v>0</v>
      </c>
      <c r="BI83" s="72">
        <f t="shared" si="557"/>
        <v>0</v>
      </c>
      <c r="BJ83" s="72">
        <f t="shared" si="558"/>
        <v>0</v>
      </c>
      <c r="BK83" s="72">
        <f t="shared" si="559"/>
        <v>0</v>
      </c>
      <c r="BL83" s="72">
        <f t="shared" si="560"/>
        <v>0</v>
      </c>
      <c r="BM83" s="72">
        <f t="shared" si="561"/>
        <v>0</v>
      </c>
      <c r="BN83" s="72">
        <f t="shared" si="562"/>
        <v>0</v>
      </c>
      <c r="BO83" s="72">
        <f t="shared" si="563"/>
        <v>0</v>
      </c>
      <c r="BP83" s="72">
        <f t="shared" si="564"/>
        <v>0</v>
      </c>
      <c r="BQ83" s="72">
        <f t="shared" si="565"/>
        <v>0</v>
      </c>
      <c r="BR83" s="72">
        <f t="shared" si="566"/>
        <v>0</v>
      </c>
      <c r="BS83" s="72">
        <f t="shared" si="567"/>
        <v>0</v>
      </c>
      <c r="BT83" s="72">
        <f t="shared" si="568"/>
        <v>0</v>
      </c>
      <c r="BU83" s="72">
        <f t="shared" si="569"/>
        <v>0</v>
      </c>
      <c r="BW83">
        <f t="shared" si="570"/>
        <v>0</v>
      </c>
      <c r="BX83">
        <f t="shared" si="571"/>
        <v>0</v>
      </c>
      <c r="BY83">
        <f t="shared" si="572"/>
        <v>0</v>
      </c>
      <c r="BZ83">
        <f t="shared" si="573"/>
        <v>0</v>
      </c>
      <c r="CA83">
        <f t="shared" si="574"/>
        <v>0</v>
      </c>
      <c r="CB83">
        <f t="shared" si="575"/>
        <v>0</v>
      </c>
      <c r="CD83">
        <f t="shared" si="576"/>
        <v>0</v>
      </c>
      <c r="CE83">
        <f t="shared" si="577"/>
        <v>0</v>
      </c>
      <c r="CF83">
        <f t="shared" si="578"/>
        <v>0</v>
      </c>
      <c r="CG83">
        <f t="shared" si="579"/>
        <v>0</v>
      </c>
      <c r="CH83">
        <f t="shared" si="580"/>
        <v>0</v>
      </c>
      <c r="CI83">
        <f t="shared" si="581"/>
        <v>0</v>
      </c>
      <c r="CK83">
        <f t="shared" si="582"/>
        <v>0</v>
      </c>
      <c r="CL83">
        <f t="shared" si="583"/>
        <v>0</v>
      </c>
      <c r="CM83">
        <f t="shared" si="584"/>
        <v>0</v>
      </c>
      <c r="CN83">
        <f t="shared" si="585"/>
        <v>0</v>
      </c>
      <c r="CO83">
        <f t="shared" si="586"/>
        <v>0</v>
      </c>
      <c r="CP83">
        <f t="shared" si="587"/>
        <v>0</v>
      </c>
      <c r="CR83">
        <f t="shared" si="588"/>
        <v>0</v>
      </c>
      <c r="CS83">
        <f t="shared" si="589"/>
        <v>0</v>
      </c>
      <c r="CT83">
        <f t="shared" si="590"/>
        <v>0</v>
      </c>
      <c r="CU83">
        <f t="shared" si="591"/>
        <v>0</v>
      </c>
      <c r="CV83">
        <f t="shared" si="592"/>
        <v>0</v>
      </c>
      <c r="CW83">
        <f t="shared" si="593"/>
        <v>0</v>
      </c>
      <c r="CY83">
        <f t="shared" si="594"/>
        <v>0</v>
      </c>
      <c r="CZ83">
        <f t="shared" si="595"/>
        <v>0</v>
      </c>
      <c r="DA83">
        <f t="shared" si="596"/>
        <v>0</v>
      </c>
      <c r="DB83">
        <f t="shared" si="597"/>
        <v>0</v>
      </c>
      <c r="DC83">
        <f t="shared" si="598"/>
        <v>0</v>
      </c>
      <c r="DD83">
        <f t="shared" si="599"/>
        <v>0</v>
      </c>
      <c r="DF83" s="79">
        <f t="shared" si="600"/>
        <v>0</v>
      </c>
      <c r="DG83" s="79">
        <f t="shared" si="601"/>
        <v>0</v>
      </c>
      <c r="DH83">
        <f t="shared" si="124"/>
        <v>0</v>
      </c>
      <c r="DI83">
        <f t="shared" si="606"/>
        <v>1</v>
      </c>
      <c r="DK83" s="79">
        <f t="shared" si="607"/>
        <v>0</v>
      </c>
      <c r="DL83" s="79">
        <f t="shared" si="608"/>
        <v>0</v>
      </c>
      <c r="DM83">
        <f t="shared" ref="DM83:DN83" si="627">IF(DK83+DL83=0,DM82,(DM82+DK83)*DK83)</f>
        <v>1</v>
      </c>
      <c r="DN83">
        <f t="shared" si="627"/>
        <v>0</v>
      </c>
      <c r="DP83" s="79">
        <f t="shared" si="610"/>
        <v>0</v>
      </c>
      <c r="DQ83" s="79">
        <f t="shared" si="611"/>
        <v>0</v>
      </c>
      <c r="DR83">
        <f t="shared" ref="DR83:DS83" si="628">IF(DP83+DQ83=0,DR82,(DR82+DP83)*DP83)</f>
        <v>0</v>
      </c>
      <c r="DS83">
        <f t="shared" si="628"/>
        <v>1</v>
      </c>
      <c r="DU83" s="79">
        <f t="shared" si="613"/>
        <v>0</v>
      </c>
      <c r="DV83" s="79">
        <f t="shared" si="614"/>
        <v>0</v>
      </c>
      <c r="DW83">
        <f t="shared" ref="DW83:DX83" si="629">IF(DU83+DV83=0,DW82,(DW82+DU83)*DU83)</f>
        <v>0</v>
      </c>
      <c r="DX83">
        <f t="shared" si="629"/>
        <v>1</v>
      </c>
      <c r="DZ83" s="79">
        <f t="shared" si="616"/>
        <v>0</v>
      </c>
      <c r="EA83" s="79">
        <f t="shared" si="617"/>
        <v>0</v>
      </c>
      <c r="EB83">
        <f t="shared" ref="EB83:EC83" si="630">IF(DZ83+EA83=0,EB82,(EB82+DZ83)*DZ83)</f>
        <v>0</v>
      </c>
      <c r="EC83">
        <f t="shared" si="630"/>
        <v>1</v>
      </c>
    </row>
    <row r="84" spans="1:133">
      <c r="A84" s="29"/>
      <c r="B84" s="29"/>
      <c r="C84" s="29"/>
      <c r="D84" s="29"/>
      <c r="E84" s="29"/>
      <c r="F84" s="30"/>
      <c r="G84" s="29"/>
      <c r="H84" s="29"/>
      <c r="I84" s="29"/>
      <c r="J84" s="29"/>
      <c r="AH84" s="72">
        <f t="shared" si="530"/>
        <v>0</v>
      </c>
      <c r="AI84" s="72">
        <f t="shared" si="531"/>
        <v>0</v>
      </c>
      <c r="AJ84" s="72">
        <f t="shared" si="532"/>
        <v>0</v>
      </c>
      <c r="AK84" s="72">
        <f t="shared" si="533"/>
        <v>0</v>
      </c>
      <c r="AL84" s="72">
        <f t="shared" si="534"/>
        <v>0</v>
      </c>
      <c r="AM84" s="72">
        <f t="shared" si="535"/>
        <v>0</v>
      </c>
      <c r="AN84" s="72">
        <f t="shared" si="536"/>
        <v>0</v>
      </c>
      <c r="AO84" s="72">
        <f t="shared" si="537"/>
        <v>0</v>
      </c>
      <c r="AP84" s="72">
        <f t="shared" si="538"/>
        <v>0</v>
      </c>
      <c r="AQ84" s="72">
        <f t="shared" si="539"/>
        <v>0</v>
      </c>
      <c r="AR84" s="72">
        <f t="shared" si="540"/>
        <v>0</v>
      </c>
      <c r="AS84" s="72">
        <f t="shared" si="541"/>
        <v>0</v>
      </c>
      <c r="AT84" s="72">
        <f t="shared" si="542"/>
        <v>0</v>
      </c>
      <c r="AU84" s="72">
        <f t="shared" si="543"/>
        <v>0</v>
      </c>
      <c r="AV84" s="72">
        <f t="shared" si="544"/>
        <v>0</v>
      </c>
      <c r="AW84" s="72">
        <f t="shared" si="545"/>
        <v>0</v>
      </c>
      <c r="AX84" s="72">
        <f t="shared" si="546"/>
        <v>0</v>
      </c>
      <c r="AY84" s="72">
        <f t="shared" si="547"/>
        <v>0</v>
      </c>
      <c r="AZ84" s="72">
        <f t="shared" si="548"/>
        <v>0</v>
      </c>
      <c r="BA84" s="72">
        <f t="shared" si="549"/>
        <v>0</v>
      </c>
      <c r="BB84" s="72">
        <f t="shared" si="550"/>
        <v>0</v>
      </c>
      <c r="BC84" s="72">
        <f t="shared" si="551"/>
        <v>0</v>
      </c>
      <c r="BD84" s="72">
        <f t="shared" si="552"/>
        <v>0</v>
      </c>
      <c r="BE84" s="72">
        <f t="shared" si="553"/>
        <v>0</v>
      </c>
      <c r="BF84" s="72">
        <f t="shared" si="554"/>
        <v>0</v>
      </c>
      <c r="BG84" s="72">
        <f t="shared" si="555"/>
        <v>0</v>
      </c>
      <c r="BH84" s="72">
        <f t="shared" si="556"/>
        <v>0</v>
      </c>
      <c r="BI84" s="72">
        <f t="shared" si="557"/>
        <v>0</v>
      </c>
      <c r="BJ84" s="72">
        <f t="shared" si="558"/>
        <v>0</v>
      </c>
      <c r="BK84" s="72">
        <f t="shared" si="559"/>
        <v>0</v>
      </c>
      <c r="BL84" s="72">
        <f t="shared" si="560"/>
        <v>0</v>
      </c>
      <c r="BM84" s="72">
        <f t="shared" si="561"/>
        <v>0</v>
      </c>
      <c r="BN84" s="72">
        <f t="shared" si="562"/>
        <v>0</v>
      </c>
      <c r="BO84" s="72">
        <f t="shared" si="563"/>
        <v>0</v>
      </c>
      <c r="BP84" s="72">
        <f t="shared" si="564"/>
        <v>0</v>
      </c>
      <c r="BQ84" s="72">
        <f t="shared" si="565"/>
        <v>0</v>
      </c>
      <c r="BR84" s="72">
        <f t="shared" si="566"/>
        <v>0</v>
      </c>
      <c r="BS84" s="72">
        <f t="shared" si="567"/>
        <v>0</v>
      </c>
      <c r="BT84" s="72">
        <f t="shared" si="568"/>
        <v>0</v>
      </c>
      <c r="BU84" s="72">
        <f t="shared" si="569"/>
        <v>0</v>
      </c>
      <c r="BW84">
        <f t="shared" si="570"/>
        <v>0</v>
      </c>
      <c r="BX84">
        <f t="shared" si="571"/>
        <v>0</v>
      </c>
      <c r="BY84">
        <f t="shared" si="572"/>
        <v>0</v>
      </c>
      <c r="BZ84">
        <f t="shared" si="573"/>
        <v>0</v>
      </c>
      <c r="CA84">
        <f t="shared" si="574"/>
        <v>0</v>
      </c>
      <c r="CB84">
        <f t="shared" si="575"/>
        <v>0</v>
      </c>
      <c r="CD84">
        <f t="shared" si="576"/>
        <v>0</v>
      </c>
      <c r="CE84">
        <f t="shared" si="577"/>
        <v>0</v>
      </c>
      <c r="CF84">
        <f t="shared" si="578"/>
        <v>0</v>
      </c>
      <c r="CG84">
        <f t="shared" si="579"/>
        <v>0</v>
      </c>
      <c r="CH84">
        <f t="shared" si="580"/>
        <v>0</v>
      </c>
      <c r="CI84">
        <f t="shared" si="581"/>
        <v>0</v>
      </c>
      <c r="CK84">
        <f t="shared" si="582"/>
        <v>0</v>
      </c>
      <c r="CL84">
        <f t="shared" si="583"/>
        <v>0</v>
      </c>
      <c r="CM84">
        <f t="shared" si="584"/>
        <v>0</v>
      </c>
      <c r="CN84">
        <f t="shared" si="585"/>
        <v>0</v>
      </c>
      <c r="CO84">
        <f t="shared" si="586"/>
        <v>0</v>
      </c>
      <c r="CP84">
        <f t="shared" si="587"/>
        <v>0</v>
      </c>
      <c r="CR84">
        <f t="shared" si="588"/>
        <v>0</v>
      </c>
      <c r="CS84">
        <f t="shared" si="589"/>
        <v>0</v>
      </c>
      <c r="CT84">
        <f t="shared" si="590"/>
        <v>0</v>
      </c>
      <c r="CU84">
        <f t="shared" si="591"/>
        <v>0</v>
      </c>
      <c r="CV84">
        <f t="shared" si="592"/>
        <v>0</v>
      </c>
      <c r="CW84">
        <f t="shared" si="593"/>
        <v>0</v>
      </c>
      <c r="CY84">
        <f t="shared" si="594"/>
        <v>0</v>
      </c>
      <c r="CZ84">
        <f t="shared" si="595"/>
        <v>0</v>
      </c>
      <c r="DA84">
        <f t="shared" si="596"/>
        <v>0</v>
      </c>
      <c r="DB84">
        <f t="shared" si="597"/>
        <v>0</v>
      </c>
      <c r="DC84">
        <f t="shared" si="598"/>
        <v>0</v>
      </c>
      <c r="DD84">
        <f t="shared" si="599"/>
        <v>0</v>
      </c>
      <c r="DF84" s="79">
        <f t="shared" si="600"/>
        <v>0</v>
      </c>
      <c r="DG84" s="79">
        <f t="shared" si="601"/>
        <v>0</v>
      </c>
      <c r="DH84">
        <f t="shared" si="124"/>
        <v>0</v>
      </c>
      <c r="DI84">
        <f t="shared" si="606"/>
        <v>1</v>
      </c>
      <c r="DK84" s="79">
        <f t="shared" si="607"/>
        <v>0</v>
      </c>
      <c r="DL84" s="79">
        <f t="shared" si="608"/>
        <v>0</v>
      </c>
      <c r="DM84">
        <f t="shared" ref="DM84:DN84" si="631">IF(DK84+DL84=0,DM83,(DM83+DK84)*DK84)</f>
        <v>1</v>
      </c>
      <c r="DN84">
        <f t="shared" si="631"/>
        <v>0</v>
      </c>
      <c r="DP84" s="79">
        <f t="shared" si="610"/>
        <v>0</v>
      </c>
      <c r="DQ84" s="79">
        <f t="shared" si="611"/>
        <v>0</v>
      </c>
      <c r="DR84">
        <f t="shared" ref="DR84:DS84" si="632">IF(DP84+DQ84=0,DR83,(DR83+DP84)*DP84)</f>
        <v>0</v>
      </c>
      <c r="DS84">
        <f t="shared" si="632"/>
        <v>1</v>
      </c>
      <c r="DU84" s="79">
        <f t="shared" si="613"/>
        <v>0</v>
      </c>
      <c r="DV84" s="79">
        <f t="shared" si="614"/>
        <v>0</v>
      </c>
      <c r="DW84">
        <f t="shared" ref="DW84:DX84" si="633">IF(DU84+DV84=0,DW83,(DW83+DU84)*DU84)</f>
        <v>0</v>
      </c>
      <c r="DX84">
        <f t="shared" si="633"/>
        <v>1</v>
      </c>
      <c r="DZ84" s="79">
        <f t="shared" si="616"/>
        <v>0</v>
      </c>
      <c r="EA84" s="79">
        <f t="shared" si="617"/>
        <v>0</v>
      </c>
      <c r="EB84">
        <f t="shared" ref="EB84:EC84" si="634">IF(DZ84+EA84=0,EB83,(EB83+DZ84)*DZ84)</f>
        <v>0</v>
      </c>
      <c r="EC84">
        <f t="shared" si="634"/>
        <v>1</v>
      </c>
    </row>
    <row r="85" spans="1:133">
      <c r="A85" s="29"/>
      <c r="B85" s="29"/>
      <c r="C85" s="29"/>
      <c r="D85" s="29"/>
      <c r="E85" s="29"/>
      <c r="F85" s="30"/>
      <c r="G85" s="29"/>
      <c r="H85" s="29"/>
      <c r="I85" s="29"/>
      <c r="J85" s="29"/>
      <c r="AH85" s="72">
        <f t="shared" si="530"/>
        <v>0</v>
      </c>
      <c r="AI85" s="72">
        <f t="shared" si="531"/>
        <v>0</v>
      </c>
      <c r="AJ85" s="72">
        <f t="shared" si="532"/>
        <v>0</v>
      </c>
      <c r="AK85" s="72">
        <f t="shared" si="533"/>
        <v>0</v>
      </c>
      <c r="AL85" s="72">
        <f t="shared" si="534"/>
        <v>0</v>
      </c>
      <c r="AM85" s="72">
        <f t="shared" si="535"/>
        <v>0</v>
      </c>
      <c r="AN85" s="72">
        <f t="shared" si="536"/>
        <v>0</v>
      </c>
      <c r="AO85" s="72">
        <f t="shared" si="537"/>
        <v>0</v>
      </c>
      <c r="AP85" s="72">
        <f t="shared" si="538"/>
        <v>0</v>
      </c>
      <c r="AQ85" s="72">
        <f t="shared" si="539"/>
        <v>0</v>
      </c>
      <c r="AR85" s="72">
        <f t="shared" si="540"/>
        <v>0</v>
      </c>
      <c r="AS85" s="72">
        <f t="shared" si="541"/>
        <v>0</v>
      </c>
      <c r="AT85" s="72">
        <f t="shared" si="542"/>
        <v>0</v>
      </c>
      <c r="AU85" s="72">
        <f t="shared" si="543"/>
        <v>0</v>
      </c>
      <c r="AV85" s="72">
        <f t="shared" si="544"/>
        <v>0</v>
      </c>
      <c r="AW85" s="72">
        <f t="shared" si="545"/>
        <v>0</v>
      </c>
      <c r="AX85" s="72">
        <f t="shared" si="546"/>
        <v>0</v>
      </c>
      <c r="AY85" s="72">
        <f t="shared" si="547"/>
        <v>0</v>
      </c>
      <c r="AZ85" s="72">
        <f t="shared" si="548"/>
        <v>0</v>
      </c>
      <c r="BA85" s="72">
        <f t="shared" si="549"/>
        <v>0</v>
      </c>
      <c r="BB85" s="72">
        <f t="shared" si="550"/>
        <v>0</v>
      </c>
      <c r="BC85" s="72">
        <f t="shared" si="551"/>
        <v>0</v>
      </c>
      <c r="BD85" s="72">
        <f t="shared" si="552"/>
        <v>0</v>
      </c>
      <c r="BE85" s="72">
        <f t="shared" si="553"/>
        <v>0</v>
      </c>
      <c r="BF85" s="72">
        <f t="shared" si="554"/>
        <v>0</v>
      </c>
      <c r="BG85" s="72">
        <f t="shared" si="555"/>
        <v>0</v>
      </c>
      <c r="BH85" s="72">
        <f t="shared" si="556"/>
        <v>0</v>
      </c>
      <c r="BI85" s="72">
        <f t="shared" si="557"/>
        <v>0</v>
      </c>
      <c r="BJ85" s="72">
        <f t="shared" si="558"/>
        <v>0</v>
      </c>
      <c r="BK85" s="72">
        <f t="shared" si="559"/>
        <v>0</v>
      </c>
      <c r="BL85" s="72">
        <f t="shared" si="560"/>
        <v>0</v>
      </c>
      <c r="BM85" s="72">
        <f t="shared" si="561"/>
        <v>0</v>
      </c>
      <c r="BN85" s="72">
        <f t="shared" si="562"/>
        <v>0</v>
      </c>
      <c r="BO85" s="72">
        <f t="shared" si="563"/>
        <v>0</v>
      </c>
      <c r="BP85" s="72">
        <f t="shared" si="564"/>
        <v>0</v>
      </c>
      <c r="BQ85" s="72">
        <f t="shared" si="565"/>
        <v>0</v>
      </c>
      <c r="BR85" s="72">
        <f t="shared" si="566"/>
        <v>0</v>
      </c>
      <c r="BS85" s="72">
        <f t="shared" si="567"/>
        <v>0</v>
      </c>
      <c r="BT85" s="72">
        <f t="shared" si="568"/>
        <v>0</v>
      </c>
      <c r="BU85" s="72">
        <f t="shared" si="569"/>
        <v>0</v>
      </c>
      <c r="BW85">
        <f t="shared" si="570"/>
        <v>0</v>
      </c>
      <c r="BX85">
        <f t="shared" si="571"/>
        <v>0</v>
      </c>
      <c r="BY85">
        <f t="shared" si="572"/>
        <v>0</v>
      </c>
      <c r="BZ85">
        <f t="shared" si="573"/>
        <v>0</v>
      </c>
      <c r="CA85">
        <f t="shared" si="574"/>
        <v>0</v>
      </c>
      <c r="CB85">
        <f t="shared" si="575"/>
        <v>0</v>
      </c>
      <c r="CD85">
        <f t="shared" si="576"/>
        <v>0</v>
      </c>
      <c r="CE85">
        <f t="shared" si="577"/>
        <v>0</v>
      </c>
      <c r="CF85">
        <f t="shared" si="578"/>
        <v>0</v>
      </c>
      <c r="CG85">
        <f t="shared" si="579"/>
        <v>0</v>
      </c>
      <c r="CH85">
        <f t="shared" si="580"/>
        <v>0</v>
      </c>
      <c r="CI85">
        <f t="shared" si="581"/>
        <v>0</v>
      </c>
      <c r="CK85">
        <f t="shared" si="582"/>
        <v>0</v>
      </c>
      <c r="CL85">
        <f t="shared" si="583"/>
        <v>0</v>
      </c>
      <c r="CM85">
        <f t="shared" si="584"/>
        <v>0</v>
      </c>
      <c r="CN85">
        <f t="shared" si="585"/>
        <v>0</v>
      </c>
      <c r="CO85">
        <f t="shared" si="586"/>
        <v>0</v>
      </c>
      <c r="CP85">
        <f t="shared" si="587"/>
        <v>0</v>
      </c>
      <c r="CR85">
        <f t="shared" si="588"/>
        <v>0</v>
      </c>
      <c r="CS85">
        <f t="shared" si="589"/>
        <v>0</v>
      </c>
      <c r="CT85">
        <f t="shared" si="590"/>
        <v>0</v>
      </c>
      <c r="CU85">
        <f t="shared" si="591"/>
        <v>0</v>
      </c>
      <c r="CV85">
        <f t="shared" si="592"/>
        <v>0</v>
      </c>
      <c r="CW85">
        <f t="shared" si="593"/>
        <v>0</v>
      </c>
      <c r="CY85">
        <f t="shared" si="594"/>
        <v>0</v>
      </c>
      <c r="CZ85">
        <f t="shared" si="595"/>
        <v>0</v>
      </c>
      <c r="DA85">
        <f t="shared" si="596"/>
        <v>0</v>
      </c>
      <c r="DB85">
        <f t="shared" si="597"/>
        <v>0</v>
      </c>
      <c r="DC85">
        <f t="shared" si="598"/>
        <v>0</v>
      </c>
      <c r="DD85">
        <f t="shared" si="599"/>
        <v>0</v>
      </c>
      <c r="DF85" s="79">
        <f t="shared" si="600"/>
        <v>0</v>
      </c>
      <c r="DG85" s="79">
        <f t="shared" si="601"/>
        <v>0</v>
      </c>
      <c r="DH85">
        <f t="shared" si="124"/>
        <v>0</v>
      </c>
      <c r="DI85">
        <f t="shared" si="606"/>
        <v>1</v>
      </c>
      <c r="DK85" s="79">
        <f t="shared" si="607"/>
        <v>0</v>
      </c>
      <c r="DL85" s="79">
        <f t="shared" si="608"/>
        <v>0</v>
      </c>
      <c r="DM85">
        <f t="shared" ref="DM85:DN85" si="635">IF(DK85+DL85=0,DM84,(DM84+DK85)*DK85)</f>
        <v>1</v>
      </c>
      <c r="DN85">
        <f t="shared" si="635"/>
        <v>0</v>
      </c>
      <c r="DP85" s="79">
        <f t="shared" si="610"/>
        <v>0</v>
      </c>
      <c r="DQ85" s="79">
        <f t="shared" si="611"/>
        <v>0</v>
      </c>
      <c r="DR85">
        <f t="shared" ref="DR85:DS85" si="636">IF(DP85+DQ85=0,DR84,(DR84+DP85)*DP85)</f>
        <v>0</v>
      </c>
      <c r="DS85">
        <f t="shared" si="636"/>
        <v>1</v>
      </c>
      <c r="DU85" s="79">
        <f t="shared" si="613"/>
        <v>0</v>
      </c>
      <c r="DV85" s="79">
        <f t="shared" si="614"/>
        <v>0</v>
      </c>
      <c r="DW85">
        <f t="shared" ref="DW85:DX85" si="637">IF(DU85+DV85=0,DW84,(DW84+DU85)*DU85)</f>
        <v>0</v>
      </c>
      <c r="DX85">
        <f t="shared" si="637"/>
        <v>1</v>
      </c>
      <c r="DZ85" s="79">
        <f t="shared" si="616"/>
        <v>0</v>
      </c>
      <c r="EA85" s="79">
        <f t="shared" si="617"/>
        <v>0</v>
      </c>
      <c r="EB85">
        <f t="shared" ref="EB85:EC85" si="638">IF(DZ85+EA85=0,EB84,(EB84+DZ85)*DZ85)</f>
        <v>0</v>
      </c>
      <c r="EC85">
        <f t="shared" si="638"/>
        <v>1</v>
      </c>
    </row>
    <row r="86" spans="1:133">
      <c r="A86" s="29"/>
      <c r="B86" s="29"/>
      <c r="C86" s="29"/>
      <c r="D86" s="29"/>
      <c r="E86" s="29"/>
      <c r="F86" s="30"/>
      <c r="G86" s="29"/>
      <c r="H86" s="29"/>
      <c r="I86" s="29"/>
      <c r="J86" s="29"/>
      <c r="AH86" s="72">
        <f t="shared" si="530"/>
        <v>0</v>
      </c>
      <c r="AI86" s="72">
        <f t="shared" si="531"/>
        <v>0</v>
      </c>
      <c r="AJ86" s="72">
        <f t="shared" si="532"/>
        <v>0</v>
      </c>
      <c r="AK86" s="72">
        <f t="shared" si="533"/>
        <v>0</v>
      </c>
      <c r="AL86" s="72">
        <f t="shared" si="534"/>
        <v>0</v>
      </c>
      <c r="AM86" s="72">
        <f t="shared" si="535"/>
        <v>0</v>
      </c>
      <c r="AN86" s="72">
        <f t="shared" si="536"/>
        <v>0</v>
      </c>
      <c r="AO86" s="72">
        <f t="shared" si="537"/>
        <v>0</v>
      </c>
      <c r="AP86" s="72">
        <f t="shared" si="538"/>
        <v>0</v>
      </c>
      <c r="AQ86" s="72">
        <f t="shared" si="539"/>
        <v>0</v>
      </c>
      <c r="AR86" s="72">
        <f t="shared" si="540"/>
        <v>0</v>
      </c>
      <c r="AS86" s="72">
        <f t="shared" si="541"/>
        <v>0</v>
      </c>
      <c r="AT86" s="72">
        <f t="shared" si="542"/>
        <v>0</v>
      </c>
      <c r="AU86" s="72">
        <f t="shared" si="543"/>
        <v>0</v>
      </c>
      <c r="AV86" s="72">
        <f t="shared" si="544"/>
        <v>0</v>
      </c>
      <c r="AW86" s="72">
        <f t="shared" si="545"/>
        <v>0</v>
      </c>
      <c r="AX86" s="72">
        <f t="shared" si="546"/>
        <v>0</v>
      </c>
      <c r="AY86" s="72">
        <f t="shared" si="547"/>
        <v>0</v>
      </c>
      <c r="AZ86" s="72">
        <f t="shared" si="548"/>
        <v>0</v>
      </c>
      <c r="BA86" s="72">
        <f t="shared" si="549"/>
        <v>0</v>
      </c>
      <c r="BB86" s="72">
        <f t="shared" si="550"/>
        <v>0</v>
      </c>
      <c r="BC86" s="72">
        <f t="shared" si="551"/>
        <v>0</v>
      </c>
      <c r="BD86" s="72">
        <f t="shared" si="552"/>
        <v>0</v>
      </c>
      <c r="BE86" s="72">
        <f t="shared" si="553"/>
        <v>0</v>
      </c>
      <c r="BF86" s="72">
        <f t="shared" si="554"/>
        <v>0</v>
      </c>
      <c r="BG86" s="72">
        <f t="shared" si="555"/>
        <v>0</v>
      </c>
      <c r="BH86" s="72">
        <f t="shared" si="556"/>
        <v>0</v>
      </c>
      <c r="BI86" s="72">
        <f t="shared" si="557"/>
        <v>0</v>
      </c>
      <c r="BJ86" s="72">
        <f t="shared" si="558"/>
        <v>0</v>
      </c>
      <c r="BK86" s="72">
        <f t="shared" si="559"/>
        <v>0</v>
      </c>
      <c r="BL86" s="72">
        <f t="shared" si="560"/>
        <v>0</v>
      </c>
      <c r="BM86" s="72">
        <f t="shared" si="561"/>
        <v>0</v>
      </c>
      <c r="BN86" s="72">
        <f t="shared" si="562"/>
        <v>0</v>
      </c>
      <c r="BO86" s="72">
        <f t="shared" si="563"/>
        <v>0</v>
      </c>
      <c r="BP86" s="72">
        <f t="shared" si="564"/>
        <v>0</v>
      </c>
      <c r="BQ86" s="72">
        <f t="shared" si="565"/>
        <v>0</v>
      </c>
      <c r="BR86" s="72">
        <f t="shared" si="566"/>
        <v>0</v>
      </c>
      <c r="BS86" s="72">
        <f t="shared" si="567"/>
        <v>0</v>
      </c>
      <c r="BT86" s="72">
        <f t="shared" si="568"/>
        <v>0</v>
      </c>
      <c r="BU86" s="72">
        <f t="shared" si="569"/>
        <v>0</v>
      </c>
      <c r="BW86">
        <f t="shared" si="570"/>
        <v>0</v>
      </c>
      <c r="BX86">
        <f t="shared" si="571"/>
        <v>0</v>
      </c>
      <c r="BY86">
        <f t="shared" si="572"/>
        <v>0</v>
      </c>
      <c r="BZ86">
        <f t="shared" si="573"/>
        <v>0</v>
      </c>
      <c r="CA86">
        <f t="shared" si="574"/>
        <v>0</v>
      </c>
      <c r="CB86">
        <f t="shared" si="575"/>
        <v>0</v>
      </c>
      <c r="CD86">
        <f t="shared" si="576"/>
        <v>0</v>
      </c>
      <c r="CE86">
        <f t="shared" si="577"/>
        <v>0</v>
      </c>
      <c r="CF86">
        <f t="shared" si="578"/>
        <v>0</v>
      </c>
      <c r="CG86">
        <f t="shared" si="579"/>
        <v>0</v>
      </c>
      <c r="CH86">
        <f t="shared" si="580"/>
        <v>0</v>
      </c>
      <c r="CI86">
        <f t="shared" si="581"/>
        <v>0</v>
      </c>
      <c r="CK86">
        <f t="shared" si="582"/>
        <v>0</v>
      </c>
      <c r="CL86">
        <f t="shared" si="583"/>
        <v>0</v>
      </c>
      <c r="CM86">
        <f t="shared" si="584"/>
        <v>0</v>
      </c>
      <c r="CN86">
        <f t="shared" si="585"/>
        <v>0</v>
      </c>
      <c r="CO86">
        <f t="shared" si="586"/>
        <v>0</v>
      </c>
      <c r="CP86">
        <f t="shared" si="587"/>
        <v>0</v>
      </c>
      <c r="CR86">
        <f t="shared" si="588"/>
        <v>0</v>
      </c>
      <c r="CS86">
        <f t="shared" si="589"/>
        <v>0</v>
      </c>
      <c r="CT86">
        <f t="shared" si="590"/>
        <v>0</v>
      </c>
      <c r="CU86">
        <f t="shared" si="591"/>
        <v>0</v>
      </c>
      <c r="CV86">
        <f t="shared" si="592"/>
        <v>0</v>
      </c>
      <c r="CW86">
        <f t="shared" si="593"/>
        <v>0</v>
      </c>
      <c r="CY86">
        <f t="shared" si="594"/>
        <v>0</v>
      </c>
      <c r="CZ86">
        <f t="shared" si="595"/>
        <v>0</v>
      </c>
      <c r="DA86">
        <f t="shared" si="596"/>
        <v>0</v>
      </c>
      <c r="DB86">
        <f t="shared" si="597"/>
        <v>0</v>
      </c>
      <c r="DC86">
        <f t="shared" si="598"/>
        <v>0</v>
      </c>
      <c r="DD86">
        <f t="shared" si="599"/>
        <v>0</v>
      </c>
      <c r="DF86" s="79">
        <f t="shared" si="600"/>
        <v>0</v>
      </c>
      <c r="DG86" s="79">
        <f t="shared" si="601"/>
        <v>0</v>
      </c>
      <c r="DH86">
        <f t="shared" si="124"/>
        <v>0</v>
      </c>
      <c r="DI86">
        <f t="shared" si="606"/>
        <v>1</v>
      </c>
      <c r="DK86" s="79">
        <f t="shared" si="607"/>
        <v>0</v>
      </c>
      <c r="DL86" s="79">
        <f t="shared" si="608"/>
        <v>0</v>
      </c>
      <c r="DM86">
        <f t="shared" ref="DM86:DN86" si="639">IF(DK86+DL86=0,DM85,(DM85+DK86)*DK86)</f>
        <v>1</v>
      </c>
      <c r="DN86">
        <f t="shared" si="639"/>
        <v>0</v>
      </c>
      <c r="DP86" s="79">
        <f t="shared" si="610"/>
        <v>0</v>
      </c>
      <c r="DQ86" s="79">
        <f t="shared" si="611"/>
        <v>0</v>
      </c>
      <c r="DR86">
        <f t="shared" ref="DR86:DS86" si="640">IF(DP86+DQ86=0,DR85,(DR85+DP86)*DP86)</f>
        <v>0</v>
      </c>
      <c r="DS86">
        <f t="shared" si="640"/>
        <v>1</v>
      </c>
      <c r="DU86" s="79">
        <f t="shared" si="613"/>
        <v>0</v>
      </c>
      <c r="DV86" s="79">
        <f t="shared" si="614"/>
        <v>0</v>
      </c>
      <c r="DW86">
        <f t="shared" ref="DW86:DX86" si="641">IF(DU86+DV86=0,DW85,(DW85+DU86)*DU86)</f>
        <v>0</v>
      </c>
      <c r="DX86">
        <f t="shared" si="641"/>
        <v>1</v>
      </c>
      <c r="DZ86" s="79">
        <f t="shared" si="616"/>
        <v>0</v>
      </c>
      <c r="EA86" s="79">
        <f t="shared" si="617"/>
        <v>0</v>
      </c>
      <c r="EB86">
        <f t="shared" ref="EB86:EC86" si="642">IF(DZ86+EA86=0,EB85,(EB85+DZ86)*DZ86)</f>
        <v>0</v>
      </c>
      <c r="EC86">
        <f t="shared" si="642"/>
        <v>1</v>
      </c>
    </row>
    <row r="87" spans="1:133">
      <c r="A87" s="29"/>
      <c r="B87" s="29"/>
      <c r="C87" s="29"/>
      <c r="D87" s="29"/>
      <c r="E87" s="29"/>
      <c r="F87" s="30"/>
      <c r="G87" s="29"/>
      <c r="H87" s="29"/>
      <c r="I87" s="29"/>
      <c r="J87" s="29"/>
      <c r="AH87" s="72">
        <f t="shared" si="530"/>
        <v>0</v>
      </c>
      <c r="AI87" s="72">
        <f t="shared" si="531"/>
        <v>0</v>
      </c>
      <c r="AJ87" s="72">
        <f t="shared" si="532"/>
        <v>0</v>
      </c>
      <c r="AK87" s="72">
        <f t="shared" si="533"/>
        <v>0</v>
      </c>
      <c r="AL87" s="72">
        <f t="shared" si="534"/>
        <v>0</v>
      </c>
      <c r="AM87" s="72">
        <f t="shared" si="535"/>
        <v>0</v>
      </c>
      <c r="AN87" s="72">
        <f t="shared" si="536"/>
        <v>0</v>
      </c>
      <c r="AO87" s="72">
        <f t="shared" si="537"/>
        <v>0</v>
      </c>
      <c r="AP87" s="72">
        <f t="shared" si="538"/>
        <v>0</v>
      </c>
      <c r="AQ87" s="72">
        <f t="shared" si="539"/>
        <v>0</v>
      </c>
      <c r="AR87" s="72">
        <f t="shared" si="540"/>
        <v>0</v>
      </c>
      <c r="AS87" s="72">
        <f t="shared" si="541"/>
        <v>0</v>
      </c>
      <c r="AT87" s="72">
        <f t="shared" si="542"/>
        <v>0</v>
      </c>
      <c r="AU87" s="72">
        <f t="shared" si="543"/>
        <v>0</v>
      </c>
      <c r="AV87" s="72">
        <f t="shared" si="544"/>
        <v>0</v>
      </c>
      <c r="AW87" s="72">
        <f t="shared" si="545"/>
        <v>0</v>
      </c>
      <c r="AX87" s="72">
        <f t="shared" si="546"/>
        <v>0</v>
      </c>
      <c r="AY87" s="72">
        <f t="shared" si="547"/>
        <v>0</v>
      </c>
      <c r="AZ87" s="72">
        <f t="shared" si="548"/>
        <v>0</v>
      </c>
      <c r="BA87" s="72">
        <f t="shared" si="549"/>
        <v>0</v>
      </c>
      <c r="BB87" s="72">
        <f t="shared" si="550"/>
        <v>0</v>
      </c>
      <c r="BC87" s="72">
        <f t="shared" si="551"/>
        <v>0</v>
      </c>
      <c r="BD87" s="72">
        <f t="shared" si="552"/>
        <v>0</v>
      </c>
      <c r="BE87" s="72">
        <f t="shared" si="553"/>
        <v>0</v>
      </c>
      <c r="BF87" s="72">
        <f t="shared" si="554"/>
        <v>0</v>
      </c>
      <c r="BG87" s="72">
        <f t="shared" si="555"/>
        <v>0</v>
      </c>
      <c r="BH87" s="72">
        <f t="shared" si="556"/>
        <v>0</v>
      </c>
      <c r="BI87" s="72">
        <f t="shared" si="557"/>
        <v>0</v>
      </c>
      <c r="BJ87" s="72">
        <f t="shared" si="558"/>
        <v>0</v>
      </c>
      <c r="BK87" s="72">
        <f t="shared" si="559"/>
        <v>0</v>
      </c>
      <c r="BL87" s="72">
        <f t="shared" si="560"/>
        <v>0</v>
      </c>
      <c r="BM87" s="72">
        <f t="shared" si="561"/>
        <v>0</v>
      </c>
      <c r="BN87" s="72">
        <f t="shared" si="562"/>
        <v>0</v>
      </c>
      <c r="BO87" s="72">
        <f t="shared" si="563"/>
        <v>0</v>
      </c>
      <c r="BP87" s="72">
        <f t="shared" si="564"/>
        <v>0</v>
      </c>
      <c r="BQ87" s="72">
        <f t="shared" si="565"/>
        <v>0</v>
      </c>
      <c r="BR87" s="72">
        <f t="shared" si="566"/>
        <v>0</v>
      </c>
      <c r="BS87" s="72">
        <f t="shared" si="567"/>
        <v>0</v>
      </c>
      <c r="BT87" s="72">
        <f t="shared" si="568"/>
        <v>0</v>
      </c>
      <c r="BU87" s="72">
        <f t="shared" si="569"/>
        <v>0</v>
      </c>
      <c r="BW87">
        <f t="shared" si="570"/>
        <v>0</v>
      </c>
      <c r="BX87">
        <f t="shared" si="571"/>
        <v>0</v>
      </c>
      <c r="BY87">
        <f t="shared" si="572"/>
        <v>0</v>
      </c>
      <c r="BZ87">
        <f t="shared" si="573"/>
        <v>0</v>
      </c>
      <c r="CA87">
        <f t="shared" si="574"/>
        <v>0</v>
      </c>
      <c r="CB87">
        <f t="shared" si="575"/>
        <v>0</v>
      </c>
      <c r="CD87">
        <f t="shared" si="576"/>
        <v>0</v>
      </c>
      <c r="CE87">
        <f t="shared" si="577"/>
        <v>0</v>
      </c>
      <c r="CF87">
        <f t="shared" si="578"/>
        <v>0</v>
      </c>
      <c r="CG87">
        <f t="shared" si="579"/>
        <v>0</v>
      </c>
      <c r="CH87">
        <f t="shared" si="580"/>
        <v>0</v>
      </c>
      <c r="CI87">
        <f t="shared" si="581"/>
        <v>0</v>
      </c>
      <c r="CK87">
        <f t="shared" si="582"/>
        <v>0</v>
      </c>
      <c r="CL87">
        <f t="shared" si="583"/>
        <v>0</v>
      </c>
      <c r="CM87">
        <f t="shared" si="584"/>
        <v>0</v>
      </c>
      <c r="CN87">
        <f t="shared" si="585"/>
        <v>0</v>
      </c>
      <c r="CO87">
        <f t="shared" si="586"/>
        <v>0</v>
      </c>
      <c r="CP87">
        <f t="shared" si="587"/>
        <v>0</v>
      </c>
      <c r="CR87">
        <f t="shared" si="588"/>
        <v>0</v>
      </c>
      <c r="CS87">
        <f t="shared" si="589"/>
        <v>0</v>
      </c>
      <c r="CT87">
        <f t="shared" si="590"/>
        <v>0</v>
      </c>
      <c r="CU87">
        <f t="shared" si="591"/>
        <v>0</v>
      </c>
      <c r="CV87">
        <f t="shared" si="592"/>
        <v>0</v>
      </c>
      <c r="CW87">
        <f t="shared" si="593"/>
        <v>0</v>
      </c>
      <c r="CY87">
        <f t="shared" si="594"/>
        <v>0</v>
      </c>
      <c r="CZ87">
        <f t="shared" si="595"/>
        <v>0</v>
      </c>
      <c r="DA87">
        <f t="shared" si="596"/>
        <v>0</v>
      </c>
      <c r="DB87">
        <f t="shared" si="597"/>
        <v>0</v>
      </c>
      <c r="DC87">
        <f t="shared" si="598"/>
        <v>0</v>
      </c>
      <c r="DD87">
        <f t="shared" si="599"/>
        <v>0</v>
      </c>
      <c r="DF87" s="79">
        <f t="shared" si="600"/>
        <v>0</v>
      </c>
      <c r="DG87" s="79">
        <f t="shared" si="601"/>
        <v>0</v>
      </c>
      <c r="DH87">
        <f t="shared" ref="DH87:DH112" si="643">IF(DF87+DG87=0,DH86,(DH86+DF87)*DF87)</f>
        <v>0</v>
      </c>
      <c r="DI87">
        <f t="shared" si="606"/>
        <v>1</v>
      </c>
      <c r="DK87" s="79">
        <f t="shared" si="607"/>
        <v>0</v>
      </c>
      <c r="DL87" s="79">
        <f t="shared" si="608"/>
        <v>0</v>
      </c>
      <c r="DM87">
        <f t="shared" ref="DM87:DN87" si="644">IF(DK87+DL87=0,DM86,(DM86+DK87)*DK87)</f>
        <v>1</v>
      </c>
      <c r="DN87">
        <f t="shared" si="644"/>
        <v>0</v>
      </c>
      <c r="DP87" s="79">
        <f t="shared" si="610"/>
        <v>0</v>
      </c>
      <c r="DQ87" s="79">
        <f t="shared" si="611"/>
        <v>0</v>
      </c>
      <c r="DR87">
        <f t="shared" ref="DR87:DS87" si="645">IF(DP87+DQ87=0,DR86,(DR86+DP87)*DP87)</f>
        <v>0</v>
      </c>
      <c r="DS87">
        <f t="shared" si="645"/>
        <v>1</v>
      </c>
      <c r="DU87" s="79">
        <f t="shared" si="613"/>
        <v>0</v>
      </c>
      <c r="DV87" s="79">
        <f t="shared" si="614"/>
        <v>0</v>
      </c>
      <c r="DW87">
        <f t="shared" ref="DW87:DX87" si="646">IF(DU87+DV87=0,DW86,(DW86+DU87)*DU87)</f>
        <v>0</v>
      </c>
      <c r="DX87">
        <f t="shared" si="646"/>
        <v>1</v>
      </c>
      <c r="DZ87" s="79">
        <f t="shared" si="616"/>
        <v>0</v>
      </c>
      <c r="EA87" s="79">
        <f t="shared" si="617"/>
        <v>0</v>
      </c>
      <c r="EB87">
        <f t="shared" ref="EB87:EC87" si="647">IF(DZ87+EA87=0,EB86,(EB86+DZ87)*DZ87)</f>
        <v>0</v>
      </c>
      <c r="EC87">
        <f t="shared" si="647"/>
        <v>1</v>
      </c>
    </row>
    <row r="88" spans="1:133">
      <c r="A88" s="29"/>
      <c r="B88" s="29"/>
      <c r="C88" s="29"/>
      <c r="D88" s="29"/>
      <c r="E88" s="29"/>
      <c r="F88" s="30"/>
      <c r="G88" s="29"/>
      <c r="H88" s="29"/>
      <c r="I88" s="29"/>
      <c r="J88" s="29"/>
      <c r="AH88" s="72">
        <f t="shared" si="530"/>
        <v>0</v>
      </c>
      <c r="AI88" s="72">
        <f t="shared" si="531"/>
        <v>0</v>
      </c>
      <c r="AJ88" s="72">
        <f t="shared" si="532"/>
        <v>0</v>
      </c>
      <c r="AK88" s="72">
        <f t="shared" si="533"/>
        <v>0</v>
      </c>
      <c r="AL88" s="72">
        <f t="shared" si="534"/>
        <v>0</v>
      </c>
      <c r="AM88" s="72">
        <f t="shared" si="535"/>
        <v>0</v>
      </c>
      <c r="AN88" s="72">
        <f t="shared" si="536"/>
        <v>0</v>
      </c>
      <c r="AO88" s="72">
        <f t="shared" si="537"/>
        <v>0</v>
      </c>
      <c r="AP88" s="72">
        <f t="shared" si="538"/>
        <v>0</v>
      </c>
      <c r="AQ88" s="72">
        <f t="shared" si="539"/>
        <v>0</v>
      </c>
      <c r="AR88" s="72">
        <f t="shared" si="540"/>
        <v>0</v>
      </c>
      <c r="AS88" s="72">
        <f t="shared" si="541"/>
        <v>0</v>
      </c>
      <c r="AT88" s="72">
        <f t="shared" si="542"/>
        <v>0</v>
      </c>
      <c r="AU88" s="72">
        <f t="shared" si="543"/>
        <v>0</v>
      </c>
      <c r="AV88" s="72">
        <f t="shared" si="544"/>
        <v>0</v>
      </c>
      <c r="AW88" s="72">
        <f t="shared" si="545"/>
        <v>0</v>
      </c>
      <c r="AX88" s="72">
        <f t="shared" si="546"/>
        <v>0</v>
      </c>
      <c r="AY88" s="72">
        <f t="shared" si="547"/>
        <v>0</v>
      </c>
      <c r="AZ88" s="72">
        <f t="shared" si="548"/>
        <v>0</v>
      </c>
      <c r="BA88" s="72">
        <f t="shared" si="549"/>
        <v>0</v>
      </c>
      <c r="BB88" s="72">
        <f t="shared" si="550"/>
        <v>0</v>
      </c>
      <c r="BC88" s="72">
        <f t="shared" si="551"/>
        <v>0</v>
      </c>
      <c r="BD88" s="72">
        <f t="shared" si="552"/>
        <v>0</v>
      </c>
      <c r="BE88" s="72">
        <f t="shared" si="553"/>
        <v>0</v>
      </c>
      <c r="BF88" s="72">
        <f t="shared" si="554"/>
        <v>0</v>
      </c>
      <c r="BG88" s="72">
        <f t="shared" si="555"/>
        <v>0</v>
      </c>
      <c r="BH88" s="72">
        <f t="shared" si="556"/>
        <v>0</v>
      </c>
      <c r="BI88" s="72">
        <f t="shared" si="557"/>
        <v>0</v>
      </c>
      <c r="BJ88" s="72">
        <f t="shared" si="558"/>
        <v>0</v>
      </c>
      <c r="BK88" s="72">
        <f t="shared" si="559"/>
        <v>0</v>
      </c>
      <c r="BL88" s="72">
        <f t="shared" si="560"/>
        <v>0</v>
      </c>
      <c r="BM88" s="72">
        <f t="shared" si="561"/>
        <v>0</v>
      </c>
      <c r="BN88" s="72">
        <f t="shared" si="562"/>
        <v>0</v>
      </c>
      <c r="BO88" s="72">
        <f t="shared" si="563"/>
        <v>0</v>
      </c>
      <c r="BP88" s="72">
        <f t="shared" si="564"/>
        <v>0</v>
      </c>
      <c r="BQ88" s="72">
        <f t="shared" si="565"/>
        <v>0</v>
      </c>
      <c r="BR88" s="72">
        <f t="shared" si="566"/>
        <v>0</v>
      </c>
      <c r="BS88" s="72">
        <f t="shared" si="567"/>
        <v>0</v>
      </c>
      <c r="BT88" s="72">
        <f t="shared" si="568"/>
        <v>0</v>
      </c>
      <c r="BU88" s="72">
        <f t="shared" si="569"/>
        <v>0</v>
      </c>
      <c r="BW88">
        <f t="shared" si="570"/>
        <v>0</v>
      </c>
      <c r="BX88">
        <f t="shared" si="571"/>
        <v>0</v>
      </c>
      <c r="BY88">
        <f t="shared" si="572"/>
        <v>0</v>
      </c>
      <c r="BZ88">
        <f t="shared" si="573"/>
        <v>0</v>
      </c>
      <c r="CA88">
        <f t="shared" si="574"/>
        <v>0</v>
      </c>
      <c r="CB88">
        <f t="shared" si="575"/>
        <v>0</v>
      </c>
      <c r="CD88">
        <f t="shared" si="576"/>
        <v>0</v>
      </c>
      <c r="CE88">
        <f t="shared" si="577"/>
        <v>0</v>
      </c>
      <c r="CF88">
        <f t="shared" si="578"/>
        <v>0</v>
      </c>
      <c r="CG88">
        <f t="shared" si="579"/>
        <v>0</v>
      </c>
      <c r="CH88">
        <f t="shared" si="580"/>
        <v>0</v>
      </c>
      <c r="CI88">
        <f t="shared" si="581"/>
        <v>0</v>
      </c>
      <c r="CK88">
        <f t="shared" si="582"/>
        <v>0</v>
      </c>
      <c r="CL88">
        <f t="shared" si="583"/>
        <v>0</v>
      </c>
      <c r="CM88">
        <f t="shared" si="584"/>
        <v>0</v>
      </c>
      <c r="CN88">
        <f t="shared" si="585"/>
        <v>0</v>
      </c>
      <c r="CO88">
        <f t="shared" si="586"/>
        <v>0</v>
      </c>
      <c r="CP88">
        <f t="shared" si="587"/>
        <v>0</v>
      </c>
      <c r="CR88">
        <f t="shared" si="588"/>
        <v>0</v>
      </c>
      <c r="CS88">
        <f t="shared" si="589"/>
        <v>0</v>
      </c>
      <c r="CT88">
        <f t="shared" si="590"/>
        <v>0</v>
      </c>
      <c r="CU88">
        <f t="shared" si="591"/>
        <v>0</v>
      </c>
      <c r="CV88">
        <f t="shared" si="592"/>
        <v>0</v>
      </c>
      <c r="CW88">
        <f t="shared" si="593"/>
        <v>0</v>
      </c>
      <c r="CY88">
        <f t="shared" si="594"/>
        <v>0</v>
      </c>
      <c r="CZ88">
        <f t="shared" si="595"/>
        <v>0</v>
      </c>
      <c r="DA88">
        <f t="shared" si="596"/>
        <v>0</v>
      </c>
      <c r="DB88">
        <f t="shared" si="597"/>
        <v>0</v>
      </c>
      <c r="DC88">
        <f t="shared" si="598"/>
        <v>0</v>
      </c>
      <c r="DD88">
        <f t="shared" si="599"/>
        <v>0</v>
      </c>
      <c r="DF88" s="79">
        <f t="shared" si="600"/>
        <v>0</v>
      </c>
      <c r="DG88" s="79">
        <f t="shared" si="601"/>
        <v>0</v>
      </c>
      <c r="DH88">
        <f t="shared" si="643"/>
        <v>0</v>
      </c>
      <c r="DI88">
        <f t="shared" si="606"/>
        <v>1</v>
      </c>
      <c r="DK88" s="79">
        <f t="shared" si="607"/>
        <v>0</v>
      </c>
      <c r="DL88" s="79">
        <f t="shared" si="608"/>
        <v>0</v>
      </c>
      <c r="DM88">
        <f t="shared" ref="DM88:DN88" si="648">IF(DK88+DL88=0,DM87,(DM87+DK88)*DK88)</f>
        <v>1</v>
      </c>
      <c r="DN88">
        <f t="shared" si="648"/>
        <v>0</v>
      </c>
      <c r="DP88" s="79">
        <f t="shared" si="610"/>
        <v>0</v>
      </c>
      <c r="DQ88" s="79">
        <f t="shared" si="611"/>
        <v>0</v>
      </c>
      <c r="DR88">
        <f t="shared" ref="DR88:DS88" si="649">IF(DP88+DQ88=0,DR87,(DR87+DP88)*DP88)</f>
        <v>0</v>
      </c>
      <c r="DS88">
        <f t="shared" si="649"/>
        <v>1</v>
      </c>
      <c r="DU88" s="79">
        <f t="shared" si="613"/>
        <v>0</v>
      </c>
      <c r="DV88" s="79">
        <f t="shared" si="614"/>
        <v>0</v>
      </c>
      <c r="DW88">
        <f t="shared" ref="DW88:DX88" si="650">IF(DU88+DV88=0,DW87,(DW87+DU88)*DU88)</f>
        <v>0</v>
      </c>
      <c r="DX88">
        <f t="shared" si="650"/>
        <v>1</v>
      </c>
      <c r="DZ88" s="79">
        <f t="shared" si="616"/>
        <v>0</v>
      </c>
      <c r="EA88" s="79">
        <f t="shared" si="617"/>
        <v>0</v>
      </c>
      <c r="EB88">
        <f t="shared" ref="EB88:EC88" si="651">IF(DZ88+EA88=0,EB87,(EB87+DZ88)*DZ88)</f>
        <v>0</v>
      </c>
      <c r="EC88">
        <f t="shared" si="651"/>
        <v>1</v>
      </c>
    </row>
    <row r="89" spans="1:133">
      <c r="A89" s="29"/>
      <c r="B89" s="29"/>
      <c r="C89" s="29"/>
      <c r="D89" s="29"/>
      <c r="E89" s="29"/>
      <c r="F89" s="30"/>
      <c r="G89" s="29"/>
      <c r="H89" s="29"/>
      <c r="I89" s="29"/>
      <c r="J89" s="29"/>
      <c r="AH89" s="72">
        <f t="shared" si="530"/>
        <v>0</v>
      </c>
      <c r="AI89" s="72">
        <f t="shared" si="531"/>
        <v>0</v>
      </c>
      <c r="AJ89" s="72">
        <f t="shared" si="532"/>
        <v>0</v>
      </c>
      <c r="AK89" s="72">
        <f t="shared" si="533"/>
        <v>0</v>
      </c>
      <c r="AL89" s="72">
        <f t="shared" si="534"/>
        <v>0</v>
      </c>
      <c r="AM89" s="72">
        <f t="shared" si="535"/>
        <v>0</v>
      </c>
      <c r="AN89" s="72">
        <f t="shared" si="536"/>
        <v>0</v>
      </c>
      <c r="AO89" s="72">
        <f t="shared" si="537"/>
        <v>0</v>
      </c>
      <c r="AP89" s="72">
        <f t="shared" si="538"/>
        <v>0</v>
      </c>
      <c r="AQ89" s="72">
        <f t="shared" si="539"/>
        <v>0</v>
      </c>
      <c r="AR89" s="72">
        <f t="shared" si="540"/>
        <v>0</v>
      </c>
      <c r="AS89" s="72">
        <f t="shared" si="541"/>
        <v>0</v>
      </c>
      <c r="AT89" s="72">
        <f t="shared" si="542"/>
        <v>0</v>
      </c>
      <c r="AU89" s="72">
        <f t="shared" si="543"/>
        <v>0</v>
      </c>
      <c r="AV89" s="72">
        <f t="shared" si="544"/>
        <v>0</v>
      </c>
      <c r="AW89" s="72">
        <f t="shared" si="545"/>
        <v>0</v>
      </c>
      <c r="AX89" s="72">
        <f t="shared" si="546"/>
        <v>0</v>
      </c>
      <c r="AY89" s="72">
        <f t="shared" si="547"/>
        <v>0</v>
      </c>
      <c r="AZ89" s="72">
        <f t="shared" si="548"/>
        <v>0</v>
      </c>
      <c r="BA89" s="72">
        <f t="shared" si="549"/>
        <v>0</v>
      </c>
      <c r="BB89" s="72">
        <f t="shared" si="550"/>
        <v>0</v>
      </c>
      <c r="BC89" s="72">
        <f t="shared" si="551"/>
        <v>0</v>
      </c>
      <c r="BD89" s="72">
        <f t="shared" si="552"/>
        <v>0</v>
      </c>
      <c r="BE89" s="72">
        <f t="shared" si="553"/>
        <v>0</v>
      </c>
      <c r="BF89" s="72">
        <f t="shared" si="554"/>
        <v>0</v>
      </c>
      <c r="BG89" s="72">
        <f t="shared" si="555"/>
        <v>0</v>
      </c>
      <c r="BH89" s="72">
        <f t="shared" si="556"/>
        <v>0</v>
      </c>
      <c r="BI89" s="72">
        <f t="shared" si="557"/>
        <v>0</v>
      </c>
      <c r="BJ89" s="72">
        <f t="shared" si="558"/>
        <v>0</v>
      </c>
      <c r="BK89" s="72">
        <f t="shared" si="559"/>
        <v>0</v>
      </c>
      <c r="BL89" s="72">
        <f t="shared" si="560"/>
        <v>0</v>
      </c>
      <c r="BM89" s="72">
        <f t="shared" si="561"/>
        <v>0</v>
      </c>
      <c r="BN89" s="72">
        <f t="shared" si="562"/>
        <v>0</v>
      </c>
      <c r="BO89" s="72">
        <f t="shared" si="563"/>
        <v>0</v>
      </c>
      <c r="BP89" s="72">
        <f t="shared" si="564"/>
        <v>0</v>
      </c>
      <c r="BQ89" s="72">
        <f t="shared" si="565"/>
        <v>0</v>
      </c>
      <c r="BR89" s="72">
        <f t="shared" si="566"/>
        <v>0</v>
      </c>
      <c r="BS89" s="72">
        <f t="shared" si="567"/>
        <v>0</v>
      </c>
      <c r="BT89" s="72">
        <f t="shared" si="568"/>
        <v>0</v>
      </c>
      <c r="BU89" s="72">
        <f t="shared" si="569"/>
        <v>0</v>
      </c>
      <c r="BW89">
        <f t="shared" si="570"/>
        <v>0</v>
      </c>
      <c r="BX89">
        <f t="shared" si="571"/>
        <v>0</v>
      </c>
      <c r="BY89">
        <f t="shared" si="572"/>
        <v>0</v>
      </c>
      <c r="BZ89">
        <f t="shared" si="573"/>
        <v>0</v>
      </c>
      <c r="CA89">
        <f t="shared" si="574"/>
        <v>0</v>
      </c>
      <c r="CB89">
        <f t="shared" si="575"/>
        <v>0</v>
      </c>
      <c r="CD89">
        <f t="shared" si="576"/>
        <v>0</v>
      </c>
      <c r="CE89">
        <f t="shared" si="577"/>
        <v>0</v>
      </c>
      <c r="CF89">
        <f t="shared" si="578"/>
        <v>0</v>
      </c>
      <c r="CG89">
        <f t="shared" si="579"/>
        <v>0</v>
      </c>
      <c r="CH89">
        <f t="shared" si="580"/>
        <v>0</v>
      </c>
      <c r="CI89">
        <f t="shared" si="581"/>
        <v>0</v>
      </c>
      <c r="CK89">
        <f t="shared" si="582"/>
        <v>0</v>
      </c>
      <c r="CL89">
        <f t="shared" si="583"/>
        <v>0</v>
      </c>
      <c r="CM89">
        <f t="shared" si="584"/>
        <v>0</v>
      </c>
      <c r="CN89">
        <f t="shared" si="585"/>
        <v>0</v>
      </c>
      <c r="CO89">
        <f t="shared" si="586"/>
        <v>0</v>
      </c>
      <c r="CP89">
        <f t="shared" si="587"/>
        <v>0</v>
      </c>
      <c r="CR89">
        <f t="shared" si="588"/>
        <v>0</v>
      </c>
      <c r="CS89">
        <f t="shared" si="589"/>
        <v>0</v>
      </c>
      <c r="CT89">
        <f t="shared" si="590"/>
        <v>0</v>
      </c>
      <c r="CU89">
        <f t="shared" si="591"/>
        <v>0</v>
      </c>
      <c r="CV89">
        <f t="shared" si="592"/>
        <v>0</v>
      </c>
      <c r="CW89">
        <f t="shared" si="593"/>
        <v>0</v>
      </c>
      <c r="CY89">
        <f t="shared" si="594"/>
        <v>0</v>
      </c>
      <c r="CZ89">
        <f t="shared" si="595"/>
        <v>0</v>
      </c>
      <c r="DA89">
        <f t="shared" si="596"/>
        <v>0</v>
      </c>
      <c r="DB89">
        <f t="shared" si="597"/>
        <v>0</v>
      </c>
      <c r="DC89">
        <f t="shared" si="598"/>
        <v>0</v>
      </c>
      <c r="DD89">
        <f t="shared" si="599"/>
        <v>0</v>
      </c>
      <c r="DF89" s="79">
        <f t="shared" si="600"/>
        <v>0</v>
      </c>
      <c r="DG89" s="79">
        <f t="shared" si="601"/>
        <v>0</v>
      </c>
      <c r="DH89">
        <f t="shared" si="643"/>
        <v>0</v>
      </c>
      <c r="DI89">
        <f t="shared" si="606"/>
        <v>1</v>
      </c>
      <c r="DK89" s="79">
        <f t="shared" si="607"/>
        <v>0</v>
      </c>
      <c r="DL89" s="79">
        <f t="shared" si="608"/>
        <v>0</v>
      </c>
      <c r="DM89">
        <f t="shared" ref="DM89:DN89" si="652">IF(DK89+DL89=0,DM88,(DM88+DK89)*DK89)</f>
        <v>1</v>
      </c>
      <c r="DN89">
        <f t="shared" si="652"/>
        <v>0</v>
      </c>
      <c r="DP89" s="79">
        <f t="shared" si="610"/>
        <v>0</v>
      </c>
      <c r="DQ89" s="79">
        <f t="shared" si="611"/>
        <v>0</v>
      </c>
      <c r="DR89">
        <f t="shared" ref="DR89:DS89" si="653">IF(DP89+DQ89=0,DR88,(DR88+DP89)*DP89)</f>
        <v>0</v>
      </c>
      <c r="DS89">
        <f t="shared" si="653"/>
        <v>1</v>
      </c>
      <c r="DU89" s="79">
        <f t="shared" si="613"/>
        <v>0</v>
      </c>
      <c r="DV89" s="79">
        <f t="shared" si="614"/>
        <v>0</v>
      </c>
      <c r="DW89">
        <f t="shared" ref="DW89:DX89" si="654">IF(DU89+DV89=0,DW88,(DW88+DU89)*DU89)</f>
        <v>0</v>
      </c>
      <c r="DX89">
        <f t="shared" si="654"/>
        <v>1</v>
      </c>
      <c r="DZ89" s="79">
        <f t="shared" si="616"/>
        <v>0</v>
      </c>
      <c r="EA89" s="79">
        <f t="shared" si="617"/>
        <v>0</v>
      </c>
      <c r="EB89">
        <f t="shared" ref="EB89:EC89" si="655">IF(DZ89+EA89=0,EB88,(EB88+DZ89)*DZ89)</f>
        <v>0</v>
      </c>
      <c r="EC89">
        <f t="shared" si="655"/>
        <v>1</v>
      </c>
    </row>
    <row r="90" spans="1:133">
      <c r="A90" s="29"/>
      <c r="B90" s="29"/>
      <c r="C90" s="29"/>
      <c r="D90" s="29"/>
      <c r="E90" s="29"/>
      <c r="F90" s="30"/>
      <c r="G90" s="29"/>
      <c r="H90" s="29"/>
      <c r="I90" s="29"/>
      <c r="J90" s="29"/>
      <c r="AH90" s="72">
        <f t="shared" si="530"/>
        <v>0</v>
      </c>
      <c r="AI90" s="72">
        <f t="shared" si="531"/>
        <v>0</v>
      </c>
      <c r="AJ90" s="72">
        <f t="shared" si="532"/>
        <v>0</v>
      </c>
      <c r="AK90" s="72">
        <f t="shared" si="533"/>
        <v>0</v>
      </c>
      <c r="AL90" s="72">
        <f t="shared" si="534"/>
        <v>0</v>
      </c>
      <c r="AM90" s="72">
        <f t="shared" si="535"/>
        <v>0</v>
      </c>
      <c r="AN90" s="72">
        <f t="shared" si="536"/>
        <v>0</v>
      </c>
      <c r="AO90" s="72">
        <f t="shared" si="537"/>
        <v>0</v>
      </c>
      <c r="AP90" s="72">
        <f t="shared" si="538"/>
        <v>0</v>
      </c>
      <c r="AQ90" s="72">
        <f t="shared" si="539"/>
        <v>0</v>
      </c>
      <c r="AR90" s="72">
        <f t="shared" si="540"/>
        <v>0</v>
      </c>
      <c r="AS90" s="72">
        <f t="shared" si="541"/>
        <v>0</v>
      </c>
      <c r="AT90" s="72">
        <f t="shared" si="542"/>
        <v>0</v>
      </c>
      <c r="AU90" s="72">
        <f t="shared" si="543"/>
        <v>0</v>
      </c>
      <c r="AV90" s="72">
        <f t="shared" si="544"/>
        <v>0</v>
      </c>
      <c r="AW90" s="72">
        <f t="shared" si="545"/>
        <v>0</v>
      </c>
      <c r="AX90" s="72">
        <f t="shared" si="546"/>
        <v>0</v>
      </c>
      <c r="AY90" s="72">
        <f t="shared" si="547"/>
        <v>0</v>
      </c>
      <c r="AZ90" s="72">
        <f t="shared" si="548"/>
        <v>0</v>
      </c>
      <c r="BA90" s="72">
        <f t="shared" si="549"/>
        <v>0</v>
      </c>
      <c r="BB90" s="72">
        <f t="shared" si="550"/>
        <v>0</v>
      </c>
      <c r="BC90" s="72">
        <f t="shared" si="551"/>
        <v>0</v>
      </c>
      <c r="BD90" s="72">
        <f t="shared" si="552"/>
        <v>0</v>
      </c>
      <c r="BE90" s="72">
        <f t="shared" si="553"/>
        <v>0</v>
      </c>
      <c r="BF90" s="72">
        <f t="shared" si="554"/>
        <v>0</v>
      </c>
      <c r="BG90" s="72">
        <f t="shared" si="555"/>
        <v>0</v>
      </c>
      <c r="BH90" s="72">
        <f t="shared" si="556"/>
        <v>0</v>
      </c>
      <c r="BI90" s="72">
        <f t="shared" si="557"/>
        <v>0</v>
      </c>
      <c r="BJ90" s="72">
        <f t="shared" si="558"/>
        <v>0</v>
      </c>
      <c r="BK90" s="72">
        <f t="shared" si="559"/>
        <v>0</v>
      </c>
      <c r="BL90" s="72">
        <f t="shared" si="560"/>
        <v>0</v>
      </c>
      <c r="BM90" s="72">
        <f t="shared" si="561"/>
        <v>0</v>
      </c>
      <c r="BN90" s="72">
        <f t="shared" si="562"/>
        <v>0</v>
      </c>
      <c r="BO90" s="72">
        <f t="shared" si="563"/>
        <v>0</v>
      </c>
      <c r="BP90" s="72">
        <f t="shared" si="564"/>
        <v>0</v>
      </c>
      <c r="BQ90" s="72">
        <f t="shared" si="565"/>
        <v>0</v>
      </c>
      <c r="BR90" s="72">
        <f t="shared" si="566"/>
        <v>0</v>
      </c>
      <c r="BS90" s="72">
        <f t="shared" si="567"/>
        <v>0</v>
      </c>
      <c r="BT90" s="72">
        <f t="shared" si="568"/>
        <v>0</v>
      </c>
      <c r="BU90" s="72">
        <f t="shared" si="569"/>
        <v>0</v>
      </c>
      <c r="BW90">
        <f t="shared" si="570"/>
        <v>0</v>
      </c>
      <c r="BX90">
        <f t="shared" si="571"/>
        <v>0</v>
      </c>
      <c r="BY90">
        <f t="shared" si="572"/>
        <v>0</v>
      </c>
      <c r="BZ90">
        <f t="shared" si="573"/>
        <v>0</v>
      </c>
      <c r="CA90">
        <f t="shared" si="574"/>
        <v>0</v>
      </c>
      <c r="CB90">
        <f t="shared" si="575"/>
        <v>0</v>
      </c>
      <c r="CD90">
        <f t="shared" si="576"/>
        <v>0</v>
      </c>
      <c r="CE90">
        <f t="shared" si="577"/>
        <v>0</v>
      </c>
      <c r="CF90">
        <f t="shared" si="578"/>
        <v>0</v>
      </c>
      <c r="CG90">
        <f t="shared" si="579"/>
        <v>0</v>
      </c>
      <c r="CH90">
        <f t="shared" si="580"/>
        <v>0</v>
      </c>
      <c r="CI90">
        <f t="shared" si="581"/>
        <v>0</v>
      </c>
      <c r="CK90">
        <f t="shared" si="582"/>
        <v>0</v>
      </c>
      <c r="CL90">
        <f t="shared" si="583"/>
        <v>0</v>
      </c>
      <c r="CM90">
        <f t="shared" si="584"/>
        <v>0</v>
      </c>
      <c r="CN90">
        <f t="shared" si="585"/>
        <v>0</v>
      </c>
      <c r="CO90">
        <f t="shared" si="586"/>
        <v>0</v>
      </c>
      <c r="CP90">
        <f t="shared" si="587"/>
        <v>0</v>
      </c>
      <c r="CR90">
        <f t="shared" si="588"/>
        <v>0</v>
      </c>
      <c r="CS90">
        <f t="shared" si="589"/>
        <v>0</v>
      </c>
      <c r="CT90">
        <f t="shared" si="590"/>
        <v>0</v>
      </c>
      <c r="CU90">
        <f t="shared" si="591"/>
        <v>0</v>
      </c>
      <c r="CV90">
        <f t="shared" si="592"/>
        <v>0</v>
      </c>
      <c r="CW90">
        <f t="shared" si="593"/>
        <v>0</v>
      </c>
      <c r="CY90">
        <f t="shared" si="594"/>
        <v>0</v>
      </c>
      <c r="CZ90">
        <f t="shared" si="595"/>
        <v>0</v>
      </c>
      <c r="DA90">
        <f t="shared" si="596"/>
        <v>0</v>
      </c>
      <c r="DB90">
        <f t="shared" si="597"/>
        <v>0</v>
      </c>
      <c r="DC90">
        <f t="shared" si="598"/>
        <v>0</v>
      </c>
      <c r="DD90">
        <f t="shared" si="599"/>
        <v>0</v>
      </c>
      <c r="DF90" s="79">
        <f t="shared" si="600"/>
        <v>0</v>
      </c>
      <c r="DG90" s="79">
        <f t="shared" si="601"/>
        <v>0</v>
      </c>
      <c r="DH90">
        <f t="shared" si="643"/>
        <v>0</v>
      </c>
      <c r="DI90">
        <f t="shared" si="606"/>
        <v>1</v>
      </c>
      <c r="DK90" s="79">
        <f t="shared" si="607"/>
        <v>0</v>
      </c>
      <c r="DL90" s="79">
        <f t="shared" si="608"/>
        <v>0</v>
      </c>
      <c r="DM90">
        <f t="shared" ref="DM90:DN90" si="656">IF(DK90+DL90=0,DM89,(DM89+DK90)*DK90)</f>
        <v>1</v>
      </c>
      <c r="DN90">
        <f t="shared" si="656"/>
        <v>0</v>
      </c>
      <c r="DP90" s="79">
        <f t="shared" si="610"/>
        <v>0</v>
      </c>
      <c r="DQ90" s="79">
        <f t="shared" si="611"/>
        <v>0</v>
      </c>
      <c r="DR90">
        <f t="shared" ref="DR90:DS90" si="657">IF(DP90+DQ90=0,DR89,(DR89+DP90)*DP90)</f>
        <v>0</v>
      </c>
      <c r="DS90">
        <f t="shared" si="657"/>
        <v>1</v>
      </c>
      <c r="DU90" s="79">
        <f t="shared" si="613"/>
        <v>0</v>
      </c>
      <c r="DV90" s="79">
        <f t="shared" si="614"/>
        <v>0</v>
      </c>
      <c r="DW90">
        <f t="shared" ref="DW90:DX90" si="658">IF(DU90+DV90=0,DW89,(DW89+DU90)*DU90)</f>
        <v>0</v>
      </c>
      <c r="DX90">
        <f t="shared" si="658"/>
        <v>1</v>
      </c>
      <c r="DZ90" s="79">
        <f t="shared" si="616"/>
        <v>0</v>
      </c>
      <c r="EA90" s="79">
        <f t="shared" si="617"/>
        <v>0</v>
      </c>
      <c r="EB90">
        <f t="shared" ref="EB90:EC90" si="659">IF(DZ90+EA90=0,EB89,(EB89+DZ90)*DZ90)</f>
        <v>0</v>
      </c>
      <c r="EC90">
        <f t="shared" si="659"/>
        <v>1</v>
      </c>
    </row>
    <row r="91" spans="1:133">
      <c r="A91" s="29"/>
      <c r="B91" s="29"/>
      <c r="C91" s="29"/>
      <c r="D91" s="29"/>
      <c r="E91" s="29"/>
      <c r="F91" s="30"/>
      <c r="G91" s="29"/>
      <c r="H91" s="29"/>
      <c r="I91" s="29"/>
      <c r="J91" s="29"/>
      <c r="AH91" s="72">
        <f t="shared" si="530"/>
        <v>0</v>
      </c>
      <c r="AI91" s="72">
        <f t="shared" si="531"/>
        <v>0</v>
      </c>
      <c r="AJ91" s="72">
        <f t="shared" si="532"/>
        <v>0</v>
      </c>
      <c r="AK91" s="72">
        <f t="shared" si="533"/>
        <v>0</v>
      </c>
      <c r="AL91" s="72">
        <f t="shared" si="534"/>
        <v>0</v>
      </c>
      <c r="AM91" s="72">
        <f t="shared" si="535"/>
        <v>0</v>
      </c>
      <c r="AN91" s="72">
        <f t="shared" si="536"/>
        <v>0</v>
      </c>
      <c r="AO91" s="72">
        <f t="shared" si="537"/>
        <v>0</v>
      </c>
      <c r="AP91" s="72">
        <f t="shared" si="538"/>
        <v>0</v>
      </c>
      <c r="AQ91" s="72">
        <f t="shared" si="539"/>
        <v>0</v>
      </c>
      <c r="AR91" s="72">
        <f t="shared" si="540"/>
        <v>0</v>
      </c>
      <c r="AS91" s="72">
        <f t="shared" si="541"/>
        <v>0</v>
      </c>
      <c r="AT91" s="72">
        <f t="shared" si="542"/>
        <v>0</v>
      </c>
      <c r="AU91" s="72">
        <f t="shared" si="543"/>
        <v>0</v>
      </c>
      <c r="AV91" s="72">
        <f t="shared" si="544"/>
        <v>0</v>
      </c>
      <c r="AW91" s="72">
        <f t="shared" si="545"/>
        <v>0</v>
      </c>
      <c r="AX91" s="72">
        <f t="shared" si="546"/>
        <v>0</v>
      </c>
      <c r="AY91" s="72">
        <f t="shared" si="547"/>
        <v>0</v>
      </c>
      <c r="AZ91" s="72">
        <f t="shared" si="548"/>
        <v>0</v>
      </c>
      <c r="BA91" s="72">
        <f t="shared" si="549"/>
        <v>0</v>
      </c>
      <c r="BB91" s="72">
        <f t="shared" si="550"/>
        <v>0</v>
      </c>
      <c r="BC91" s="72">
        <f t="shared" si="551"/>
        <v>0</v>
      </c>
      <c r="BD91" s="72">
        <f t="shared" si="552"/>
        <v>0</v>
      </c>
      <c r="BE91" s="72">
        <f t="shared" si="553"/>
        <v>0</v>
      </c>
      <c r="BF91" s="72">
        <f t="shared" si="554"/>
        <v>0</v>
      </c>
      <c r="BG91" s="72">
        <f t="shared" si="555"/>
        <v>0</v>
      </c>
      <c r="BH91" s="72">
        <f t="shared" si="556"/>
        <v>0</v>
      </c>
      <c r="BI91" s="72">
        <f t="shared" si="557"/>
        <v>0</v>
      </c>
      <c r="BJ91" s="72">
        <f t="shared" si="558"/>
        <v>0</v>
      </c>
      <c r="BK91" s="72">
        <f t="shared" si="559"/>
        <v>0</v>
      </c>
      <c r="BL91" s="72">
        <f t="shared" si="560"/>
        <v>0</v>
      </c>
      <c r="BM91" s="72">
        <f t="shared" si="561"/>
        <v>0</v>
      </c>
      <c r="BN91" s="72">
        <f t="shared" si="562"/>
        <v>0</v>
      </c>
      <c r="BO91" s="72">
        <f t="shared" si="563"/>
        <v>0</v>
      </c>
      <c r="BP91" s="72">
        <f t="shared" si="564"/>
        <v>0</v>
      </c>
      <c r="BQ91" s="72">
        <f t="shared" si="565"/>
        <v>0</v>
      </c>
      <c r="BR91" s="72">
        <f t="shared" si="566"/>
        <v>0</v>
      </c>
      <c r="BS91" s="72">
        <f t="shared" si="567"/>
        <v>0</v>
      </c>
      <c r="BT91" s="72">
        <f t="shared" si="568"/>
        <v>0</v>
      </c>
      <c r="BU91" s="72">
        <f t="shared" si="569"/>
        <v>0</v>
      </c>
      <c r="BW91">
        <f t="shared" si="570"/>
        <v>0</v>
      </c>
      <c r="BX91">
        <f t="shared" si="571"/>
        <v>0</v>
      </c>
      <c r="BY91">
        <f t="shared" si="572"/>
        <v>0</v>
      </c>
      <c r="BZ91">
        <f t="shared" si="573"/>
        <v>0</v>
      </c>
      <c r="CA91">
        <f t="shared" si="574"/>
        <v>0</v>
      </c>
      <c r="CB91">
        <f t="shared" si="575"/>
        <v>0</v>
      </c>
      <c r="CD91">
        <f t="shared" si="576"/>
        <v>0</v>
      </c>
      <c r="CE91">
        <f t="shared" si="577"/>
        <v>0</v>
      </c>
      <c r="CF91">
        <f t="shared" si="578"/>
        <v>0</v>
      </c>
      <c r="CG91">
        <f t="shared" si="579"/>
        <v>0</v>
      </c>
      <c r="CH91">
        <f t="shared" si="580"/>
        <v>0</v>
      </c>
      <c r="CI91">
        <f t="shared" si="581"/>
        <v>0</v>
      </c>
      <c r="CK91">
        <f t="shared" si="582"/>
        <v>0</v>
      </c>
      <c r="CL91">
        <f t="shared" si="583"/>
        <v>0</v>
      </c>
      <c r="CM91">
        <f t="shared" si="584"/>
        <v>0</v>
      </c>
      <c r="CN91">
        <f t="shared" si="585"/>
        <v>0</v>
      </c>
      <c r="CO91">
        <f t="shared" si="586"/>
        <v>0</v>
      </c>
      <c r="CP91">
        <f t="shared" si="587"/>
        <v>0</v>
      </c>
      <c r="CR91">
        <f t="shared" si="588"/>
        <v>0</v>
      </c>
      <c r="CS91">
        <f t="shared" si="589"/>
        <v>0</v>
      </c>
      <c r="CT91">
        <f t="shared" si="590"/>
        <v>0</v>
      </c>
      <c r="CU91">
        <f t="shared" si="591"/>
        <v>0</v>
      </c>
      <c r="CV91">
        <f t="shared" si="592"/>
        <v>0</v>
      </c>
      <c r="CW91">
        <f t="shared" si="593"/>
        <v>0</v>
      </c>
      <c r="CY91">
        <f t="shared" si="594"/>
        <v>0</v>
      </c>
      <c r="CZ91">
        <f t="shared" si="595"/>
        <v>0</v>
      </c>
      <c r="DA91">
        <f t="shared" si="596"/>
        <v>0</v>
      </c>
      <c r="DB91">
        <f t="shared" si="597"/>
        <v>0</v>
      </c>
      <c r="DC91">
        <f t="shared" si="598"/>
        <v>0</v>
      </c>
      <c r="DD91">
        <f t="shared" si="599"/>
        <v>0</v>
      </c>
      <c r="DF91" s="79">
        <f t="shared" si="600"/>
        <v>0</v>
      </c>
      <c r="DG91" s="79">
        <f t="shared" si="601"/>
        <v>0</v>
      </c>
      <c r="DH91">
        <f t="shared" si="643"/>
        <v>0</v>
      </c>
      <c r="DI91">
        <f t="shared" si="606"/>
        <v>1</v>
      </c>
      <c r="DK91" s="79">
        <f t="shared" si="607"/>
        <v>0</v>
      </c>
      <c r="DL91" s="79">
        <f t="shared" si="608"/>
        <v>0</v>
      </c>
      <c r="DM91">
        <f t="shared" ref="DM91:DN91" si="660">IF(DK91+DL91=0,DM90,(DM90+DK91)*DK91)</f>
        <v>1</v>
      </c>
      <c r="DN91">
        <f t="shared" si="660"/>
        <v>0</v>
      </c>
      <c r="DP91" s="79">
        <f t="shared" si="610"/>
        <v>0</v>
      </c>
      <c r="DQ91" s="79">
        <f t="shared" si="611"/>
        <v>0</v>
      </c>
      <c r="DR91">
        <f t="shared" ref="DR91:DS91" si="661">IF(DP91+DQ91=0,DR90,(DR90+DP91)*DP91)</f>
        <v>0</v>
      </c>
      <c r="DS91">
        <f t="shared" si="661"/>
        <v>1</v>
      </c>
      <c r="DU91" s="79">
        <f t="shared" si="613"/>
        <v>0</v>
      </c>
      <c r="DV91" s="79">
        <f t="shared" si="614"/>
        <v>0</v>
      </c>
      <c r="DW91">
        <f t="shared" ref="DW91:DX91" si="662">IF(DU91+DV91=0,DW90,(DW90+DU91)*DU91)</f>
        <v>0</v>
      </c>
      <c r="DX91">
        <f t="shared" si="662"/>
        <v>1</v>
      </c>
      <c r="DZ91" s="79">
        <f t="shared" si="616"/>
        <v>0</v>
      </c>
      <c r="EA91" s="79">
        <f t="shared" si="617"/>
        <v>0</v>
      </c>
      <c r="EB91">
        <f t="shared" ref="EB91:EC91" si="663">IF(DZ91+EA91=0,EB90,(EB90+DZ91)*DZ91)</f>
        <v>0</v>
      </c>
      <c r="EC91">
        <f t="shared" si="663"/>
        <v>1</v>
      </c>
    </row>
    <row r="92" spans="1:133">
      <c r="A92" s="29"/>
      <c r="B92" s="29"/>
      <c r="C92" s="29"/>
      <c r="D92" s="29"/>
      <c r="E92" s="29"/>
      <c r="F92" s="30"/>
      <c r="G92" s="29"/>
      <c r="H92" s="29"/>
      <c r="I92" s="29"/>
      <c r="J92" s="29"/>
      <c r="AH92" s="72">
        <f t="shared" si="530"/>
        <v>0</v>
      </c>
      <c r="AI92" s="72">
        <f t="shared" si="531"/>
        <v>0</v>
      </c>
      <c r="AJ92" s="72">
        <f t="shared" si="532"/>
        <v>0</v>
      </c>
      <c r="AK92" s="72">
        <f t="shared" si="533"/>
        <v>0</v>
      </c>
      <c r="AL92" s="72">
        <f t="shared" si="534"/>
        <v>0</v>
      </c>
      <c r="AM92" s="72">
        <f t="shared" si="535"/>
        <v>0</v>
      </c>
      <c r="AN92" s="72">
        <f t="shared" si="536"/>
        <v>0</v>
      </c>
      <c r="AO92" s="72">
        <f t="shared" si="537"/>
        <v>0</v>
      </c>
      <c r="AP92" s="72">
        <f t="shared" si="538"/>
        <v>0</v>
      </c>
      <c r="AQ92" s="72">
        <f t="shared" si="539"/>
        <v>0</v>
      </c>
      <c r="AR92" s="72">
        <f t="shared" si="540"/>
        <v>0</v>
      </c>
      <c r="AS92" s="72">
        <f t="shared" si="541"/>
        <v>0</v>
      </c>
      <c r="AT92" s="72">
        <f t="shared" si="542"/>
        <v>0</v>
      </c>
      <c r="AU92" s="72">
        <f t="shared" si="543"/>
        <v>0</v>
      </c>
      <c r="AV92" s="72">
        <f t="shared" si="544"/>
        <v>0</v>
      </c>
      <c r="AW92" s="72">
        <f t="shared" si="545"/>
        <v>0</v>
      </c>
      <c r="AX92" s="72">
        <f t="shared" si="546"/>
        <v>0</v>
      </c>
      <c r="AY92" s="72">
        <f t="shared" si="547"/>
        <v>0</v>
      </c>
      <c r="AZ92" s="72">
        <f t="shared" si="548"/>
        <v>0</v>
      </c>
      <c r="BA92" s="72">
        <f t="shared" si="549"/>
        <v>0</v>
      </c>
      <c r="BB92" s="72">
        <f t="shared" si="550"/>
        <v>0</v>
      </c>
      <c r="BC92" s="72">
        <f t="shared" si="551"/>
        <v>0</v>
      </c>
      <c r="BD92" s="72">
        <f t="shared" si="552"/>
        <v>0</v>
      </c>
      <c r="BE92" s="72">
        <f t="shared" si="553"/>
        <v>0</v>
      </c>
      <c r="BF92" s="72">
        <f t="shared" si="554"/>
        <v>0</v>
      </c>
      <c r="BG92" s="72">
        <f t="shared" si="555"/>
        <v>0</v>
      </c>
      <c r="BH92" s="72">
        <f t="shared" si="556"/>
        <v>0</v>
      </c>
      <c r="BI92" s="72">
        <f t="shared" si="557"/>
        <v>0</v>
      </c>
      <c r="BJ92" s="72">
        <f t="shared" si="558"/>
        <v>0</v>
      </c>
      <c r="BK92" s="72">
        <f t="shared" si="559"/>
        <v>0</v>
      </c>
      <c r="BL92" s="72">
        <f t="shared" si="560"/>
        <v>0</v>
      </c>
      <c r="BM92" s="72">
        <f t="shared" si="561"/>
        <v>0</v>
      </c>
      <c r="BN92" s="72">
        <f t="shared" si="562"/>
        <v>0</v>
      </c>
      <c r="BO92" s="72">
        <f t="shared" si="563"/>
        <v>0</v>
      </c>
      <c r="BP92" s="72">
        <f t="shared" si="564"/>
        <v>0</v>
      </c>
      <c r="BQ92" s="72">
        <f t="shared" si="565"/>
        <v>0</v>
      </c>
      <c r="BR92" s="72">
        <f t="shared" si="566"/>
        <v>0</v>
      </c>
      <c r="BS92" s="72">
        <f t="shared" si="567"/>
        <v>0</v>
      </c>
      <c r="BT92" s="72">
        <f t="shared" si="568"/>
        <v>0</v>
      </c>
      <c r="BU92" s="72">
        <f t="shared" si="569"/>
        <v>0</v>
      </c>
      <c r="BW92">
        <f t="shared" si="570"/>
        <v>0</v>
      </c>
      <c r="BX92">
        <f t="shared" si="571"/>
        <v>0</v>
      </c>
      <c r="BY92">
        <f t="shared" si="572"/>
        <v>0</v>
      </c>
      <c r="BZ92">
        <f t="shared" si="573"/>
        <v>0</v>
      </c>
      <c r="CA92">
        <f t="shared" si="574"/>
        <v>0</v>
      </c>
      <c r="CB92">
        <f t="shared" si="575"/>
        <v>0</v>
      </c>
      <c r="CD92">
        <f t="shared" si="576"/>
        <v>0</v>
      </c>
      <c r="CE92">
        <f t="shared" si="577"/>
        <v>0</v>
      </c>
      <c r="CF92">
        <f t="shared" si="578"/>
        <v>0</v>
      </c>
      <c r="CG92">
        <f t="shared" si="579"/>
        <v>0</v>
      </c>
      <c r="CH92">
        <f t="shared" si="580"/>
        <v>0</v>
      </c>
      <c r="CI92">
        <f t="shared" si="581"/>
        <v>0</v>
      </c>
      <c r="CK92">
        <f t="shared" si="582"/>
        <v>0</v>
      </c>
      <c r="CL92">
        <f t="shared" si="583"/>
        <v>0</v>
      </c>
      <c r="CM92">
        <f t="shared" si="584"/>
        <v>0</v>
      </c>
      <c r="CN92">
        <f t="shared" si="585"/>
        <v>0</v>
      </c>
      <c r="CO92">
        <f t="shared" si="586"/>
        <v>0</v>
      </c>
      <c r="CP92">
        <f t="shared" si="587"/>
        <v>0</v>
      </c>
      <c r="CR92">
        <f t="shared" si="588"/>
        <v>0</v>
      </c>
      <c r="CS92">
        <f t="shared" si="589"/>
        <v>0</v>
      </c>
      <c r="CT92">
        <f t="shared" si="590"/>
        <v>0</v>
      </c>
      <c r="CU92">
        <f t="shared" si="591"/>
        <v>0</v>
      </c>
      <c r="CV92">
        <f t="shared" si="592"/>
        <v>0</v>
      </c>
      <c r="CW92">
        <f t="shared" si="593"/>
        <v>0</v>
      </c>
      <c r="CY92">
        <f t="shared" si="594"/>
        <v>0</v>
      </c>
      <c r="CZ92">
        <f t="shared" si="595"/>
        <v>0</v>
      </c>
      <c r="DA92">
        <f t="shared" si="596"/>
        <v>0</v>
      </c>
      <c r="DB92">
        <f t="shared" si="597"/>
        <v>0</v>
      </c>
      <c r="DC92">
        <f t="shared" si="598"/>
        <v>0</v>
      </c>
      <c r="DD92">
        <f t="shared" si="599"/>
        <v>0</v>
      </c>
      <c r="DF92" s="79">
        <f t="shared" si="600"/>
        <v>0</v>
      </c>
      <c r="DG92" s="79">
        <f t="shared" si="601"/>
        <v>0</v>
      </c>
      <c r="DH92">
        <f t="shared" si="643"/>
        <v>0</v>
      </c>
      <c r="DI92">
        <f t="shared" si="606"/>
        <v>1</v>
      </c>
      <c r="DK92" s="79">
        <f t="shared" si="607"/>
        <v>0</v>
      </c>
      <c r="DL92" s="79">
        <f t="shared" si="608"/>
        <v>0</v>
      </c>
      <c r="DM92">
        <f t="shared" ref="DM92:DN92" si="664">IF(DK92+DL92=0,DM91,(DM91+DK92)*DK92)</f>
        <v>1</v>
      </c>
      <c r="DN92">
        <f t="shared" si="664"/>
        <v>0</v>
      </c>
      <c r="DP92" s="79">
        <f t="shared" si="610"/>
        <v>0</v>
      </c>
      <c r="DQ92" s="79">
        <f t="shared" si="611"/>
        <v>0</v>
      </c>
      <c r="DR92">
        <f t="shared" ref="DR92:DS92" si="665">IF(DP92+DQ92=0,DR91,(DR91+DP92)*DP92)</f>
        <v>0</v>
      </c>
      <c r="DS92">
        <f t="shared" si="665"/>
        <v>1</v>
      </c>
      <c r="DU92" s="79">
        <f t="shared" si="613"/>
        <v>0</v>
      </c>
      <c r="DV92" s="79">
        <f t="shared" si="614"/>
        <v>0</v>
      </c>
      <c r="DW92">
        <f t="shared" ref="DW92:DX92" si="666">IF(DU92+DV92=0,DW91,(DW91+DU92)*DU92)</f>
        <v>0</v>
      </c>
      <c r="DX92">
        <f t="shared" si="666"/>
        <v>1</v>
      </c>
      <c r="DZ92" s="79">
        <f t="shared" si="616"/>
        <v>0</v>
      </c>
      <c r="EA92" s="79">
        <f t="shared" si="617"/>
        <v>0</v>
      </c>
      <c r="EB92">
        <f t="shared" ref="EB92:EC92" si="667">IF(DZ92+EA92=0,EB91,(EB91+DZ92)*DZ92)</f>
        <v>0</v>
      </c>
      <c r="EC92">
        <f t="shared" si="667"/>
        <v>1</v>
      </c>
    </row>
    <row r="93" spans="1:133">
      <c r="A93" s="29"/>
      <c r="B93" s="29"/>
      <c r="C93" s="29"/>
      <c r="D93" s="29"/>
      <c r="E93" s="29"/>
      <c r="F93" s="30"/>
      <c r="G93" s="29"/>
      <c r="H93" s="29"/>
      <c r="I93" s="29"/>
      <c r="J93" s="29"/>
      <c r="AH93" s="72">
        <f t="shared" si="530"/>
        <v>0</v>
      </c>
      <c r="AI93" s="72">
        <f t="shared" si="531"/>
        <v>0</v>
      </c>
      <c r="AJ93" s="72">
        <f t="shared" si="532"/>
        <v>0</v>
      </c>
      <c r="AK93" s="72">
        <f t="shared" si="533"/>
        <v>0</v>
      </c>
      <c r="AL93" s="72">
        <f t="shared" si="534"/>
        <v>0</v>
      </c>
      <c r="AM93" s="72">
        <f t="shared" si="535"/>
        <v>0</v>
      </c>
      <c r="AN93" s="72">
        <f t="shared" si="536"/>
        <v>0</v>
      </c>
      <c r="AO93" s="72">
        <f t="shared" si="537"/>
        <v>0</v>
      </c>
      <c r="AP93" s="72">
        <f t="shared" si="538"/>
        <v>0</v>
      </c>
      <c r="AQ93" s="72">
        <f t="shared" si="539"/>
        <v>0</v>
      </c>
      <c r="AR93" s="72">
        <f t="shared" si="540"/>
        <v>0</v>
      </c>
      <c r="AS93" s="72">
        <f t="shared" si="541"/>
        <v>0</v>
      </c>
      <c r="AT93" s="72">
        <f t="shared" si="542"/>
        <v>0</v>
      </c>
      <c r="AU93" s="72">
        <f t="shared" si="543"/>
        <v>0</v>
      </c>
      <c r="AV93" s="72">
        <f t="shared" si="544"/>
        <v>0</v>
      </c>
      <c r="AW93" s="72">
        <f t="shared" si="545"/>
        <v>0</v>
      </c>
      <c r="AX93" s="72">
        <f t="shared" si="546"/>
        <v>0</v>
      </c>
      <c r="AY93" s="72">
        <f t="shared" si="547"/>
        <v>0</v>
      </c>
      <c r="AZ93" s="72">
        <f t="shared" si="548"/>
        <v>0</v>
      </c>
      <c r="BA93" s="72">
        <f t="shared" si="549"/>
        <v>0</v>
      </c>
      <c r="BB93" s="72">
        <f t="shared" si="550"/>
        <v>0</v>
      </c>
      <c r="BC93" s="72">
        <f t="shared" si="551"/>
        <v>0</v>
      </c>
      <c r="BD93" s="72">
        <f t="shared" si="552"/>
        <v>0</v>
      </c>
      <c r="BE93" s="72">
        <f t="shared" si="553"/>
        <v>0</v>
      </c>
      <c r="BF93" s="72">
        <f t="shared" si="554"/>
        <v>0</v>
      </c>
      <c r="BG93" s="72">
        <f t="shared" si="555"/>
        <v>0</v>
      </c>
      <c r="BH93" s="72">
        <f t="shared" si="556"/>
        <v>0</v>
      </c>
      <c r="BI93" s="72">
        <f t="shared" si="557"/>
        <v>0</v>
      </c>
      <c r="BJ93" s="72">
        <f t="shared" si="558"/>
        <v>0</v>
      </c>
      <c r="BK93" s="72">
        <f t="shared" si="559"/>
        <v>0</v>
      </c>
      <c r="BL93" s="72">
        <f t="shared" si="560"/>
        <v>0</v>
      </c>
      <c r="BM93" s="72">
        <f t="shared" si="561"/>
        <v>0</v>
      </c>
      <c r="BN93" s="72">
        <f t="shared" si="562"/>
        <v>0</v>
      </c>
      <c r="BO93" s="72">
        <f t="shared" si="563"/>
        <v>0</v>
      </c>
      <c r="BP93" s="72">
        <f t="shared" si="564"/>
        <v>0</v>
      </c>
      <c r="BQ93" s="72">
        <f t="shared" si="565"/>
        <v>0</v>
      </c>
      <c r="BR93" s="72">
        <f t="shared" si="566"/>
        <v>0</v>
      </c>
      <c r="BS93" s="72">
        <f t="shared" si="567"/>
        <v>0</v>
      </c>
      <c r="BT93" s="72">
        <f t="shared" si="568"/>
        <v>0</v>
      </c>
      <c r="BU93" s="72">
        <f t="shared" si="569"/>
        <v>0</v>
      </c>
      <c r="BW93">
        <f t="shared" si="570"/>
        <v>0</v>
      </c>
      <c r="BX93">
        <f t="shared" si="571"/>
        <v>0</v>
      </c>
      <c r="BY93">
        <f t="shared" si="572"/>
        <v>0</v>
      </c>
      <c r="BZ93">
        <f t="shared" si="573"/>
        <v>0</v>
      </c>
      <c r="CA93">
        <f t="shared" si="574"/>
        <v>0</v>
      </c>
      <c r="CB93">
        <f t="shared" si="575"/>
        <v>0</v>
      </c>
      <c r="CD93">
        <f t="shared" si="576"/>
        <v>0</v>
      </c>
      <c r="CE93">
        <f t="shared" si="577"/>
        <v>0</v>
      </c>
      <c r="CF93">
        <f t="shared" si="578"/>
        <v>0</v>
      </c>
      <c r="CG93">
        <f t="shared" si="579"/>
        <v>0</v>
      </c>
      <c r="CH93">
        <f t="shared" si="580"/>
        <v>0</v>
      </c>
      <c r="CI93">
        <f t="shared" si="581"/>
        <v>0</v>
      </c>
      <c r="CK93">
        <f t="shared" si="582"/>
        <v>0</v>
      </c>
      <c r="CL93">
        <f t="shared" si="583"/>
        <v>0</v>
      </c>
      <c r="CM93">
        <f t="shared" si="584"/>
        <v>0</v>
      </c>
      <c r="CN93">
        <f t="shared" si="585"/>
        <v>0</v>
      </c>
      <c r="CO93">
        <f t="shared" si="586"/>
        <v>0</v>
      </c>
      <c r="CP93">
        <f t="shared" si="587"/>
        <v>0</v>
      </c>
      <c r="CR93">
        <f t="shared" si="588"/>
        <v>0</v>
      </c>
      <c r="CS93">
        <f t="shared" si="589"/>
        <v>0</v>
      </c>
      <c r="CT93">
        <f t="shared" si="590"/>
        <v>0</v>
      </c>
      <c r="CU93">
        <f t="shared" si="591"/>
        <v>0</v>
      </c>
      <c r="CV93">
        <f t="shared" si="592"/>
        <v>0</v>
      </c>
      <c r="CW93">
        <f t="shared" si="593"/>
        <v>0</v>
      </c>
      <c r="CY93">
        <f t="shared" si="594"/>
        <v>0</v>
      </c>
      <c r="CZ93">
        <f t="shared" si="595"/>
        <v>0</v>
      </c>
      <c r="DA93">
        <f t="shared" si="596"/>
        <v>0</v>
      </c>
      <c r="DB93">
        <f t="shared" si="597"/>
        <v>0</v>
      </c>
      <c r="DC93">
        <f t="shared" si="598"/>
        <v>0</v>
      </c>
      <c r="DD93">
        <f t="shared" si="599"/>
        <v>0</v>
      </c>
      <c r="DF93" s="79">
        <f t="shared" si="600"/>
        <v>0</v>
      </c>
      <c r="DG93" s="79">
        <f t="shared" si="601"/>
        <v>0</v>
      </c>
      <c r="DH93">
        <f t="shared" si="643"/>
        <v>0</v>
      </c>
      <c r="DI93">
        <f t="shared" si="606"/>
        <v>1</v>
      </c>
      <c r="DK93" s="79">
        <f t="shared" si="607"/>
        <v>0</v>
      </c>
      <c r="DL93" s="79">
        <f t="shared" si="608"/>
        <v>0</v>
      </c>
      <c r="DM93">
        <f t="shared" ref="DM93:DN93" si="668">IF(DK93+DL93=0,DM92,(DM92+DK93)*DK93)</f>
        <v>1</v>
      </c>
      <c r="DN93">
        <f t="shared" si="668"/>
        <v>0</v>
      </c>
      <c r="DP93" s="79">
        <f t="shared" si="610"/>
        <v>0</v>
      </c>
      <c r="DQ93" s="79">
        <f t="shared" si="611"/>
        <v>0</v>
      </c>
      <c r="DR93">
        <f t="shared" ref="DR93:DS93" si="669">IF(DP93+DQ93=0,DR92,(DR92+DP93)*DP93)</f>
        <v>0</v>
      </c>
      <c r="DS93">
        <f t="shared" si="669"/>
        <v>1</v>
      </c>
      <c r="DU93" s="79">
        <f t="shared" si="613"/>
        <v>0</v>
      </c>
      <c r="DV93" s="79">
        <f t="shared" si="614"/>
        <v>0</v>
      </c>
      <c r="DW93">
        <f t="shared" ref="DW93:DX93" si="670">IF(DU93+DV93=0,DW92,(DW92+DU93)*DU93)</f>
        <v>0</v>
      </c>
      <c r="DX93">
        <f t="shared" si="670"/>
        <v>1</v>
      </c>
      <c r="DZ93" s="79">
        <f t="shared" si="616"/>
        <v>0</v>
      </c>
      <c r="EA93" s="79">
        <f t="shared" si="617"/>
        <v>0</v>
      </c>
      <c r="EB93">
        <f t="shared" ref="EB93:EC93" si="671">IF(DZ93+EA93=0,EB92,(EB92+DZ93)*DZ93)</f>
        <v>0</v>
      </c>
      <c r="EC93">
        <f t="shared" si="671"/>
        <v>1</v>
      </c>
    </row>
    <row r="94" spans="1:133">
      <c r="A94" s="29"/>
      <c r="B94" s="29"/>
      <c r="C94" s="29"/>
      <c r="D94" s="29"/>
      <c r="E94" s="29"/>
      <c r="F94" s="30"/>
      <c r="G94" s="29"/>
      <c r="H94" s="29"/>
      <c r="I94" s="29"/>
      <c r="J94" s="29"/>
      <c r="AH94" s="72">
        <f t="shared" si="530"/>
        <v>0</v>
      </c>
      <c r="AI94" s="72">
        <f t="shared" si="531"/>
        <v>0</v>
      </c>
      <c r="AJ94" s="72">
        <f t="shared" si="532"/>
        <v>0</v>
      </c>
      <c r="AK94" s="72">
        <f t="shared" si="533"/>
        <v>0</v>
      </c>
      <c r="AL94" s="72">
        <f t="shared" si="534"/>
        <v>0</v>
      </c>
      <c r="AM94" s="72">
        <f t="shared" si="535"/>
        <v>0</v>
      </c>
      <c r="AN94" s="72">
        <f t="shared" si="536"/>
        <v>0</v>
      </c>
      <c r="AO94" s="72">
        <f t="shared" si="537"/>
        <v>0</v>
      </c>
      <c r="AP94" s="72">
        <f t="shared" si="538"/>
        <v>0</v>
      </c>
      <c r="AQ94" s="72">
        <f t="shared" si="539"/>
        <v>0</v>
      </c>
      <c r="AR94" s="72">
        <f t="shared" si="540"/>
        <v>0</v>
      </c>
      <c r="AS94" s="72">
        <f t="shared" si="541"/>
        <v>0</v>
      </c>
      <c r="AT94" s="72">
        <f t="shared" si="542"/>
        <v>0</v>
      </c>
      <c r="AU94" s="72">
        <f t="shared" si="543"/>
        <v>0</v>
      </c>
      <c r="AV94" s="72">
        <f t="shared" si="544"/>
        <v>0</v>
      </c>
      <c r="AW94" s="72">
        <f t="shared" si="545"/>
        <v>0</v>
      </c>
      <c r="AX94" s="72">
        <f t="shared" si="546"/>
        <v>0</v>
      </c>
      <c r="AY94" s="72">
        <f t="shared" si="547"/>
        <v>0</v>
      </c>
      <c r="AZ94" s="72">
        <f t="shared" si="548"/>
        <v>0</v>
      </c>
      <c r="BA94" s="72">
        <f t="shared" si="549"/>
        <v>0</v>
      </c>
      <c r="BB94" s="72">
        <f t="shared" si="550"/>
        <v>0</v>
      </c>
      <c r="BC94" s="72">
        <f t="shared" si="551"/>
        <v>0</v>
      </c>
      <c r="BD94" s="72">
        <f t="shared" si="552"/>
        <v>0</v>
      </c>
      <c r="BE94" s="72">
        <f t="shared" si="553"/>
        <v>0</v>
      </c>
      <c r="BF94" s="72">
        <f t="shared" si="554"/>
        <v>0</v>
      </c>
      <c r="BG94" s="72">
        <f t="shared" si="555"/>
        <v>0</v>
      </c>
      <c r="BH94" s="72">
        <f t="shared" si="556"/>
        <v>0</v>
      </c>
      <c r="BI94" s="72">
        <f t="shared" si="557"/>
        <v>0</v>
      </c>
      <c r="BJ94" s="72">
        <f t="shared" si="558"/>
        <v>0</v>
      </c>
      <c r="BK94" s="72">
        <f t="shared" si="559"/>
        <v>0</v>
      </c>
      <c r="BL94" s="72">
        <f t="shared" si="560"/>
        <v>0</v>
      </c>
      <c r="BM94" s="72">
        <f t="shared" si="561"/>
        <v>0</v>
      </c>
      <c r="BN94" s="72">
        <f t="shared" si="562"/>
        <v>0</v>
      </c>
      <c r="BO94" s="72">
        <f t="shared" si="563"/>
        <v>0</v>
      </c>
      <c r="BP94" s="72">
        <f t="shared" si="564"/>
        <v>0</v>
      </c>
      <c r="BQ94" s="72">
        <f t="shared" si="565"/>
        <v>0</v>
      </c>
      <c r="BR94" s="72">
        <f t="shared" si="566"/>
        <v>0</v>
      </c>
      <c r="BS94" s="72">
        <f t="shared" si="567"/>
        <v>0</v>
      </c>
      <c r="BT94" s="72">
        <f t="shared" si="568"/>
        <v>0</v>
      </c>
      <c r="BU94" s="72">
        <f t="shared" si="569"/>
        <v>0</v>
      </c>
      <c r="BW94">
        <f t="shared" si="570"/>
        <v>0</v>
      </c>
      <c r="BX94">
        <f t="shared" si="571"/>
        <v>0</v>
      </c>
      <c r="BY94">
        <f t="shared" si="572"/>
        <v>0</v>
      </c>
      <c r="BZ94">
        <f t="shared" si="573"/>
        <v>0</v>
      </c>
      <c r="CA94">
        <f t="shared" si="574"/>
        <v>0</v>
      </c>
      <c r="CB94">
        <f t="shared" si="575"/>
        <v>0</v>
      </c>
      <c r="CD94">
        <f t="shared" si="576"/>
        <v>0</v>
      </c>
      <c r="CE94">
        <f t="shared" si="577"/>
        <v>0</v>
      </c>
      <c r="CF94">
        <f t="shared" si="578"/>
        <v>0</v>
      </c>
      <c r="CG94">
        <f t="shared" si="579"/>
        <v>0</v>
      </c>
      <c r="CH94">
        <f t="shared" si="580"/>
        <v>0</v>
      </c>
      <c r="CI94">
        <f t="shared" si="581"/>
        <v>0</v>
      </c>
      <c r="CK94">
        <f t="shared" si="582"/>
        <v>0</v>
      </c>
      <c r="CL94">
        <f t="shared" si="583"/>
        <v>0</v>
      </c>
      <c r="CM94">
        <f t="shared" si="584"/>
        <v>0</v>
      </c>
      <c r="CN94">
        <f t="shared" si="585"/>
        <v>0</v>
      </c>
      <c r="CO94">
        <f t="shared" si="586"/>
        <v>0</v>
      </c>
      <c r="CP94">
        <f t="shared" si="587"/>
        <v>0</v>
      </c>
      <c r="CR94">
        <f t="shared" si="588"/>
        <v>0</v>
      </c>
      <c r="CS94">
        <f t="shared" si="589"/>
        <v>0</v>
      </c>
      <c r="CT94">
        <f t="shared" si="590"/>
        <v>0</v>
      </c>
      <c r="CU94">
        <f t="shared" si="591"/>
        <v>0</v>
      </c>
      <c r="CV94">
        <f t="shared" si="592"/>
        <v>0</v>
      </c>
      <c r="CW94">
        <f t="shared" si="593"/>
        <v>0</v>
      </c>
      <c r="CY94">
        <f t="shared" si="594"/>
        <v>0</v>
      </c>
      <c r="CZ94">
        <f t="shared" si="595"/>
        <v>0</v>
      </c>
      <c r="DA94">
        <f t="shared" si="596"/>
        <v>0</v>
      </c>
      <c r="DB94">
        <f t="shared" si="597"/>
        <v>0</v>
      </c>
      <c r="DC94">
        <f t="shared" si="598"/>
        <v>0</v>
      </c>
      <c r="DD94">
        <f t="shared" si="599"/>
        <v>0</v>
      </c>
      <c r="DF94" s="79">
        <f t="shared" si="600"/>
        <v>0</v>
      </c>
      <c r="DG94" s="79">
        <f t="shared" si="601"/>
        <v>0</v>
      </c>
      <c r="DH94">
        <f t="shared" si="643"/>
        <v>0</v>
      </c>
      <c r="DI94">
        <f t="shared" si="606"/>
        <v>1</v>
      </c>
      <c r="DK94" s="79">
        <f t="shared" si="607"/>
        <v>0</v>
      </c>
      <c r="DL94" s="79">
        <f t="shared" si="608"/>
        <v>0</v>
      </c>
      <c r="DM94">
        <f t="shared" ref="DM94:DN94" si="672">IF(DK94+DL94=0,DM93,(DM93+DK94)*DK94)</f>
        <v>1</v>
      </c>
      <c r="DN94">
        <f t="shared" si="672"/>
        <v>0</v>
      </c>
      <c r="DP94" s="79">
        <f t="shared" si="610"/>
        <v>0</v>
      </c>
      <c r="DQ94" s="79">
        <f t="shared" si="611"/>
        <v>0</v>
      </c>
      <c r="DR94">
        <f t="shared" ref="DR94:DS94" si="673">IF(DP94+DQ94=0,DR93,(DR93+DP94)*DP94)</f>
        <v>0</v>
      </c>
      <c r="DS94">
        <f t="shared" si="673"/>
        <v>1</v>
      </c>
      <c r="DU94" s="79">
        <f t="shared" si="613"/>
        <v>0</v>
      </c>
      <c r="DV94" s="79">
        <f t="shared" si="614"/>
        <v>0</v>
      </c>
      <c r="DW94">
        <f t="shared" ref="DW94:DX94" si="674">IF(DU94+DV94=0,DW93,(DW93+DU94)*DU94)</f>
        <v>0</v>
      </c>
      <c r="DX94">
        <f t="shared" si="674"/>
        <v>1</v>
      </c>
      <c r="DZ94" s="79">
        <f t="shared" si="616"/>
        <v>0</v>
      </c>
      <c r="EA94" s="79">
        <f t="shared" si="617"/>
        <v>0</v>
      </c>
      <c r="EB94">
        <f t="shared" ref="EB94:EC94" si="675">IF(DZ94+EA94=0,EB93,(EB93+DZ94)*DZ94)</f>
        <v>0</v>
      </c>
      <c r="EC94">
        <f t="shared" si="675"/>
        <v>1</v>
      </c>
    </row>
    <row r="95" spans="1:133">
      <c r="A95" s="29"/>
      <c r="B95" s="29"/>
      <c r="C95" s="29"/>
      <c r="D95" s="29"/>
      <c r="E95" s="29"/>
      <c r="F95" s="30"/>
      <c r="G95" s="29"/>
      <c r="H95" s="29"/>
      <c r="I95" s="29"/>
      <c r="J95" s="29"/>
      <c r="AH95" s="72">
        <f t="shared" si="530"/>
        <v>0</v>
      </c>
      <c r="AI95" s="72">
        <f t="shared" si="531"/>
        <v>0</v>
      </c>
      <c r="AJ95" s="72">
        <f t="shared" si="532"/>
        <v>0</v>
      </c>
      <c r="AK95" s="72">
        <f t="shared" si="533"/>
        <v>0</v>
      </c>
      <c r="AL95" s="72">
        <f t="shared" si="534"/>
        <v>0</v>
      </c>
      <c r="AM95" s="72">
        <f t="shared" si="535"/>
        <v>0</v>
      </c>
      <c r="AN95" s="72">
        <f t="shared" si="536"/>
        <v>0</v>
      </c>
      <c r="AO95" s="72">
        <f t="shared" si="537"/>
        <v>0</v>
      </c>
      <c r="AP95" s="72">
        <f t="shared" si="538"/>
        <v>0</v>
      </c>
      <c r="AQ95" s="72">
        <f t="shared" si="539"/>
        <v>0</v>
      </c>
      <c r="AR95" s="72">
        <f t="shared" si="540"/>
        <v>0</v>
      </c>
      <c r="AS95" s="72">
        <f t="shared" si="541"/>
        <v>0</v>
      </c>
      <c r="AT95" s="72">
        <f t="shared" si="542"/>
        <v>0</v>
      </c>
      <c r="AU95" s="72">
        <f t="shared" si="543"/>
        <v>0</v>
      </c>
      <c r="AV95" s="72">
        <f t="shared" si="544"/>
        <v>0</v>
      </c>
      <c r="AW95" s="72">
        <f t="shared" si="545"/>
        <v>0</v>
      </c>
      <c r="AX95" s="72">
        <f t="shared" si="546"/>
        <v>0</v>
      </c>
      <c r="AY95" s="72">
        <f t="shared" si="547"/>
        <v>0</v>
      </c>
      <c r="AZ95" s="72">
        <f t="shared" si="548"/>
        <v>0</v>
      </c>
      <c r="BA95" s="72">
        <f t="shared" si="549"/>
        <v>0</v>
      </c>
      <c r="BB95" s="72">
        <f t="shared" si="550"/>
        <v>0</v>
      </c>
      <c r="BC95" s="72">
        <f t="shared" si="551"/>
        <v>0</v>
      </c>
      <c r="BD95" s="72">
        <f t="shared" si="552"/>
        <v>0</v>
      </c>
      <c r="BE95" s="72">
        <f t="shared" si="553"/>
        <v>0</v>
      </c>
      <c r="BF95" s="72">
        <f t="shared" si="554"/>
        <v>0</v>
      </c>
      <c r="BG95" s="72">
        <f t="shared" si="555"/>
        <v>0</v>
      </c>
      <c r="BH95" s="72">
        <f t="shared" si="556"/>
        <v>0</v>
      </c>
      <c r="BI95" s="72">
        <f t="shared" si="557"/>
        <v>0</v>
      </c>
      <c r="BJ95" s="72">
        <f t="shared" si="558"/>
        <v>0</v>
      </c>
      <c r="BK95" s="72">
        <f t="shared" si="559"/>
        <v>0</v>
      </c>
      <c r="BL95" s="72">
        <f t="shared" si="560"/>
        <v>0</v>
      </c>
      <c r="BM95" s="72">
        <f t="shared" si="561"/>
        <v>0</v>
      </c>
      <c r="BN95" s="72">
        <f t="shared" si="562"/>
        <v>0</v>
      </c>
      <c r="BO95" s="72">
        <f t="shared" si="563"/>
        <v>0</v>
      </c>
      <c r="BP95" s="72">
        <f t="shared" si="564"/>
        <v>0</v>
      </c>
      <c r="BQ95" s="72">
        <f t="shared" si="565"/>
        <v>0</v>
      </c>
      <c r="BR95" s="72">
        <f t="shared" si="566"/>
        <v>0</v>
      </c>
      <c r="BS95" s="72">
        <f t="shared" si="567"/>
        <v>0</v>
      </c>
      <c r="BT95" s="72">
        <f t="shared" si="568"/>
        <v>0</v>
      </c>
      <c r="BU95" s="72">
        <f t="shared" si="569"/>
        <v>0</v>
      </c>
      <c r="BW95">
        <f t="shared" si="570"/>
        <v>0</v>
      </c>
      <c r="BX95">
        <f t="shared" si="571"/>
        <v>0</v>
      </c>
      <c r="BY95">
        <f t="shared" si="572"/>
        <v>0</v>
      </c>
      <c r="BZ95">
        <f t="shared" si="573"/>
        <v>0</v>
      </c>
      <c r="CA95">
        <f t="shared" si="574"/>
        <v>0</v>
      </c>
      <c r="CB95">
        <f t="shared" si="575"/>
        <v>0</v>
      </c>
      <c r="CD95">
        <f t="shared" si="576"/>
        <v>0</v>
      </c>
      <c r="CE95">
        <f t="shared" si="577"/>
        <v>0</v>
      </c>
      <c r="CF95">
        <f t="shared" si="578"/>
        <v>0</v>
      </c>
      <c r="CG95">
        <f t="shared" si="579"/>
        <v>0</v>
      </c>
      <c r="CH95">
        <f t="shared" si="580"/>
        <v>0</v>
      </c>
      <c r="CI95">
        <f t="shared" si="581"/>
        <v>0</v>
      </c>
      <c r="CK95">
        <f t="shared" si="582"/>
        <v>0</v>
      </c>
      <c r="CL95">
        <f t="shared" si="583"/>
        <v>0</v>
      </c>
      <c r="CM95">
        <f t="shared" si="584"/>
        <v>0</v>
      </c>
      <c r="CN95">
        <f t="shared" si="585"/>
        <v>0</v>
      </c>
      <c r="CO95">
        <f t="shared" si="586"/>
        <v>0</v>
      </c>
      <c r="CP95">
        <f t="shared" si="587"/>
        <v>0</v>
      </c>
      <c r="CR95">
        <f t="shared" si="588"/>
        <v>0</v>
      </c>
      <c r="CS95">
        <f t="shared" si="589"/>
        <v>0</v>
      </c>
      <c r="CT95">
        <f t="shared" si="590"/>
        <v>0</v>
      </c>
      <c r="CU95">
        <f t="shared" si="591"/>
        <v>0</v>
      </c>
      <c r="CV95">
        <f t="shared" si="592"/>
        <v>0</v>
      </c>
      <c r="CW95">
        <f t="shared" si="593"/>
        <v>0</v>
      </c>
      <c r="CY95">
        <f t="shared" si="594"/>
        <v>0</v>
      </c>
      <c r="CZ95">
        <f t="shared" si="595"/>
        <v>0</v>
      </c>
      <c r="DA95">
        <f t="shared" si="596"/>
        <v>0</v>
      </c>
      <c r="DB95">
        <f t="shared" si="597"/>
        <v>0</v>
      </c>
      <c r="DC95">
        <f t="shared" si="598"/>
        <v>0</v>
      </c>
      <c r="DD95">
        <f t="shared" si="599"/>
        <v>0</v>
      </c>
      <c r="DF95" s="79">
        <f t="shared" si="600"/>
        <v>0</v>
      </c>
      <c r="DG95" s="79">
        <f t="shared" si="601"/>
        <v>0</v>
      </c>
      <c r="DH95">
        <f t="shared" si="643"/>
        <v>0</v>
      </c>
      <c r="DI95">
        <f t="shared" si="606"/>
        <v>1</v>
      </c>
      <c r="DK95" s="79">
        <f t="shared" si="607"/>
        <v>0</v>
      </c>
      <c r="DL95" s="79">
        <f t="shared" si="608"/>
        <v>0</v>
      </c>
      <c r="DM95">
        <f t="shared" ref="DM95:DN95" si="676">IF(DK95+DL95=0,DM94,(DM94+DK95)*DK95)</f>
        <v>1</v>
      </c>
      <c r="DN95">
        <f t="shared" si="676"/>
        <v>0</v>
      </c>
      <c r="DP95" s="79">
        <f t="shared" si="610"/>
        <v>0</v>
      </c>
      <c r="DQ95" s="79">
        <f t="shared" si="611"/>
        <v>0</v>
      </c>
      <c r="DR95">
        <f t="shared" ref="DR95:DS95" si="677">IF(DP95+DQ95=0,DR94,(DR94+DP95)*DP95)</f>
        <v>0</v>
      </c>
      <c r="DS95">
        <f t="shared" si="677"/>
        <v>1</v>
      </c>
      <c r="DU95" s="79">
        <f t="shared" si="613"/>
        <v>0</v>
      </c>
      <c r="DV95" s="79">
        <f t="shared" si="614"/>
        <v>0</v>
      </c>
      <c r="DW95">
        <f t="shared" ref="DW95:DX95" si="678">IF(DU95+DV95=0,DW94,(DW94+DU95)*DU95)</f>
        <v>0</v>
      </c>
      <c r="DX95">
        <f t="shared" si="678"/>
        <v>1</v>
      </c>
      <c r="DZ95" s="79">
        <f t="shared" si="616"/>
        <v>0</v>
      </c>
      <c r="EA95" s="79">
        <f t="shared" si="617"/>
        <v>0</v>
      </c>
      <c r="EB95">
        <f t="shared" ref="EB95:EC95" si="679">IF(DZ95+EA95=0,EB94,(EB94+DZ95)*DZ95)</f>
        <v>0</v>
      </c>
      <c r="EC95">
        <f t="shared" si="679"/>
        <v>1</v>
      </c>
    </row>
    <row r="96" spans="1:133">
      <c r="A96" s="29"/>
      <c r="B96" s="29"/>
      <c r="C96" s="29"/>
      <c r="D96" s="29"/>
      <c r="E96" s="29"/>
      <c r="F96" s="30"/>
      <c r="G96" s="29"/>
      <c r="H96" s="29"/>
      <c r="I96" s="29"/>
      <c r="J96" s="29"/>
      <c r="AH96" s="72">
        <f t="shared" si="530"/>
        <v>0</v>
      </c>
      <c r="AI96" s="72">
        <f t="shared" si="531"/>
        <v>0</v>
      </c>
      <c r="AJ96" s="72">
        <f t="shared" si="532"/>
        <v>0</v>
      </c>
      <c r="AK96" s="72">
        <f t="shared" si="533"/>
        <v>0</v>
      </c>
      <c r="AL96" s="72">
        <f t="shared" si="534"/>
        <v>0</v>
      </c>
      <c r="AM96" s="72">
        <f t="shared" si="535"/>
        <v>0</v>
      </c>
      <c r="AN96" s="72">
        <f t="shared" si="536"/>
        <v>0</v>
      </c>
      <c r="AO96" s="72">
        <f t="shared" si="537"/>
        <v>0</v>
      </c>
      <c r="AP96" s="72">
        <f t="shared" si="538"/>
        <v>0</v>
      </c>
      <c r="AQ96" s="72">
        <f t="shared" si="539"/>
        <v>0</v>
      </c>
      <c r="AR96" s="72">
        <f t="shared" si="540"/>
        <v>0</v>
      </c>
      <c r="AS96" s="72">
        <f t="shared" si="541"/>
        <v>0</v>
      </c>
      <c r="AT96" s="72">
        <f t="shared" si="542"/>
        <v>0</v>
      </c>
      <c r="AU96" s="72">
        <f t="shared" si="543"/>
        <v>0</v>
      </c>
      <c r="AV96" s="72">
        <f t="shared" si="544"/>
        <v>0</v>
      </c>
      <c r="AW96" s="72">
        <f t="shared" si="545"/>
        <v>0</v>
      </c>
      <c r="AX96" s="72">
        <f t="shared" si="546"/>
        <v>0</v>
      </c>
      <c r="AY96" s="72">
        <f t="shared" si="547"/>
        <v>0</v>
      </c>
      <c r="AZ96" s="72">
        <f t="shared" si="548"/>
        <v>0</v>
      </c>
      <c r="BA96" s="72">
        <f t="shared" si="549"/>
        <v>0</v>
      </c>
      <c r="BB96" s="72">
        <f t="shared" si="550"/>
        <v>0</v>
      </c>
      <c r="BC96" s="72">
        <f t="shared" si="551"/>
        <v>0</v>
      </c>
      <c r="BD96" s="72">
        <f t="shared" si="552"/>
        <v>0</v>
      </c>
      <c r="BE96" s="72">
        <f t="shared" si="553"/>
        <v>0</v>
      </c>
      <c r="BF96" s="72">
        <f t="shared" si="554"/>
        <v>0</v>
      </c>
      <c r="BG96" s="72">
        <f t="shared" si="555"/>
        <v>0</v>
      </c>
      <c r="BH96" s="72">
        <f t="shared" si="556"/>
        <v>0</v>
      </c>
      <c r="BI96" s="72">
        <f t="shared" si="557"/>
        <v>0</v>
      </c>
      <c r="BJ96" s="72">
        <f t="shared" si="558"/>
        <v>0</v>
      </c>
      <c r="BK96" s="72">
        <f t="shared" si="559"/>
        <v>0</v>
      </c>
      <c r="BL96" s="72">
        <f t="shared" si="560"/>
        <v>0</v>
      </c>
      <c r="BM96" s="72">
        <f t="shared" si="561"/>
        <v>0</v>
      </c>
      <c r="BN96" s="72">
        <f t="shared" si="562"/>
        <v>0</v>
      </c>
      <c r="BO96" s="72">
        <f t="shared" si="563"/>
        <v>0</v>
      </c>
      <c r="BP96" s="72">
        <f t="shared" si="564"/>
        <v>0</v>
      </c>
      <c r="BQ96" s="72">
        <f t="shared" si="565"/>
        <v>0</v>
      </c>
      <c r="BR96" s="72">
        <f t="shared" si="566"/>
        <v>0</v>
      </c>
      <c r="BS96" s="72">
        <f t="shared" si="567"/>
        <v>0</v>
      </c>
      <c r="BT96" s="72">
        <f t="shared" si="568"/>
        <v>0</v>
      </c>
      <c r="BU96" s="72">
        <f t="shared" si="569"/>
        <v>0</v>
      </c>
      <c r="BW96">
        <f t="shared" si="570"/>
        <v>0</v>
      </c>
      <c r="BX96">
        <f t="shared" si="571"/>
        <v>0</v>
      </c>
      <c r="BY96">
        <f t="shared" si="572"/>
        <v>0</v>
      </c>
      <c r="BZ96">
        <f t="shared" si="573"/>
        <v>0</v>
      </c>
      <c r="CA96">
        <f t="shared" si="574"/>
        <v>0</v>
      </c>
      <c r="CB96">
        <f t="shared" si="575"/>
        <v>0</v>
      </c>
      <c r="CD96">
        <f t="shared" si="576"/>
        <v>0</v>
      </c>
      <c r="CE96">
        <f t="shared" si="577"/>
        <v>0</v>
      </c>
      <c r="CF96">
        <f t="shared" si="578"/>
        <v>0</v>
      </c>
      <c r="CG96">
        <f t="shared" si="579"/>
        <v>0</v>
      </c>
      <c r="CH96">
        <f t="shared" si="580"/>
        <v>0</v>
      </c>
      <c r="CI96">
        <f t="shared" si="581"/>
        <v>0</v>
      </c>
      <c r="CK96">
        <f t="shared" si="582"/>
        <v>0</v>
      </c>
      <c r="CL96">
        <f t="shared" si="583"/>
        <v>0</v>
      </c>
      <c r="CM96">
        <f t="shared" si="584"/>
        <v>0</v>
      </c>
      <c r="CN96">
        <f t="shared" si="585"/>
        <v>0</v>
      </c>
      <c r="CO96">
        <f t="shared" si="586"/>
        <v>0</v>
      </c>
      <c r="CP96">
        <f t="shared" si="587"/>
        <v>0</v>
      </c>
      <c r="CR96">
        <f t="shared" si="588"/>
        <v>0</v>
      </c>
      <c r="CS96">
        <f t="shared" si="589"/>
        <v>0</v>
      </c>
      <c r="CT96">
        <f t="shared" si="590"/>
        <v>0</v>
      </c>
      <c r="CU96">
        <f t="shared" si="591"/>
        <v>0</v>
      </c>
      <c r="CV96">
        <f t="shared" si="592"/>
        <v>0</v>
      </c>
      <c r="CW96">
        <f t="shared" si="593"/>
        <v>0</v>
      </c>
      <c r="CY96">
        <f t="shared" si="594"/>
        <v>0</v>
      </c>
      <c r="CZ96">
        <f t="shared" si="595"/>
        <v>0</v>
      </c>
      <c r="DA96">
        <f t="shared" si="596"/>
        <v>0</v>
      </c>
      <c r="DB96">
        <f t="shared" si="597"/>
        <v>0</v>
      </c>
      <c r="DC96">
        <f t="shared" si="598"/>
        <v>0</v>
      </c>
      <c r="DD96">
        <f t="shared" si="599"/>
        <v>0</v>
      </c>
      <c r="DF96" s="79">
        <f t="shared" si="600"/>
        <v>0</v>
      </c>
      <c r="DG96" s="79">
        <f t="shared" si="601"/>
        <v>0</v>
      </c>
      <c r="DH96">
        <f t="shared" si="643"/>
        <v>0</v>
      </c>
      <c r="DI96">
        <f t="shared" si="606"/>
        <v>1</v>
      </c>
      <c r="DK96" s="79">
        <f t="shared" si="607"/>
        <v>0</v>
      </c>
      <c r="DL96" s="79">
        <f t="shared" si="608"/>
        <v>0</v>
      </c>
      <c r="DM96">
        <f t="shared" ref="DM96:DN96" si="680">IF(DK96+DL96=0,DM95,(DM95+DK96)*DK96)</f>
        <v>1</v>
      </c>
      <c r="DN96">
        <f t="shared" si="680"/>
        <v>0</v>
      </c>
      <c r="DP96" s="79">
        <f t="shared" si="610"/>
        <v>0</v>
      </c>
      <c r="DQ96" s="79">
        <f t="shared" si="611"/>
        <v>0</v>
      </c>
      <c r="DR96">
        <f t="shared" ref="DR96:DS96" si="681">IF(DP96+DQ96=0,DR95,(DR95+DP96)*DP96)</f>
        <v>0</v>
      </c>
      <c r="DS96">
        <f t="shared" si="681"/>
        <v>1</v>
      </c>
      <c r="DU96" s="79">
        <f t="shared" si="613"/>
        <v>0</v>
      </c>
      <c r="DV96" s="79">
        <f t="shared" si="614"/>
        <v>0</v>
      </c>
      <c r="DW96">
        <f t="shared" ref="DW96:DX96" si="682">IF(DU96+DV96=0,DW95,(DW95+DU96)*DU96)</f>
        <v>0</v>
      </c>
      <c r="DX96">
        <f t="shared" si="682"/>
        <v>1</v>
      </c>
      <c r="DZ96" s="79">
        <f t="shared" si="616"/>
        <v>0</v>
      </c>
      <c r="EA96" s="79">
        <f t="shared" si="617"/>
        <v>0</v>
      </c>
      <c r="EB96">
        <f t="shared" ref="EB96:EC96" si="683">IF(DZ96+EA96=0,EB95,(EB95+DZ96)*DZ96)</f>
        <v>0</v>
      </c>
      <c r="EC96">
        <f t="shared" si="683"/>
        <v>1</v>
      </c>
    </row>
    <row r="97" spans="1:133">
      <c r="A97" s="29"/>
      <c r="B97" s="29"/>
      <c r="C97" s="29"/>
      <c r="D97" s="29"/>
      <c r="E97" s="29"/>
      <c r="F97" s="30"/>
      <c r="G97" s="29"/>
      <c r="H97" s="29"/>
      <c r="I97" s="29"/>
      <c r="J97" s="29"/>
      <c r="AH97" s="72">
        <f t="shared" si="530"/>
        <v>0</v>
      </c>
      <c r="AI97" s="72">
        <f t="shared" si="531"/>
        <v>0</v>
      </c>
      <c r="AJ97" s="72">
        <f t="shared" si="532"/>
        <v>0</v>
      </c>
      <c r="AK97" s="72">
        <f t="shared" si="533"/>
        <v>0</v>
      </c>
      <c r="AL97" s="72">
        <f t="shared" si="534"/>
        <v>0</v>
      </c>
      <c r="AM97" s="72">
        <f t="shared" si="535"/>
        <v>0</v>
      </c>
      <c r="AN97" s="72">
        <f t="shared" si="536"/>
        <v>0</v>
      </c>
      <c r="AO97" s="72">
        <f t="shared" si="537"/>
        <v>0</v>
      </c>
      <c r="AP97" s="72">
        <f t="shared" si="538"/>
        <v>0</v>
      </c>
      <c r="AQ97" s="72">
        <f t="shared" si="539"/>
        <v>0</v>
      </c>
      <c r="AR97" s="72">
        <f t="shared" si="540"/>
        <v>0</v>
      </c>
      <c r="AS97" s="72">
        <f t="shared" si="541"/>
        <v>0</v>
      </c>
      <c r="AT97" s="72">
        <f t="shared" si="542"/>
        <v>0</v>
      </c>
      <c r="AU97" s="72">
        <f t="shared" si="543"/>
        <v>0</v>
      </c>
      <c r="AV97" s="72">
        <f t="shared" si="544"/>
        <v>0</v>
      </c>
      <c r="AW97" s="72">
        <f t="shared" si="545"/>
        <v>0</v>
      </c>
      <c r="AX97" s="72">
        <f t="shared" si="546"/>
        <v>0</v>
      </c>
      <c r="AY97" s="72">
        <f t="shared" si="547"/>
        <v>0</v>
      </c>
      <c r="AZ97" s="72">
        <f t="shared" si="548"/>
        <v>0</v>
      </c>
      <c r="BA97" s="72">
        <f t="shared" si="549"/>
        <v>0</v>
      </c>
      <c r="BB97" s="72">
        <f t="shared" si="550"/>
        <v>0</v>
      </c>
      <c r="BC97" s="72">
        <f t="shared" si="551"/>
        <v>0</v>
      </c>
      <c r="BD97" s="72">
        <f t="shared" si="552"/>
        <v>0</v>
      </c>
      <c r="BE97" s="72">
        <f t="shared" si="553"/>
        <v>0</v>
      </c>
      <c r="BF97" s="72">
        <f t="shared" si="554"/>
        <v>0</v>
      </c>
      <c r="BG97" s="72">
        <f t="shared" si="555"/>
        <v>0</v>
      </c>
      <c r="BH97" s="72">
        <f t="shared" si="556"/>
        <v>0</v>
      </c>
      <c r="BI97" s="72">
        <f t="shared" si="557"/>
        <v>0</v>
      </c>
      <c r="BJ97" s="72">
        <f t="shared" si="558"/>
        <v>0</v>
      </c>
      <c r="BK97" s="72">
        <f t="shared" si="559"/>
        <v>0</v>
      </c>
      <c r="BL97" s="72">
        <f t="shared" si="560"/>
        <v>0</v>
      </c>
      <c r="BM97" s="72">
        <f t="shared" si="561"/>
        <v>0</v>
      </c>
      <c r="BN97" s="72">
        <f t="shared" si="562"/>
        <v>0</v>
      </c>
      <c r="BO97" s="72">
        <f t="shared" si="563"/>
        <v>0</v>
      </c>
      <c r="BP97" s="72">
        <f t="shared" si="564"/>
        <v>0</v>
      </c>
      <c r="BQ97" s="72">
        <f t="shared" si="565"/>
        <v>0</v>
      </c>
      <c r="BR97" s="72">
        <f t="shared" si="566"/>
        <v>0</v>
      </c>
      <c r="BS97" s="72">
        <f t="shared" si="567"/>
        <v>0</v>
      </c>
      <c r="BT97" s="72">
        <f t="shared" si="568"/>
        <v>0</v>
      </c>
      <c r="BU97" s="72">
        <f t="shared" si="569"/>
        <v>0</v>
      </c>
      <c r="BW97">
        <f t="shared" si="570"/>
        <v>0</v>
      </c>
      <c r="BX97">
        <f t="shared" si="571"/>
        <v>0</v>
      </c>
      <c r="BY97">
        <f t="shared" si="572"/>
        <v>0</v>
      </c>
      <c r="BZ97">
        <f t="shared" si="573"/>
        <v>0</v>
      </c>
      <c r="CA97">
        <f t="shared" si="574"/>
        <v>0</v>
      </c>
      <c r="CB97">
        <f t="shared" si="575"/>
        <v>0</v>
      </c>
      <c r="CD97">
        <f t="shared" si="576"/>
        <v>0</v>
      </c>
      <c r="CE97">
        <f t="shared" si="577"/>
        <v>0</v>
      </c>
      <c r="CF97">
        <f t="shared" si="578"/>
        <v>0</v>
      </c>
      <c r="CG97">
        <f t="shared" si="579"/>
        <v>0</v>
      </c>
      <c r="CH97">
        <f t="shared" si="580"/>
        <v>0</v>
      </c>
      <c r="CI97">
        <f t="shared" si="581"/>
        <v>0</v>
      </c>
      <c r="CK97">
        <f t="shared" si="582"/>
        <v>0</v>
      </c>
      <c r="CL97">
        <f t="shared" si="583"/>
        <v>0</v>
      </c>
      <c r="CM97">
        <f t="shared" si="584"/>
        <v>0</v>
      </c>
      <c r="CN97">
        <f t="shared" si="585"/>
        <v>0</v>
      </c>
      <c r="CO97">
        <f t="shared" si="586"/>
        <v>0</v>
      </c>
      <c r="CP97">
        <f t="shared" si="587"/>
        <v>0</v>
      </c>
      <c r="CR97">
        <f t="shared" si="588"/>
        <v>0</v>
      </c>
      <c r="CS97">
        <f t="shared" si="589"/>
        <v>0</v>
      </c>
      <c r="CT97">
        <f t="shared" si="590"/>
        <v>0</v>
      </c>
      <c r="CU97">
        <f t="shared" si="591"/>
        <v>0</v>
      </c>
      <c r="CV97">
        <f t="shared" si="592"/>
        <v>0</v>
      </c>
      <c r="CW97">
        <f t="shared" si="593"/>
        <v>0</v>
      </c>
      <c r="CY97">
        <f t="shared" si="594"/>
        <v>0</v>
      </c>
      <c r="CZ97">
        <f t="shared" si="595"/>
        <v>0</v>
      </c>
      <c r="DA97">
        <f t="shared" si="596"/>
        <v>0</v>
      </c>
      <c r="DB97">
        <f t="shared" si="597"/>
        <v>0</v>
      </c>
      <c r="DC97">
        <f t="shared" si="598"/>
        <v>0</v>
      </c>
      <c r="DD97">
        <f t="shared" si="599"/>
        <v>0</v>
      </c>
      <c r="DF97" s="79">
        <f t="shared" si="600"/>
        <v>0</v>
      </c>
      <c r="DG97" s="79">
        <f t="shared" si="601"/>
        <v>0</v>
      </c>
      <c r="DH97">
        <f t="shared" si="643"/>
        <v>0</v>
      </c>
      <c r="DI97">
        <f t="shared" si="606"/>
        <v>1</v>
      </c>
      <c r="DK97" s="79">
        <f t="shared" si="607"/>
        <v>0</v>
      </c>
      <c r="DL97" s="79">
        <f t="shared" si="608"/>
        <v>0</v>
      </c>
      <c r="DM97">
        <f t="shared" ref="DM97:DN97" si="684">IF(DK97+DL97=0,DM96,(DM96+DK97)*DK97)</f>
        <v>1</v>
      </c>
      <c r="DN97">
        <f t="shared" si="684"/>
        <v>0</v>
      </c>
      <c r="DP97" s="79">
        <f t="shared" si="610"/>
        <v>0</v>
      </c>
      <c r="DQ97" s="79">
        <f t="shared" si="611"/>
        <v>0</v>
      </c>
      <c r="DR97">
        <f t="shared" ref="DR97:DS97" si="685">IF(DP97+DQ97=0,DR96,(DR96+DP97)*DP97)</f>
        <v>0</v>
      </c>
      <c r="DS97">
        <f t="shared" si="685"/>
        <v>1</v>
      </c>
      <c r="DU97" s="79">
        <f t="shared" si="613"/>
        <v>0</v>
      </c>
      <c r="DV97" s="79">
        <f t="shared" si="614"/>
        <v>0</v>
      </c>
      <c r="DW97">
        <f t="shared" ref="DW97:DX97" si="686">IF(DU97+DV97=0,DW96,(DW96+DU97)*DU97)</f>
        <v>0</v>
      </c>
      <c r="DX97">
        <f t="shared" si="686"/>
        <v>1</v>
      </c>
      <c r="DZ97" s="79">
        <f t="shared" si="616"/>
        <v>0</v>
      </c>
      <c r="EA97" s="79">
        <f t="shared" si="617"/>
        <v>0</v>
      </c>
      <c r="EB97">
        <f t="shared" ref="EB97:EC97" si="687">IF(DZ97+EA97=0,EB96,(EB96+DZ97)*DZ97)</f>
        <v>0</v>
      </c>
      <c r="EC97">
        <f t="shared" si="687"/>
        <v>1</v>
      </c>
    </row>
    <row r="98" spans="1:133">
      <c r="A98" s="29"/>
      <c r="B98" s="29"/>
      <c r="C98" s="29"/>
      <c r="D98" s="29"/>
      <c r="E98" s="29"/>
      <c r="F98" s="30"/>
      <c r="G98" s="29"/>
      <c r="H98" s="29"/>
      <c r="I98" s="29"/>
      <c r="J98" s="29"/>
      <c r="AH98" s="72">
        <f t="shared" si="530"/>
        <v>0</v>
      </c>
      <c r="AI98" s="72">
        <f t="shared" si="531"/>
        <v>0</v>
      </c>
      <c r="AJ98" s="72">
        <f t="shared" si="532"/>
        <v>0</v>
      </c>
      <c r="AK98" s="72">
        <f t="shared" si="533"/>
        <v>0</v>
      </c>
      <c r="AL98" s="72">
        <f t="shared" si="534"/>
        <v>0</v>
      </c>
      <c r="AM98" s="72">
        <f t="shared" si="535"/>
        <v>0</v>
      </c>
      <c r="AN98" s="72">
        <f t="shared" si="536"/>
        <v>0</v>
      </c>
      <c r="AO98" s="72">
        <f t="shared" si="537"/>
        <v>0</v>
      </c>
      <c r="AP98" s="72">
        <f t="shared" si="538"/>
        <v>0</v>
      </c>
      <c r="AQ98" s="72">
        <f t="shared" si="539"/>
        <v>0</v>
      </c>
      <c r="AR98" s="72">
        <f t="shared" si="540"/>
        <v>0</v>
      </c>
      <c r="AS98" s="72">
        <f t="shared" si="541"/>
        <v>0</v>
      </c>
      <c r="AT98" s="72">
        <f t="shared" si="542"/>
        <v>0</v>
      </c>
      <c r="AU98" s="72">
        <f t="shared" si="543"/>
        <v>0</v>
      </c>
      <c r="AV98" s="72">
        <f t="shared" si="544"/>
        <v>0</v>
      </c>
      <c r="AW98" s="72">
        <f t="shared" si="545"/>
        <v>0</v>
      </c>
      <c r="AX98" s="72">
        <f t="shared" si="546"/>
        <v>0</v>
      </c>
      <c r="AY98" s="72">
        <f t="shared" si="547"/>
        <v>0</v>
      </c>
      <c r="AZ98" s="72">
        <f t="shared" si="548"/>
        <v>0</v>
      </c>
      <c r="BA98" s="72">
        <f t="shared" si="549"/>
        <v>0</v>
      </c>
      <c r="BB98" s="72">
        <f t="shared" si="550"/>
        <v>0</v>
      </c>
      <c r="BC98" s="72">
        <f t="shared" si="551"/>
        <v>0</v>
      </c>
      <c r="BD98" s="72">
        <f t="shared" si="552"/>
        <v>0</v>
      </c>
      <c r="BE98" s="72">
        <f t="shared" si="553"/>
        <v>0</v>
      </c>
      <c r="BF98" s="72">
        <f t="shared" si="554"/>
        <v>0</v>
      </c>
      <c r="BG98" s="72">
        <f t="shared" si="555"/>
        <v>0</v>
      </c>
      <c r="BH98" s="72">
        <f t="shared" si="556"/>
        <v>0</v>
      </c>
      <c r="BI98" s="72">
        <f t="shared" si="557"/>
        <v>0</v>
      </c>
      <c r="BJ98" s="72">
        <f t="shared" si="558"/>
        <v>0</v>
      </c>
      <c r="BK98" s="72">
        <f t="shared" si="559"/>
        <v>0</v>
      </c>
      <c r="BL98" s="72">
        <f t="shared" si="560"/>
        <v>0</v>
      </c>
      <c r="BM98" s="72">
        <f t="shared" si="561"/>
        <v>0</v>
      </c>
      <c r="BN98" s="72">
        <f t="shared" si="562"/>
        <v>0</v>
      </c>
      <c r="BO98" s="72">
        <f t="shared" si="563"/>
        <v>0</v>
      </c>
      <c r="BP98" s="72">
        <f t="shared" si="564"/>
        <v>0</v>
      </c>
      <c r="BQ98" s="72">
        <f t="shared" si="565"/>
        <v>0</v>
      </c>
      <c r="BR98" s="72">
        <f t="shared" si="566"/>
        <v>0</v>
      </c>
      <c r="BS98" s="72">
        <f t="shared" si="567"/>
        <v>0</v>
      </c>
      <c r="BT98" s="72">
        <f t="shared" si="568"/>
        <v>0</v>
      </c>
      <c r="BU98" s="72">
        <f t="shared" si="569"/>
        <v>0</v>
      </c>
      <c r="BW98">
        <f t="shared" si="570"/>
        <v>0</v>
      </c>
      <c r="BX98">
        <f t="shared" si="571"/>
        <v>0</v>
      </c>
      <c r="BY98">
        <f t="shared" si="572"/>
        <v>0</v>
      </c>
      <c r="BZ98">
        <f t="shared" si="573"/>
        <v>0</v>
      </c>
      <c r="CA98">
        <f t="shared" si="574"/>
        <v>0</v>
      </c>
      <c r="CB98">
        <f t="shared" si="575"/>
        <v>0</v>
      </c>
      <c r="CD98">
        <f t="shared" si="576"/>
        <v>0</v>
      </c>
      <c r="CE98">
        <f t="shared" si="577"/>
        <v>0</v>
      </c>
      <c r="CF98">
        <f t="shared" si="578"/>
        <v>0</v>
      </c>
      <c r="CG98">
        <f t="shared" si="579"/>
        <v>0</v>
      </c>
      <c r="CH98">
        <f t="shared" si="580"/>
        <v>0</v>
      </c>
      <c r="CI98">
        <f t="shared" si="581"/>
        <v>0</v>
      </c>
      <c r="CK98">
        <f t="shared" si="582"/>
        <v>0</v>
      </c>
      <c r="CL98">
        <f t="shared" si="583"/>
        <v>0</v>
      </c>
      <c r="CM98">
        <f t="shared" si="584"/>
        <v>0</v>
      </c>
      <c r="CN98">
        <f t="shared" si="585"/>
        <v>0</v>
      </c>
      <c r="CO98">
        <f t="shared" si="586"/>
        <v>0</v>
      </c>
      <c r="CP98">
        <f t="shared" si="587"/>
        <v>0</v>
      </c>
      <c r="CR98">
        <f t="shared" si="588"/>
        <v>0</v>
      </c>
      <c r="CS98">
        <f t="shared" si="589"/>
        <v>0</v>
      </c>
      <c r="CT98">
        <f t="shared" si="590"/>
        <v>0</v>
      </c>
      <c r="CU98">
        <f t="shared" si="591"/>
        <v>0</v>
      </c>
      <c r="CV98">
        <f t="shared" si="592"/>
        <v>0</v>
      </c>
      <c r="CW98">
        <f t="shared" si="593"/>
        <v>0</v>
      </c>
      <c r="CY98">
        <f t="shared" si="594"/>
        <v>0</v>
      </c>
      <c r="CZ98">
        <f t="shared" si="595"/>
        <v>0</v>
      </c>
      <c r="DA98">
        <f t="shared" si="596"/>
        <v>0</v>
      </c>
      <c r="DB98">
        <f t="shared" si="597"/>
        <v>0</v>
      </c>
      <c r="DC98">
        <f t="shared" si="598"/>
        <v>0</v>
      </c>
      <c r="DD98">
        <f t="shared" si="599"/>
        <v>0</v>
      </c>
      <c r="DF98" s="79">
        <f t="shared" si="600"/>
        <v>0</v>
      </c>
      <c r="DG98" s="79">
        <f t="shared" si="601"/>
        <v>0</v>
      </c>
      <c r="DH98">
        <f t="shared" si="643"/>
        <v>0</v>
      </c>
      <c r="DI98">
        <f t="shared" si="606"/>
        <v>1</v>
      </c>
      <c r="DK98" s="79">
        <f t="shared" si="607"/>
        <v>0</v>
      </c>
      <c r="DL98" s="79">
        <f t="shared" si="608"/>
        <v>0</v>
      </c>
      <c r="DM98">
        <f t="shared" ref="DM98:DN98" si="688">IF(DK98+DL98=0,DM97,(DM97+DK98)*DK98)</f>
        <v>1</v>
      </c>
      <c r="DN98">
        <f t="shared" si="688"/>
        <v>0</v>
      </c>
      <c r="DP98" s="79">
        <f t="shared" si="610"/>
        <v>0</v>
      </c>
      <c r="DQ98" s="79">
        <f t="shared" si="611"/>
        <v>0</v>
      </c>
      <c r="DR98">
        <f t="shared" ref="DR98:DS98" si="689">IF(DP98+DQ98=0,DR97,(DR97+DP98)*DP98)</f>
        <v>0</v>
      </c>
      <c r="DS98">
        <f t="shared" si="689"/>
        <v>1</v>
      </c>
      <c r="DU98" s="79">
        <f t="shared" si="613"/>
        <v>0</v>
      </c>
      <c r="DV98" s="79">
        <f t="shared" si="614"/>
        <v>0</v>
      </c>
      <c r="DW98">
        <f t="shared" ref="DW98:DX98" si="690">IF(DU98+DV98=0,DW97,(DW97+DU98)*DU98)</f>
        <v>0</v>
      </c>
      <c r="DX98">
        <f t="shared" si="690"/>
        <v>1</v>
      </c>
      <c r="DZ98" s="79">
        <f t="shared" si="616"/>
        <v>0</v>
      </c>
      <c r="EA98" s="79">
        <f t="shared" si="617"/>
        <v>0</v>
      </c>
      <c r="EB98">
        <f t="shared" ref="EB98:EC98" si="691">IF(DZ98+EA98=0,EB97,(EB97+DZ98)*DZ98)</f>
        <v>0</v>
      </c>
      <c r="EC98">
        <f t="shared" si="691"/>
        <v>1</v>
      </c>
    </row>
    <row r="99" spans="1:133">
      <c r="A99" s="29"/>
      <c r="B99" s="29"/>
      <c r="C99" s="29"/>
      <c r="D99" s="29"/>
      <c r="E99" s="29"/>
      <c r="F99" s="30"/>
      <c r="G99" s="29"/>
      <c r="H99" s="29"/>
      <c r="I99" s="29"/>
      <c r="J99" s="29"/>
      <c r="AH99" s="72">
        <f t="shared" si="530"/>
        <v>0</v>
      </c>
      <c r="AI99" s="72">
        <f t="shared" si="531"/>
        <v>0</v>
      </c>
      <c r="AJ99" s="72">
        <f t="shared" si="532"/>
        <v>0</v>
      </c>
      <c r="AK99" s="72">
        <f t="shared" si="533"/>
        <v>0</v>
      </c>
      <c r="AL99" s="72">
        <f t="shared" si="534"/>
        <v>0</v>
      </c>
      <c r="AM99" s="72">
        <f t="shared" si="535"/>
        <v>0</v>
      </c>
      <c r="AN99" s="72">
        <f t="shared" si="536"/>
        <v>0</v>
      </c>
      <c r="AO99" s="72">
        <f t="shared" si="537"/>
        <v>0</v>
      </c>
      <c r="AP99" s="72">
        <f t="shared" si="538"/>
        <v>0</v>
      </c>
      <c r="AQ99" s="72">
        <f t="shared" si="539"/>
        <v>0</v>
      </c>
      <c r="AR99" s="72">
        <f t="shared" si="540"/>
        <v>0</v>
      </c>
      <c r="AS99" s="72">
        <f t="shared" si="541"/>
        <v>0</v>
      </c>
      <c r="AT99" s="72">
        <f t="shared" si="542"/>
        <v>0</v>
      </c>
      <c r="AU99" s="72">
        <f t="shared" si="543"/>
        <v>0</v>
      </c>
      <c r="AV99" s="72">
        <f t="shared" si="544"/>
        <v>0</v>
      </c>
      <c r="AW99" s="72">
        <f t="shared" si="545"/>
        <v>0</v>
      </c>
      <c r="AX99" s="72">
        <f t="shared" si="546"/>
        <v>0</v>
      </c>
      <c r="AY99" s="72">
        <f t="shared" si="547"/>
        <v>0</v>
      </c>
      <c r="AZ99" s="72">
        <f t="shared" si="548"/>
        <v>0</v>
      </c>
      <c r="BA99" s="72">
        <f t="shared" si="549"/>
        <v>0</v>
      </c>
      <c r="BB99" s="72">
        <f t="shared" si="550"/>
        <v>0</v>
      </c>
      <c r="BC99" s="72">
        <f t="shared" si="551"/>
        <v>0</v>
      </c>
      <c r="BD99" s="72">
        <f t="shared" si="552"/>
        <v>0</v>
      </c>
      <c r="BE99" s="72">
        <f t="shared" si="553"/>
        <v>0</v>
      </c>
      <c r="BF99" s="72">
        <f t="shared" si="554"/>
        <v>0</v>
      </c>
      <c r="BG99" s="72">
        <f t="shared" si="555"/>
        <v>0</v>
      </c>
      <c r="BH99" s="72">
        <f t="shared" si="556"/>
        <v>0</v>
      </c>
      <c r="BI99" s="72">
        <f t="shared" si="557"/>
        <v>0</v>
      </c>
      <c r="BJ99" s="72">
        <f t="shared" si="558"/>
        <v>0</v>
      </c>
      <c r="BK99" s="72">
        <f t="shared" si="559"/>
        <v>0</v>
      </c>
      <c r="BL99" s="72">
        <f t="shared" si="560"/>
        <v>0</v>
      </c>
      <c r="BM99" s="72">
        <f t="shared" si="561"/>
        <v>0</v>
      </c>
      <c r="BN99" s="72">
        <f t="shared" si="562"/>
        <v>0</v>
      </c>
      <c r="BO99" s="72">
        <f t="shared" si="563"/>
        <v>0</v>
      </c>
      <c r="BP99" s="72">
        <f t="shared" si="564"/>
        <v>0</v>
      </c>
      <c r="BQ99" s="72">
        <f t="shared" si="565"/>
        <v>0</v>
      </c>
      <c r="BR99" s="72">
        <f t="shared" si="566"/>
        <v>0</v>
      </c>
      <c r="BS99" s="72">
        <f t="shared" si="567"/>
        <v>0</v>
      </c>
      <c r="BT99" s="72">
        <f t="shared" si="568"/>
        <v>0</v>
      </c>
      <c r="BU99" s="72">
        <f t="shared" si="569"/>
        <v>0</v>
      </c>
      <c r="BW99">
        <f t="shared" si="570"/>
        <v>0</v>
      </c>
      <c r="BX99">
        <f t="shared" si="571"/>
        <v>0</v>
      </c>
      <c r="BY99">
        <f t="shared" si="572"/>
        <v>0</v>
      </c>
      <c r="BZ99">
        <f t="shared" si="573"/>
        <v>0</v>
      </c>
      <c r="CA99">
        <f t="shared" si="574"/>
        <v>0</v>
      </c>
      <c r="CB99">
        <f t="shared" si="575"/>
        <v>0</v>
      </c>
      <c r="CD99">
        <f t="shared" si="576"/>
        <v>0</v>
      </c>
      <c r="CE99">
        <f t="shared" si="577"/>
        <v>0</v>
      </c>
      <c r="CF99">
        <f t="shared" si="578"/>
        <v>0</v>
      </c>
      <c r="CG99">
        <f t="shared" si="579"/>
        <v>0</v>
      </c>
      <c r="CH99">
        <f t="shared" si="580"/>
        <v>0</v>
      </c>
      <c r="CI99">
        <f t="shared" si="581"/>
        <v>0</v>
      </c>
      <c r="CK99">
        <f t="shared" si="582"/>
        <v>0</v>
      </c>
      <c r="CL99">
        <f t="shared" si="583"/>
        <v>0</v>
      </c>
      <c r="CM99">
        <f t="shared" si="584"/>
        <v>0</v>
      </c>
      <c r="CN99">
        <f t="shared" si="585"/>
        <v>0</v>
      </c>
      <c r="CO99">
        <f t="shared" si="586"/>
        <v>0</v>
      </c>
      <c r="CP99">
        <f t="shared" si="587"/>
        <v>0</v>
      </c>
      <c r="CR99">
        <f t="shared" si="588"/>
        <v>0</v>
      </c>
      <c r="CS99">
        <f t="shared" si="589"/>
        <v>0</v>
      </c>
      <c r="CT99">
        <f t="shared" si="590"/>
        <v>0</v>
      </c>
      <c r="CU99">
        <f t="shared" si="591"/>
        <v>0</v>
      </c>
      <c r="CV99">
        <f t="shared" si="592"/>
        <v>0</v>
      </c>
      <c r="CW99">
        <f t="shared" si="593"/>
        <v>0</v>
      </c>
      <c r="CY99">
        <f t="shared" si="594"/>
        <v>0</v>
      </c>
      <c r="CZ99">
        <f t="shared" si="595"/>
        <v>0</v>
      </c>
      <c r="DA99">
        <f t="shared" si="596"/>
        <v>0</v>
      </c>
      <c r="DB99">
        <f t="shared" si="597"/>
        <v>0</v>
      </c>
      <c r="DC99">
        <f t="shared" si="598"/>
        <v>0</v>
      </c>
      <c r="DD99">
        <f t="shared" si="599"/>
        <v>0</v>
      </c>
      <c r="DF99" s="79">
        <f t="shared" si="600"/>
        <v>0</v>
      </c>
      <c r="DG99" s="79">
        <f t="shared" si="601"/>
        <v>0</v>
      </c>
      <c r="DH99">
        <f t="shared" si="643"/>
        <v>0</v>
      </c>
      <c r="DI99">
        <f t="shared" si="606"/>
        <v>1</v>
      </c>
      <c r="DK99" s="79">
        <f t="shared" si="607"/>
        <v>0</v>
      </c>
      <c r="DL99" s="79">
        <f t="shared" si="608"/>
        <v>0</v>
      </c>
      <c r="DM99">
        <f t="shared" ref="DM99:DN99" si="692">IF(DK99+DL99=0,DM98,(DM98+DK99)*DK99)</f>
        <v>1</v>
      </c>
      <c r="DN99">
        <f t="shared" si="692"/>
        <v>0</v>
      </c>
      <c r="DP99" s="79">
        <f t="shared" si="610"/>
        <v>0</v>
      </c>
      <c r="DQ99" s="79">
        <f t="shared" si="611"/>
        <v>0</v>
      </c>
      <c r="DR99">
        <f t="shared" ref="DR99:DS99" si="693">IF(DP99+DQ99=0,DR98,(DR98+DP99)*DP99)</f>
        <v>0</v>
      </c>
      <c r="DS99">
        <f t="shared" si="693"/>
        <v>1</v>
      </c>
      <c r="DU99" s="79">
        <f t="shared" si="613"/>
        <v>0</v>
      </c>
      <c r="DV99" s="79">
        <f t="shared" si="614"/>
        <v>0</v>
      </c>
      <c r="DW99">
        <f t="shared" ref="DW99:DX99" si="694">IF(DU99+DV99=0,DW98,(DW98+DU99)*DU99)</f>
        <v>0</v>
      </c>
      <c r="DX99">
        <f t="shared" si="694"/>
        <v>1</v>
      </c>
      <c r="DZ99" s="79">
        <f t="shared" si="616"/>
        <v>0</v>
      </c>
      <c r="EA99" s="79">
        <f t="shared" si="617"/>
        <v>0</v>
      </c>
      <c r="EB99">
        <f t="shared" ref="EB99:EC99" si="695">IF(DZ99+EA99=0,EB98,(EB98+DZ99)*DZ99)</f>
        <v>0</v>
      </c>
      <c r="EC99">
        <f t="shared" si="695"/>
        <v>1</v>
      </c>
    </row>
    <row r="100" spans="1:133">
      <c r="A100" s="29"/>
      <c r="B100" s="29"/>
      <c r="C100" s="29"/>
      <c r="D100" s="29"/>
      <c r="E100" s="29"/>
      <c r="F100" s="30"/>
      <c r="G100" s="29"/>
      <c r="H100" s="29"/>
      <c r="I100" s="29"/>
      <c r="J100" s="29"/>
      <c r="AH100" s="72">
        <f t="shared" si="530"/>
        <v>0</v>
      </c>
      <c r="AI100" s="72">
        <f t="shared" si="531"/>
        <v>0</v>
      </c>
      <c r="AJ100" s="72">
        <f t="shared" si="532"/>
        <v>0</v>
      </c>
      <c r="AK100" s="72">
        <f t="shared" si="533"/>
        <v>0</v>
      </c>
      <c r="AL100" s="72">
        <f t="shared" si="534"/>
        <v>0</v>
      </c>
      <c r="AM100" s="72">
        <f t="shared" si="535"/>
        <v>0</v>
      </c>
      <c r="AN100" s="72">
        <f t="shared" si="536"/>
        <v>0</v>
      </c>
      <c r="AO100" s="72">
        <f t="shared" si="537"/>
        <v>0</v>
      </c>
      <c r="AP100" s="72">
        <f t="shared" si="538"/>
        <v>0</v>
      </c>
      <c r="AQ100" s="72">
        <f t="shared" si="539"/>
        <v>0</v>
      </c>
      <c r="AR100" s="72">
        <f t="shared" si="540"/>
        <v>0</v>
      </c>
      <c r="AS100" s="72">
        <f t="shared" si="541"/>
        <v>0</v>
      </c>
      <c r="AT100" s="72">
        <f t="shared" si="542"/>
        <v>0</v>
      </c>
      <c r="AU100" s="72">
        <f t="shared" si="543"/>
        <v>0</v>
      </c>
      <c r="AV100" s="72">
        <f t="shared" si="544"/>
        <v>0</v>
      </c>
      <c r="AW100" s="72">
        <f t="shared" si="545"/>
        <v>0</v>
      </c>
      <c r="AX100" s="72">
        <f t="shared" si="546"/>
        <v>0</v>
      </c>
      <c r="AY100" s="72">
        <f t="shared" si="547"/>
        <v>0</v>
      </c>
      <c r="AZ100" s="72">
        <f t="shared" si="548"/>
        <v>0</v>
      </c>
      <c r="BA100" s="72">
        <f t="shared" si="549"/>
        <v>0</v>
      </c>
      <c r="BB100" s="72">
        <f t="shared" si="550"/>
        <v>0</v>
      </c>
      <c r="BC100" s="72">
        <f t="shared" si="551"/>
        <v>0</v>
      </c>
      <c r="BD100" s="72">
        <f t="shared" si="552"/>
        <v>0</v>
      </c>
      <c r="BE100" s="72">
        <f t="shared" si="553"/>
        <v>0</v>
      </c>
      <c r="BF100" s="72">
        <f t="shared" si="554"/>
        <v>0</v>
      </c>
      <c r="BG100" s="72">
        <f t="shared" si="555"/>
        <v>0</v>
      </c>
      <c r="BH100" s="72">
        <f t="shared" si="556"/>
        <v>0</v>
      </c>
      <c r="BI100" s="72">
        <f t="shared" si="557"/>
        <v>0</v>
      </c>
      <c r="BJ100" s="72">
        <f t="shared" si="558"/>
        <v>0</v>
      </c>
      <c r="BK100" s="72">
        <f t="shared" si="559"/>
        <v>0</v>
      </c>
      <c r="BL100" s="72">
        <f t="shared" si="560"/>
        <v>0</v>
      </c>
      <c r="BM100" s="72">
        <f t="shared" si="561"/>
        <v>0</v>
      </c>
      <c r="BN100" s="72">
        <f t="shared" si="562"/>
        <v>0</v>
      </c>
      <c r="BO100" s="72">
        <f t="shared" si="563"/>
        <v>0</v>
      </c>
      <c r="BP100" s="72">
        <f t="shared" si="564"/>
        <v>0</v>
      </c>
      <c r="BQ100" s="72">
        <f t="shared" si="565"/>
        <v>0</v>
      </c>
      <c r="BR100" s="72">
        <f t="shared" si="566"/>
        <v>0</v>
      </c>
      <c r="BS100" s="72">
        <f t="shared" si="567"/>
        <v>0</v>
      </c>
      <c r="BT100" s="72">
        <f t="shared" si="568"/>
        <v>0</v>
      </c>
      <c r="BU100" s="72">
        <f t="shared" si="569"/>
        <v>0</v>
      </c>
      <c r="BW100">
        <f t="shared" si="570"/>
        <v>0</v>
      </c>
      <c r="BX100">
        <f t="shared" si="571"/>
        <v>0</v>
      </c>
      <c r="BY100">
        <f t="shared" si="572"/>
        <v>0</v>
      </c>
      <c r="BZ100">
        <f t="shared" si="573"/>
        <v>0</v>
      </c>
      <c r="CA100">
        <f t="shared" si="574"/>
        <v>0</v>
      </c>
      <c r="CB100">
        <f t="shared" si="575"/>
        <v>0</v>
      </c>
      <c r="CD100">
        <f t="shared" si="576"/>
        <v>0</v>
      </c>
      <c r="CE100">
        <f t="shared" si="577"/>
        <v>0</v>
      </c>
      <c r="CF100">
        <f t="shared" si="578"/>
        <v>0</v>
      </c>
      <c r="CG100">
        <f t="shared" si="579"/>
        <v>0</v>
      </c>
      <c r="CH100">
        <f t="shared" si="580"/>
        <v>0</v>
      </c>
      <c r="CI100">
        <f t="shared" si="581"/>
        <v>0</v>
      </c>
      <c r="CK100">
        <f t="shared" si="582"/>
        <v>0</v>
      </c>
      <c r="CL100">
        <f t="shared" si="583"/>
        <v>0</v>
      </c>
      <c r="CM100">
        <f t="shared" si="584"/>
        <v>0</v>
      </c>
      <c r="CN100">
        <f t="shared" si="585"/>
        <v>0</v>
      </c>
      <c r="CO100">
        <f t="shared" si="586"/>
        <v>0</v>
      </c>
      <c r="CP100">
        <f t="shared" si="587"/>
        <v>0</v>
      </c>
      <c r="CR100">
        <f t="shared" si="588"/>
        <v>0</v>
      </c>
      <c r="CS100">
        <f t="shared" si="589"/>
        <v>0</v>
      </c>
      <c r="CT100">
        <f t="shared" si="590"/>
        <v>0</v>
      </c>
      <c r="CU100">
        <f t="shared" si="591"/>
        <v>0</v>
      </c>
      <c r="CV100">
        <f t="shared" si="592"/>
        <v>0</v>
      </c>
      <c r="CW100">
        <f t="shared" si="593"/>
        <v>0</v>
      </c>
      <c r="CY100">
        <f t="shared" si="594"/>
        <v>0</v>
      </c>
      <c r="CZ100">
        <f t="shared" si="595"/>
        <v>0</v>
      </c>
      <c r="DA100">
        <f t="shared" si="596"/>
        <v>0</v>
      </c>
      <c r="DB100">
        <f t="shared" si="597"/>
        <v>0</v>
      </c>
      <c r="DC100">
        <f t="shared" si="598"/>
        <v>0</v>
      </c>
      <c r="DD100">
        <f t="shared" si="599"/>
        <v>0</v>
      </c>
      <c r="DF100" s="79">
        <f t="shared" si="600"/>
        <v>0</v>
      </c>
      <c r="DG100" s="79">
        <f t="shared" si="601"/>
        <v>0</v>
      </c>
      <c r="DH100">
        <f t="shared" si="643"/>
        <v>0</v>
      </c>
      <c r="DI100">
        <f t="shared" si="606"/>
        <v>1</v>
      </c>
      <c r="DK100" s="79">
        <f t="shared" si="607"/>
        <v>0</v>
      </c>
      <c r="DL100" s="79">
        <f t="shared" si="608"/>
        <v>0</v>
      </c>
      <c r="DM100">
        <f t="shared" ref="DM100:DN100" si="696">IF(DK100+DL100=0,DM99,(DM99+DK100)*DK100)</f>
        <v>1</v>
      </c>
      <c r="DN100">
        <f t="shared" si="696"/>
        <v>0</v>
      </c>
      <c r="DP100" s="79">
        <f t="shared" si="610"/>
        <v>0</v>
      </c>
      <c r="DQ100" s="79">
        <f t="shared" si="611"/>
        <v>0</v>
      </c>
      <c r="DR100">
        <f t="shared" ref="DR100:DS100" si="697">IF(DP100+DQ100=0,DR99,(DR99+DP100)*DP100)</f>
        <v>0</v>
      </c>
      <c r="DS100">
        <f t="shared" si="697"/>
        <v>1</v>
      </c>
      <c r="DU100" s="79">
        <f t="shared" si="613"/>
        <v>0</v>
      </c>
      <c r="DV100" s="79">
        <f t="shared" si="614"/>
        <v>0</v>
      </c>
      <c r="DW100">
        <f t="shared" ref="DW100:DX100" si="698">IF(DU100+DV100=0,DW99,(DW99+DU100)*DU100)</f>
        <v>0</v>
      </c>
      <c r="DX100">
        <f t="shared" si="698"/>
        <v>1</v>
      </c>
      <c r="DZ100" s="79">
        <f t="shared" si="616"/>
        <v>0</v>
      </c>
      <c r="EA100" s="79">
        <f t="shared" si="617"/>
        <v>0</v>
      </c>
      <c r="EB100">
        <f t="shared" ref="EB100:EC100" si="699">IF(DZ100+EA100=0,EB99,(EB99+DZ100)*DZ100)</f>
        <v>0</v>
      </c>
      <c r="EC100">
        <f t="shared" si="699"/>
        <v>1</v>
      </c>
    </row>
    <row r="101" spans="1:133">
      <c r="A101" s="29"/>
      <c r="B101" s="29"/>
      <c r="C101" s="29"/>
      <c r="D101" s="29"/>
      <c r="E101" s="29"/>
      <c r="F101" s="30"/>
      <c r="G101" s="29"/>
      <c r="H101" s="29"/>
      <c r="I101" s="29"/>
      <c r="J101" s="29"/>
      <c r="AH101" s="72">
        <f t="shared" si="530"/>
        <v>0</v>
      </c>
      <c r="AI101" s="72">
        <f t="shared" si="531"/>
        <v>0</v>
      </c>
      <c r="AJ101" s="72">
        <f t="shared" si="532"/>
        <v>0</v>
      </c>
      <c r="AK101" s="72">
        <f t="shared" si="533"/>
        <v>0</v>
      </c>
      <c r="AL101" s="72">
        <f t="shared" si="534"/>
        <v>0</v>
      </c>
      <c r="AM101" s="72">
        <f t="shared" si="535"/>
        <v>0</v>
      </c>
      <c r="AN101" s="72">
        <f t="shared" si="536"/>
        <v>0</v>
      </c>
      <c r="AO101" s="72">
        <f t="shared" si="537"/>
        <v>0</v>
      </c>
      <c r="AP101" s="72">
        <f t="shared" si="538"/>
        <v>0</v>
      </c>
      <c r="AQ101" s="72">
        <f t="shared" si="539"/>
        <v>0</v>
      </c>
      <c r="AR101" s="72">
        <f t="shared" si="540"/>
        <v>0</v>
      </c>
      <c r="AS101" s="72">
        <f t="shared" si="541"/>
        <v>0</v>
      </c>
      <c r="AT101" s="72">
        <f t="shared" si="542"/>
        <v>0</v>
      </c>
      <c r="AU101" s="72">
        <f t="shared" si="543"/>
        <v>0</v>
      </c>
      <c r="AV101" s="72">
        <f t="shared" si="544"/>
        <v>0</v>
      </c>
      <c r="AW101" s="72">
        <f t="shared" si="545"/>
        <v>0</v>
      </c>
      <c r="AX101" s="72">
        <f t="shared" si="546"/>
        <v>0</v>
      </c>
      <c r="AY101" s="72">
        <f t="shared" si="547"/>
        <v>0</v>
      </c>
      <c r="AZ101" s="72">
        <f t="shared" si="548"/>
        <v>0</v>
      </c>
      <c r="BA101" s="72">
        <f t="shared" si="549"/>
        <v>0</v>
      </c>
      <c r="BB101" s="72">
        <f t="shared" si="550"/>
        <v>0</v>
      </c>
      <c r="BC101" s="72">
        <f t="shared" si="551"/>
        <v>0</v>
      </c>
      <c r="BD101" s="72">
        <f t="shared" si="552"/>
        <v>0</v>
      </c>
      <c r="BE101" s="72">
        <f t="shared" si="553"/>
        <v>0</v>
      </c>
      <c r="BF101" s="72">
        <f t="shared" si="554"/>
        <v>0</v>
      </c>
      <c r="BG101" s="72">
        <f t="shared" si="555"/>
        <v>0</v>
      </c>
      <c r="BH101" s="72">
        <f t="shared" si="556"/>
        <v>0</v>
      </c>
      <c r="BI101" s="72">
        <f t="shared" si="557"/>
        <v>0</v>
      </c>
      <c r="BJ101" s="72">
        <f t="shared" si="558"/>
        <v>0</v>
      </c>
      <c r="BK101" s="72">
        <f t="shared" si="559"/>
        <v>0</v>
      </c>
      <c r="BL101" s="72">
        <f t="shared" si="560"/>
        <v>0</v>
      </c>
      <c r="BM101" s="72">
        <f t="shared" si="561"/>
        <v>0</v>
      </c>
      <c r="BN101" s="72">
        <f t="shared" si="562"/>
        <v>0</v>
      </c>
      <c r="BO101" s="72">
        <f t="shared" si="563"/>
        <v>0</v>
      </c>
      <c r="BP101" s="72">
        <f t="shared" si="564"/>
        <v>0</v>
      </c>
      <c r="BQ101" s="72">
        <f t="shared" si="565"/>
        <v>0</v>
      </c>
      <c r="BR101" s="72">
        <f t="shared" si="566"/>
        <v>0</v>
      </c>
      <c r="BS101" s="72">
        <f t="shared" si="567"/>
        <v>0</v>
      </c>
      <c r="BT101" s="72">
        <f t="shared" si="568"/>
        <v>0</v>
      </c>
      <c r="BU101" s="72">
        <f t="shared" si="569"/>
        <v>0</v>
      </c>
      <c r="BW101">
        <f t="shared" si="570"/>
        <v>0</v>
      </c>
      <c r="BX101">
        <f t="shared" si="571"/>
        <v>0</v>
      </c>
      <c r="BY101">
        <f t="shared" si="572"/>
        <v>0</v>
      </c>
      <c r="BZ101">
        <f t="shared" si="573"/>
        <v>0</v>
      </c>
      <c r="CA101">
        <f t="shared" si="574"/>
        <v>0</v>
      </c>
      <c r="CB101">
        <f t="shared" si="575"/>
        <v>0</v>
      </c>
      <c r="CD101">
        <f t="shared" si="576"/>
        <v>0</v>
      </c>
      <c r="CE101">
        <f t="shared" si="577"/>
        <v>0</v>
      </c>
      <c r="CF101">
        <f t="shared" si="578"/>
        <v>0</v>
      </c>
      <c r="CG101">
        <f t="shared" si="579"/>
        <v>0</v>
      </c>
      <c r="CH101">
        <f t="shared" si="580"/>
        <v>0</v>
      </c>
      <c r="CI101">
        <f t="shared" si="581"/>
        <v>0</v>
      </c>
      <c r="CK101">
        <f t="shared" si="582"/>
        <v>0</v>
      </c>
      <c r="CL101">
        <f t="shared" si="583"/>
        <v>0</v>
      </c>
      <c r="CM101">
        <f t="shared" si="584"/>
        <v>0</v>
      </c>
      <c r="CN101">
        <f t="shared" si="585"/>
        <v>0</v>
      </c>
      <c r="CO101">
        <f t="shared" si="586"/>
        <v>0</v>
      </c>
      <c r="CP101">
        <f t="shared" si="587"/>
        <v>0</v>
      </c>
      <c r="CR101">
        <f t="shared" si="588"/>
        <v>0</v>
      </c>
      <c r="CS101">
        <f t="shared" si="589"/>
        <v>0</v>
      </c>
      <c r="CT101">
        <f t="shared" si="590"/>
        <v>0</v>
      </c>
      <c r="CU101">
        <f t="shared" si="591"/>
        <v>0</v>
      </c>
      <c r="CV101">
        <f t="shared" si="592"/>
        <v>0</v>
      </c>
      <c r="CW101">
        <f t="shared" si="593"/>
        <v>0</v>
      </c>
      <c r="CY101">
        <f t="shared" si="594"/>
        <v>0</v>
      </c>
      <c r="CZ101">
        <f t="shared" si="595"/>
        <v>0</v>
      </c>
      <c r="DA101">
        <f t="shared" si="596"/>
        <v>0</v>
      </c>
      <c r="DB101">
        <f t="shared" si="597"/>
        <v>0</v>
      </c>
      <c r="DC101">
        <f t="shared" si="598"/>
        <v>0</v>
      </c>
      <c r="DD101">
        <f t="shared" si="599"/>
        <v>0</v>
      </c>
      <c r="DF101" s="79">
        <f t="shared" si="600"/>
        <v>0</v>
      </c>
      <c r="DG101" s="79">
        <f t="shared" si="601"/>
        <v>0</v>
      </c>
      <c r="DH101">
        <f t="shared" si="643"/>
        <v>0</v>
      </c>
      <c r="DI101">
        <f t="shared" si="606"/>
        <v>1</v>
      </c>
      <c r="DK101" s="79">
        <f t="shared" si="607"/>
        <v>0</v>
      </c>
      <c r="DL101" s="79">
        <f t="shared" si="608"/>
        <v>0</v>
      </c>
      <c r="DM101">
        <f t="shared" ref="DM101:DN101" si="700">IF(DK101+DL101=0,DM100,(DM100+DK101)*DK101)</f>
        <v>1</v>
      </c>
      <c r="DN101">
        <f t="shared" si="700"/>
        <v>0</v>
      </c>
      <c r="DP101" s="79">
        <f t="shared" si="610"/>
        <v>0</v>
      </c>
      <c r="DQ101" s="79">
        <f t="shared" si="611"/>
        <v>0</v>
      </c>
      <c r="DR101">
        <f t="shared" ref="DR101:DS101" si="701">IF(DP101+DQ101=0,DR100,(DR100+DP101)*DP101)</f>
        <v>0</v>
      </c>
      <c r="DS101">
        <f t="shared" si="701"/>
        <v>1</v>
      </c>
      <c r="DU101" s="79">
        <f t="shared" si="613"/>
        <v>0</v>
      </c>
      <c r="DV101" s="79">
        <f t="shared" si="614"/>
        <v>0</v>
      </c>
      <c r="DW101">
        <f t="shared" ref="DW101:DX101" si="702">IF(DU101+DV101=0,DW100,(DW100+DU101)*DU101)</f>
        <v>0</v>
      </c>
      <c r="DX101">
        <f t="shared" si="702"/>
        <v>1</v>
      </c>
      <c r="DZ101" s="79">
        <f t="shared" si="616"/>
        <v>0</v>
      </c>
      <c r="EA101" s="79">
        <f t="shared" si="617"/>
        <v>0</v>
      </c>
      <c r="EB101">
        <f t="shared" ref="EB101:EC101" si="703">IF(DZ101+EA101=0,EB100,(EB100+DZ101)*DZ101)</f>
        <v>0</v>
      </c>
      <c r="EC101">
        <f t="shared" si="703"/>
        <v>1</v>
      </c>
    </row>
    <row r="102" spans="1:133">
      <c r="A102" s="29"/>
      <c r="B102" s="29"/>
      <c r="C102" s="29"/>
      <c r="D102" s="29"/>
      <c r="E102" s="29"/>
      <c r="F102" s="30"/>
      <c r="G102" s="29"/>
      <c r="H102" s="29"/>
      <c r="I102" s="29"/>
      <c r="J102" s="29"/>
      <c r="AH102" s="72">
        <f t="shared" si="530"/>
        <v>0</v>
      </c>
      <c r="AI102" s="72">
        <f t="shared" si="531"/>
        <v>0</v>
      </c>
      <c r="AJ102" s="72">
        <f t="shared" si="532"/>
        <v>0</v>
      </c>
      <c r="AK102" s="72">
        <f t="shared" si="533"/>
        <v>0</v>
      </c>
      <c r="AL102" s="72">
        <f t="shared" si="534"/>
        <v>0</v>
      </c>
      <c r="AM102" s="72">
        <f t="shared" si="535"/>
        <v>0</v>
      </c>
      <c r="AN102" s="72">
        <f t="shared" si="536"/>
        <v>0</v>
      </c>
      <c r="AO102" s="72">
        <f t="shared" si="537"/>
        <v>0</v>
      </c>
      <c r="AP102" s="72">
        <f t="shared" si="538"/>
        <v>0</v>
      </c>
      <c r="AQ102" s="72">
        <f t="shared" si="539"/>
        <v>0</v>
      </c>
      <c r="AR102" s="72">
        <f t="shared" si="540"/>
        <v>0</v>
      </c>
      <c r="AS102" s="72">
        <f t="shared" si="541"/>
        <v>0</v>
      </c>
      <c r="AT102" s="72">
        <f t="shared" si="542"/>
        <v>0</v>
      </c>
      <c r="AU102" s="72">
        <f t="shared" si="543"/>
        <v>0</v>
      </c>
      <c r="AV102" s="72">
        <f t="shared" si="544"/>
        <v>0</v>
      </c>
      <c r="AW102" s="72">
        <f t="shared" si="545"/>
        <v>0</v>
      </c>
      <c r="AX102" s="72">
        <f t="shared" si="546"/>
        <v>0</v>
      </c>
      <c r="AY102" s="72">
        <f t="shared" si="547"/>
        <v>0</v>
      </c>
      <c r="AZ102" s="72">
        <f t="shared" si="548"/>
        <v>0</v>
      </c>
      <c r="BA102" s="72">
        <f t="shared" si="549"/>
        <v>0</v>
      </c>
      <c r="BB102" s="72">
        <f t="shared" si="550"/>
        <v>0</v>
      </c>
      <c r="BC102" s="72">
        <f t="shared" si="551"/>
        <v>0</v>
      </c>
      <c r="BD102" s="72">
        <f t="shared" si="552"/>
        <v>0</v>
      </c>
      <c r="BE102" s="72">
        <f t="shared" si="553"/>
        <v>0</v>
      </c>
      <c r="BF102" s="72">
        <f t="shared" si="554"/>
        <v>0</v>
      </c>
      <c r="BG102" s="72">
        <f t="shared" si="555"/>
        <v>0</v>
      </c>
      <c r="BH102" s="72">
        <f t="shared" si="556"/>
        <v>0</v>
      </c>
      <c r="BI102" s="72">
        <f t="shared" si="557"/>
        <v>0</v>
      </c>
      <c r="BJ102" s="72">
        <f t="shared" si="558"/>
        <v>0</v>
      </c>
      <c r="BK102" s="72">
        <f t="shared" si="559"/>
        <v>0</v>
      </c>
      <c r="BL102" s="72">
        <f t="shared" si="560"/>
        <v>0</v>
      </c>
      <c r="BM102" s="72">
        <f t="shared" si="561"/>
        <v>0</v>
      </c>
      <c r="BN102" s="72">
        <f t="shared" si="562"/>
        <v>0</v>
      </c>
      <c r="BO102" s="72">
        <f t="shared" si="563"/>
        <v>0</v>
      </c>
      <c r="BP102" s="72">
        <f t="shared" si="564"/>
        <v>0</v>
      </c>
      <c r="BQ102" s="72">
        <f t="shared" si="565"/>
        <v>0</v>
      </c>
      <c r="BR102" s="72">
        <f t="shared" si="566"/>
        <v>0</v>
      </c>
      <c r="BS102" s="72">
        <f t="shared" si="567"/>
        <v>0</v>
      </c>
      <c r="BT102" s="72">
        <f t="shared" si="568"/>
        <v>0</v>
      </c>
      <c r="BU102" s="72">
        <f t="shared" si="569"/>
        <v>0</v>
      </c>
      <c r="BW102">
        <f t="shared" si="570"/>
        <v>0</v>
      </c>
      <c r="BX102">
        <f t="shared" si="571"/>
        <v>0</v>
      </c>
      <c r="BY102">
        <f t="shared" si="572"/>
        <v>0</v>
      </c>
      <c r="BZ102">
        <f t="shared" si="573"/>
        <v>0</v>
      </c>
      <c r="CA102">
        <f t="shared" si="574"/>
        <v>0</v>
      </c>
      <c r="CB102">
        <f t="shared" si="575"/>
        <v>0</v>
      </c>
      <c r="CD102">
        <f t="shared" si="576"/>
        <v>0</v>
      </c>
      <c r="CE102">
        <f t="shared" si="577"/>
        <v>0</v>
      </c>
      <c r="CF102">
        <f t="shared" si="578"/>
        <v>0</v>
      </c>
      <c r="CG102">
        <f t="shared" si="579"/>
        <v>0</v>
      </c>
      <c r="CH102">
        <f t="shared" si="580"/>
        <v>0</v>
      </c>
      <c r="CI102">
        <f t="shared" si="581"/>
        <v>0</v>
      </c>
      <c r="CK102">
        <f t="shared" si="582"/>
        <v>0</v>
      </c>
      <c r="CL102">
        <f t="shared" si="583"/>
        <v>0</v>
      </c>
      <c r="CM102">
        <f t="shared" si="584"/>
        <v>0</v>
      </c>
      <c r="CN102">
        <f t="shared" si="585"/>
        <v>0</v>
      </c>
      <c r="CO102">
        <f t="shared" si="586"/>
        <v>0</v>
      </c>
      <c r="CP102">
        <f t="shared" si="587"/>
        <v>0</v>
      </c>
      <c r="CR102">
        <f t="shared" si="588"/>
        <v>0</v>
      </c>
      <c r="CS102">
        <f t="shared" si="589"/>
        <v>0</v>
      </c>
      <c r="CT102">
        <f t="shared" si="590"/>
        <v>0</v>
      </c>
      <c r="CU102">
        <f t="shared" si="591"/>
        <v>0</v>
      </c>
      <c r="CV102">
        <f t="shared" si="592"/>
        <v>0</v>
      </c>
      <c r="CW102">
        <f t="shared" si="593"/>
        <v>0</v>
      </c>
      <c r="CY102">
        <f t="shared" si="594"/>
        <v>0</v>
      </c>
      <c r="CZ102">
        <f t="shared" si="595"/>
        <v>0</v>
      </c>
      <c r="DA102">
        <f t="shared" si="596"/>
        <v>0</v>
      </c>
      <c r="DB102">
        <f t="shared" si="597"/>
        <v>0</v>
      </c>
      <c r="DC102">
        <f t="shared" si="598"/>
        <v>0</v>
      </c>
      <c r="DD102">
        <f t="shared" si="599"/>
        <v>0</v>
      </c>
      <c r="DF102" s="79">
        <f t="shared" si="600"/>
        <v>0</v>
      </c>
      <c r="DG102" s="79">
        <f t="shared" si="601"/>
        <v>0</v>
      </c>
      <c r="DH102">
        <f t="shared" si="643"/>
        <v>0</v>
      </c>
      <c r="DI102">
        <f t="shared" si="606"/>
        <v>1</v>
      </c>
      <c r="DK102" s="79">
        <f t="shared" si="607"/>
        <v>0</v>
      </c>
      <c r="DL102" s="79">
        <f t="shared" si="608"/>
        <v>0</v>
      </c>
      <c r="DM102">
        <f t="shared" ref="DM102:DN102" si="704">IF(DK102+DL102=0,DM101,(DM101+DK102)*DK102)</f>
        <v>1</v>
      </c>
      <c r="DN102">
        <f t="shared" si="704"/>
        <v>0</v>
      </c>
      <c r="DP102" s="79">
        <f t="shared" si="610"/>
        <v>0</v>
      </c>
      <c r="DQ102" s="79">
        <f t="shared" si="611"/>
        <v>0</v>
      </c>
      <c r="DR102">
        <f t="shared" ref="DR102:DS102" si="705">IF(DP102+DQ102=0,DR101,(DR101+DP102)*DP102)</f>
        <v>0</v>
      </c>
      <c r="DS102">
        <f t="shared" si="705"/>
        <v>1</v>
      </c>
      <c r="DU102" s="79">
        <f t="shared" si="613"/>
        <v>0</v>
      </c>
      <c r="DV102" s="79">
        <f t="shared" si="614"/>
        <v>0</v>
      </c>
      <c r="DW102">
        <f t="shared" ref="DW102:DX102" si="706">IF(DU102+DV102=0,DW101,(DW101+DU102)*DU102)</f>
        <v>0</v>
      </c>
      <c r="DX102">
        <f t="shared" si="706"/>
        <v>1</v>
      </c>
      <c r="DZ102" s="79">
        <f t="shared" si="616"/>
        <v>0</v>
      </c>
      <c r="EA102" s="79">
        <f t="shared" si="617"/>
        <v>0</v>
      </c>
      <c r="EB102">
        <f t="shared" ref="EB102:EC102" si="707">IF(DZ102+EA102=0,EB101,(EB101+DZ102)*DZ102)</f>
        <v>0</v>
      </c>
      <c r="EC102">
        <f t="shared" si="707"/>
        <v>1</v>
      </c>
    </row>
    <row r="103" spans="1:133">
      <c r="A103" s="29"/>
      <c r="B103" s="29"/>
      <c r="C103" s="29"/>
      <c r="D103" s="29"/>
      <c r="E103" s="29"/>
      <c r="F103" s="30"/>
      <c r="G103" s="29"/>
      <c r="H103" s="29"/>
      <c r="I103" s="29"/>
      <c r="J103" s="29"/>
      <c r="AH103" s="72">
        <f t="shared" si="530"/>
        <v>0</v>
      </c>
      <c r="AI103" s="72">
        <f t="shared" si="531"/>
        <v>0</v>
      </c>
      <c r="AJ103" s="72">
        <f t="shared" si="532"/>
        <v>0</v>
      </c>
      <c r="AK103" s="72">
        <f t="shared" si="533"/>
        <v>0</v>
      </c>
      <c r="AL103" s="72">
        <f t="shared" si="534"/>
        <v>0</v>
      </c>
      <c r="AM103" s="72">
        <f t="shared" si="535"/>
        <v>0</v>
      </c>
      <c r="AN103" s="72">
        <f t="shared" si="536"/>
        <v>0</v>
      </c>
      <c r="AO103" s="72">
        <f t="shared" si="537"/>
        <v>0</v>
      </c>
      <c r="AP103" s="72">
        <f t="shared" si="538"/>
        <v>0</v>
      </c>
      <c r="AQ103" s="72">
        <f t="shared" si="539"/>
        <v>0</v>
      </c>
      <c r="AR103" s="72">
        <f t="shared" si="540"/>
        <v>0</v>
      </c>
      <c r="AS103" s="72">
        <f t="shared" si="541"/>
        <v>0</v>
      </c>
      <c r="AT103" s="72">
        <f t="shared" si="542"/>
        <v>0</v>
      </c>
      <c r="AU103" s="72">
        <f t="shared" si="543"/>
        <v>0</v>
      </c>
      <c r="AV103" s="72">
        <f t="shared" si="544"/>
        <v>0</v>
      </c>
      <c r="AW103" s="72">
        <f t="shared" si="545"/>
        <v>0</v>
      </c>
      <c r="AX103" s="72">
        <f t="shared" si="546"/>
        <v>0</v>
      </c>
      <c r="AY103" s="72">
        <f t="shared" si="547"/>
        <v>0</v>
      </c>
      <c r="AZ103" s="72">
        <f t="shared" si="548"/>
        <v>0</v>
      </c>
      <c r="BA103" s="72">
        <f t="shared" si="549"/>
        <v>0</v>
      </c>
      <c r="BB103" s="72">
        <f t="shared" si="550"/>
        <v>0</v>
      </c>
      <c r="BC103" s="72">
        <f t="shared" si="551"/>
        <v>0</v>
      </c>
      <c r="BD103" s="72">
        <f t="shared" si="552"/>
        <v>0</v>
      </c>
      <c r="BE103" s="72">
        <f t="shared" si="553"/>
        <v>0</v>
      </c>
      <c r="BF103" s="72">
        <f t="shared" si="554"/>
        <v>0</v>
      </c>
      <c r="BG103" s="72">
        <f t="shared" si="555"/>
        <v>0</v>
      </c>
      <c r="BH103" s="72">
        <f t="shared" si="556"/>
        <v>0</v>
      </c>
      <c r="BI103" s="72">
        <f t="shared" si="557"/>
        <v>0</v>
      </c>
      <c r="BJ103" s="72">
        <f t="shared" si="558"/>
        <v>0</v>
      </c>
      <c r="BK103" s="72">
        <f t="shared" si="559"/>
        <v>0</v>
      </c>
      <c r="BL103" s="72">
        <f t="shared" si="560"/>
        <v>0</v>
      </c>
      <c r="BM103" s="72">
        <f t="shared" si="561"/>
        <v>0</v>
      </c>
      <c r="BN103" s="72">
        <f t="shared" si="562"/>
        <v>0</v>
      </c>
      <c r="BO103" s="72">
        <f t="shared" si="563"/>
        <v>0</v>
      </c>
      <c r="BP103" s="72">
        <f t="shared" si="564"/>
        <v>0</v>
      </c>
      <c r="BQ103" s="72">
        <f t="shared" si="565"/>
        <v>0</v>
      </c>
      <c r="BR103" s="72">
        <f t="shared" si="566"/>
        <v>0</v>
      </c>
      <c r="BS103" s="72">
        <f t="shared" si="567"/>
        <v>0</v>
      </c>
      <c r="BT103" s="72">
        <f t="shared" si="568"/>
        <v>0</v>
      </c>
      <c r="BU103" s="72">
        <f t="shared" si="569"/>
        <v>0</v>
      </c>
      <c r="BW103">
        <f t="shared" si="570"/>
        <v>0</v>
      </c>
      <c r="BX103">
        <f t="shared" si="571"/>
        <v>0</v>
      </c>
      <c r="BY103">
        <f t="shared" si="572"/>
        <v>0</v>
      </c>
      <c r="BZ103">
        <f t="shared" si="573"/>
        <v>0</v>
      </c>
      <c r="CA103">
        <f t="shared" si="574"/>
        <v>0</v>
      </c>
      <c r="CB103">
        <f t="shared" si="575"/>
        <v>0</v>
      </c>
      <c r="CD103">
        <f t="shared" si="576"/>
        <v>0</v>
      </c>
      <c r="CE103">
        <f t="shared" si="577"/>
        <v>0</v>
      </c>
      <c r="CF103">
        <f t="shared" si="578"/>
        <v>0</v>
      </c>
      <c r="CG103">
        <f t="shared" si="579"/>
        <v>0</v>
      </c>
      <c r="CH103">
        <f t="shared" si="580"/>
        <v>0</v>
      </c>
      <c r="CI103">
        <f t="shared" si="581"/>
        <v>0</v>
      </c>
      <c r="CK103">
        <f t="shared" si="582"/>
        <v>0</v>
      </c>
      <c r="CL103">
        <f t="shared" si="583"/>
        <v>0</v>
      </c>
      <c r="CM103">
        <f t="shared" si="584"/>
        <v>0</v>
      </c>
      <c r="CN103">
        <f t="shared" si="585"/>
        <v>0</v>
      </c>
      <c r="CO103">
        <f t="shared" si="586"/>
        <v>0</v>
      </c>
      <c r="CP103">
        <f t="shared" si="587"/>
        <v>0</v>
      </c>
      <c r="CR103">
        <f t="shared" si="588"/>
        <v>0</v>
      </c>
      <c r="CS103">
        <f t="shared" si="589"/>
        <v>0</v>
      </c>
      <c r="CT103">
        <f t="shared" si="590"/>
        <v>0</v>
      </c>
      <c r="CU103">
        <f t="shared" si="591"/>
        <v>0</v>
      </c>
      <c r="CV103">
        <f t="shared" si="592"/>
        <v>0</v>
      </c>
      <c r="CW103">
        <f t="shared" si="593"/>
        <v>0</v>
      </c>
      <c r="CY103">
        <f t="shared" si="594"/>
        <v>0</v>
      </c>
      <c r="CZ103">
        <f t="shared" si="595"/>
        <v>0</v>
      </c>
      <c r="DA103">
        <f t="shared" si="596"/>
        <v>0</v>
      </c>
      <c r="DB103">
        <f t="shared" si="597"/>
        <v>0</v>
      </c>
      <c r="DC103">
        <f t="shared" si="598"/>
        <v>0</v>
      </c>
      <c r="DD103">
        <f t="shared" si="599"/>
        <v>0</v>
      </c>
      <c r="DF103" s="79">
        <f t="shared" si="600"/>
        <v>0</v>
      </c>
      <c r="DG103" s="79">
        <f t="shared" si="601"/>
        <v>0</v>
      </c>
      <c r="DH103">
        <f t="shared" si="643"/>
        <v>0</v>
      </c>
      <c r="DI103">
        <f t="shared" si="606"/>
        <v>1</v>
      </c>
      <c r="DK103" s="79">
        <f t="shared" si="607"/>
        <v>0</v>
      </c>
      <c r="DL103" s="79">
        <f t="shared" si="608"/>
        <v>0</v>
      </c>
      <c r="DM103">
        <f t="shared" ref="DM103:DN103" si="708">IF(DK103+DL103=0,DM102,(DM102+DK103)*DK103)</f>
        <v>1</v>
      </c>
      <c r="DN103">
        <f t="shared" si="708"/>
        <v>0</v>
      </c>
      <c r="DP103" s="79">
        <f t="shared" si="610"/>
        <v>0</v>
      </c>
      <c r="DQ103" s="79">
        <f t="shared" si="611"/>
        <v>0</v>
      </c>
      <c r="DR103">
        <f t="shared" ref="DR103:DS103" si="709">IF(DP103+DQ103=0,DR102,(DR102+DP103)*DP103)</f>
        <v>0</v>
      </c>
      <c r="DS103">
        <f t="shared" si="709"/>
        <v>1</v>
      </c>
      <c r="DU103" s="79">
        <f t="shared" si="613"/>
        <v>0</v>
      </c>
      <c r="DV103" s="79">
        <f t="shared" si="614"/>
        <v>0</v>
      </c>
      <c r="DW103">
        <f t="shared" ref="DW103:DX103" si="710">IF(DU103+DV103=0,DW102,(DW102+DU103)*DU103)</f>
        <v>0</v>
      </c>
      <c r="DX103">
        <f t="shared" si="710"/>
        <v>1</v>
      </c>
      <c r="DZ103" s="79">
        <f t="shared" si="616"/>
        <v>0</v>
      </c>
      <c r="EA103" s="79">
        <f t="shared" si="617"/>
        <v>0</v>
      </c>
      <c r="EB103">
        <f t="shared" ref="EB103:EC103" si="711">IF(DZ103+EA103=0,EB102,(EB102+DZ103)*DZ103)</f>
        <v>0</v>
      </c>
      <c r="EC103">
        <f t="shared" si="711"/>
        <v>1</v>
      </c>
    </row>
    <row r="104" spans="1:133">
      <c r="A104" s="29"/>
      <c r="B104" s="29"/>
      <c r="C104" s="29"/>
      <c r="D104" s="29"/>
      <c r="E104" s="29"/>
      <c r="F104" s="30"/>
      <c r="G104" s="29"/>
      <c r="H104" s="29"/>
      <c r="I104" s="29"/>
      <c r="J104" s="29"/>
      <c r="AH104" s="72">
        <f t="shared" si="530"/>
        <v>0</v>
      </c>
      <c r="AI104" s="72">
        <f t="shared" si="531"/>
        <v>0</v>
      </c>
      <c r="AJ104" s="72">
        <f t="shared" si="532"/>
        <v>0</v>
      </c>
      <c r="AK104" s="72">
        <f t="shared" si="533"/>
        <v>0</v>
      </c>
      <c r="AL104" s="72">
        <f t="shared" si="534"/>
        <v>0</v>
      </c>
      <c r="AM104" s="72">
        <f t="shared" si="535"/>
        <v>0</v>
      </c>
      <c r="AN104" s="72">
        <f t="shared" si="536"/>
        <v>0</v>
      </c>
      <c r="AO104" s="72">
        <f t="shared" si="537"/>
        <v>0</v>
      </c>
      <c r="AP104" s="72">
        <f t="shared" si="538"/>
        <v>0</v>
      </c>
      <c r="AQ104" s="72">
        <f t="shared" si="539"/>
        <v>0</v>
      </c>
      <c r="AR104" s="72">
        <f t="shared" si="540"/>
        <v>0</v>
      </c>
      <c r="AS104" s="72">
        <f t="shared" si="541"/>
        <v>0</v>
      </c>
      <c r="AT104" s="72">
        <f t="shared" si="542"/>
        <v>0</v>
      </c>
      <c r="AU104" s="72">
        <f t="shared" si="543"/>
        <v>0</v>
      </c>
      <c r="AV104" s="72">
        <f t="shared" si="544"/>
        <v>0</v>
      </c>
      <c r="AW104" s="72">
        <f t="shared" si="545"/>
        <v>0</v>
      </c>
      <c r="AX104" s="72">
        <f t="shared" si="546"/>
        <v>0</v>
      </c>
      <c r="AY104" s="72">
        <f t="shared" si="547"/>
        <v>0</v>
      </c>
      <c r="AZ104" s="72">
        <f t="shared" si="548"/>
        <v>0</v>
      </c>
      <c r="BA104" s="72">
        <f t="shared" si="549"/>
        <v>0</v>
      </c>
      <c r="BB104" s="72">
        <f t="shared" si="550"/>
        <v>0</v>
      </c>
      <c r="BC104" s="72">
        <f t="shared" si="551"/>
        <v>0</v>
      </c>
      <c r="BD104" s="72">
        <f t="shared" si="552"/>
        <v>0</v>
      </c>
      <c r="BE104" s="72">
        <f t="shared" si="553"/>
        <v>0</v>
      </c>
      <c r="BF104" s="72">
        <f t="shared" si="554"/>
        <v>0</v>
      </c>
      <c r="BG104" s="72">
        <f t="shared" si="555"/>
        <v>0</v>
      </c>
      <c r="BH104" s="72">
        <f t="shared" si="556"/>
        <v>0</v>
      </c>
      <c r="BI104" s="72">
        <f t="shared" si="557"/>
        <v>0</v>
      </c>
      <c r="BJ104" s="72">
        <f t="shared" si="558"/>
        <v>0</v>
      </c>
      <c r="BK104" s="72">
        <f t="shared" si="559"/>
        <v>0</v>
      </c>
      <c r="BL104" s="72">
        <f t="shared" si="560"/>
        <v>0</v>
      </c>
      <c r="BM104" s="72">
        <f t="shared" si="561"/>
        <v>0</v>
      </c>
      <c r="BN104" s="72">
        <f t="shared" si="562"/>
        <v>0</v>
      </c>
      <c r="BO104" s="72">
        <f t="shared" si="563"/>
        <v>0</v>
      </c>
      <c r="BP104" s="72">
        <f t="shared" si="564"/>
        <v>0</v>
      </c>
      <c r="BQ104" s="72">
        <f t="shared" si="565"/>
        <v>0</v>
      </c>
      <c r="BR104" s="72">
        <f t="shared" si="566"/>
        <v>0</v>
      </c>
      <c r="BS104" s="72">
        <f t="shared" si="567"/>
        <v>0</v>
      </c>
      <c r="BT104" s="72">
        <f t="shared" si="568"/>
        <v>0</v>
      </c>
      <c r="BU104" s="72">
        <f t="shared" si="569"/>
        <v>0</v>
      </c>
      <c r="BW104">
        <f t="shared" si="570"/>
        <v>0</v>
      </c>
      <c r="BX104">
        <f t="shared" si="571"/>
        <v>0</v>
      </c>
      <c r="BY104">
        <f t="shared" si="572"/>
        <v>0</v>
      </c>
      <c r="BZ104">
        <f t="shared" si="573"/>
        <v>0</v>
      </c>
      <c r="CA104">
        <f t="shared" si="574"/>
        <v>0</v>
      </c>
      <c r="CB104">
        <f t="shared" si="575"/>
        <v>0</v>
      </c>
      <c r="CD104">
        <f t="shared" si="576"/>
        <v>0</v>
      </c>
      <c r="CE104">
        <f t="shared" si="577"/>
        <v>0</v>
      </c>
      <c r="CF104">
        <f t="shared" si="578"/>
        <v>0</v>
      </c>
      <c r="CG104">
        <f t="shared" si="579"/>
        <v>0</v>
      </c>
      <c r="CH104">
        <f t="shared" si="580"/>
        <v>0</v>
      </c>
      <c r="CI104">
        <f t="shared" si="581"/>
        <v>0</v>
      </c>
      <c r="CK104">
        <f t="shared" si="582"/>
        <v>0</v>
      </c>
      <c r="CL104">
        <f t="shared" si="583"/>
        <v>0</v>
      </c>
      <c r="CM104">
        <f t="shared" si="584"/>
        <v>0</v>
      </c>
      <c r="CN104">
        <f t="shared" si="585"/>
        <v>0</v>
      </c>
      <c r="CO104">
        <f t="shared" si="586"/>
        <v>0</v>
      </c>
      <c r="CP104">
        <f t="shared" si="587"/>
        <v>0</v>
      </c>
      <c r="CR104">
        <f t="shared" si="588"/>
        <v>0</v>
      </c>
      <c r="CS104">
        <f t="shared" si="589"/>
        <v>0</v>
      </c>
      <c r="CT104">
        <f t="shared" si="590"/>
        <v>0</v>
      </c>
      <c r="CU104">
        <f t="shared" si="591"/>
        <v>0</v>
      </c>
      <c r="CV104">
        <f t="shared" si="592"/>
        <v>0</v>
      </c>
      <c r="CW104">
        <f t="shared" si="593"/>
        <v>0</v>
      </c>
      <c r="CY104">
        <f t="shared" si="594"/>
        <v>0</v>
      </c>
      <c r="CZ104">
        <f t="shared" si="595"/>
        <v>0</v>
      </c>
      <c r="DA104">
        <f t="shared" si="596"/>
        <v>0</v>
      </c>
      <c r="DB104">
        <f t="shared" si="597"/>
        <v>0</v>
      </c>
      <c r="DC104">
        <f t="shared" si="598"/>
        <v>0</v>
      </c>
      <c r="DD104">
        <f t="shared" si="599"/>
        <v>0</v>
      </c>
      <c r="DF104" s="79">
        <f t="shared" si="600"/>
        <v>0</v>
      </c>
      <c r="DG104" s="79">
        <f t="shared" si="601"/>
        <v>0</v>
      </c>
      <c r="DH104">
        <f t="shared" si="643"/>
        <v>0</v>
      </c>
      <c r="DI104">
        <f t="shared" si="606"/>
        <v>1</v>
      </c>
      <c r="DK104" s="79">
        <f t="shared" si="607"/>
        <v>0</v>
      </c>
      <c r="DL104" s="79">
        <f t="shared" si="608"/>
        <v>0</v>
      </c>
      <c r="DM104">
        <f t="shared" ref="DM104:DN104" si="712">IF(DK104+DL104=0,DM103,(DM103+DK104)*DK104)</f>
        <v>1</v>
      </c>
      <c r="DN104">
        <f t="shared" si="712"/>
        <v>0</v>
      </c>
      <c r="DP104" s="79">
        <f t="shared" si="610"/>
        <v>0</v>
      </c>
      <c r="DQ104" s="79">
        <f t="shared" si="611"/>
        <v>0</v>
      </c>
      <c r="DR104">
        <f t="shared" ref="DR104:DS104" si="713">IF(DP104+DQ104=0,DR103,(DR103+DP104)*DP104)</f>
        <v>0</v>
      </c>
      <c r="DS104">
        <f t="shared" si="713"/>
        <v>1</v>
      </c>
      <c r="DU104" s="79">
        <f t="shared" si="613"/>
        <v>0</v>
      </c>
      <c r="DV104" s="79">
        <f t="shared" si="614"/>
        <v>0</v>
      </c>
      <c r="DW104">
        <f t="shared" ref="DW104:DX104" si="714">IF(DU104+DV104=0,DW103,(DW103+DU104)*DU104)</f>
        <v>0</v>
      </c>
      <c r="DX104">
        <f t="shared" si="714"/>
        <v>1</v>
      </c>
      <c r="DZ104" s="79">
        <f t="shared" si="616"/>
        <v>0</v>
      </c>
      <c r="EA104" s="79">
        <f t="shared" si="617"/>
        <v>0</v>
      </c>
      <c r="EB104">
        <f t="shared" ref="EB104:EC104" si="715">IF(DZ104+EA104=0,EB103,(EB103+DZ104)*DZ104)</f>
        <v>0</v>
      </c>
      <c r="EC104">
        <f t="shared" si="715"/>
        <v>1</v>
      </c>
    </row>
    <row r="105" spans="1:133">
      <c r="A105" s="29"/>
      <c r="B105" s="29"/>
      <c r="C105" s="29"/>
      <c r="D105" s="29"/>
      <c r="E105" s="29"/>
      <c r="F105" s="30"/>
      <c r="G105" s="29"/>
      <c r="H105" s="29"/>
      <c r="I105" s="29"/>
      <c r="J105" s="29"/>
      <c r="AH105" s="72">
        <f t="shared" si="530"/>
        <v>0</v>
      </c>
      <c r="AI105" s="72">
        <f t="shared" si="531"/>
        <v>0</v>
      </c>
      <c r="AJ105" s="72">
        <f t="shared" si="532"/>
        <v>0</v>
      </c>
      <c r="AK105" s="72">
        <f t="shared" si="533"/>
        <v>0</v>
      </c>
      <c r="AL105" s="72">
        <f t="shared" si="534"/>
        <v>0</v>
      </c>
      <c r="AM105" s="72">
        <f t="shared" si="535"/>
        <v>0</v>
      </c>
      <c r="AN105" s="72">
        <f t="shared" si="536"/>
        <v>0</v>
      </c>
      <c r="AO105" s="72">
        <f t="shared" si="537"/>
        <v>0</v>
      </c>
      <c r="AP105" s="72">
        <f t="shared" si="538"/>
        <v>0</v>
      </c>
      <c r="AQ105" s="72">
        <f t="shared" si="539"/>
        <v>0</v>
      </c>
      <c r="AR105" s="72">
        <f t="shared" si="540"/>
        <v>0</v>
      </c>
      <c r="AS105" s="72">
        <f t="shared" si="541"/>
        <v>0</v>
      </c>
      <c r="AT105" s="72">
        <f t="shared" si="542"/>
        <v>0</v>
      </c>
      <c r="AU105" s="72">
        <f t="shared" si="543"/>
        <v>0</v>
      </c>
      <c r="AV105" s="72">
        <f t="shared" si="544"/>
        <v>0</v>
      </c>
      <c r="AW105" s="72">
        <f t="shared" si="545"/>
        <v>0</v>
      </c>
      <c r="AX105" s="72">
        <f t="shared" si="546"/>
        <v>0</v>
      </c>
      <c r="AY105" s="72">
        <f t="shared" si="547"/>
        <v>0</v>
      </c>
      <c r="AZ105" s="72">
        <f t="shared" si="548"/>
        <v>0</v>
      </c>
      <c r="BA105" s="72">
        <f t="shared" si="549"/>
        <v>0</v>
      </c>
      <c r="BB105" s="72">
        <f t="shared" si="550"/>
        <v>0</v>
      </c>
      <c r="BC105" s="72">
        <f t="shared" si="551"/>
        <v>0</v>
      </c>
      <c r="BD105" s="72">
        <f t="shared" si="552"/>
        <v>0</v>
      </c>
      <c r="BE105" s="72">
        <f t="shared" si="553"/>
        <v>0</v>
      </c>
      <c r="BF105" s="72">
        <f t="shared" si="554"/>
        <v>0</v>
      </c>
      <c r="BG105" s="72">
        <f t="shared" si="555"/>
        <v>0</v>
      </c>
      <c r="BH105" s="72">
        <f t="shared" si="556"/>
        <v>0</v>
      </c>
      <c r="BI105" s="72">
        <f t="shared" si="557"/>
        <v>0</v>
      </c>
      <c r="BJ105" s="72">
        <f t="shared" si="558"/>
        <v>0</v>
      </c>
      <c r="BK105" s="72">
        <f t="shared" si="559"/>
        <v>0</v>
      </c>
      <c r="BL105" s="72">
        <f t="shared" si="560"/>
        <v>0</v>
      </c>
      <c r="BM105" s="72">
        <f t="shared" si="561"/>
        <v>0</v>
      </c>
      <c r="BN105" s="72">
        <f t="shared" si="562"/>
        <v>0</v>
      </c>
      <c r="BO105" s="72">
        <f t="shared" si="563"/>
        <v>0</v>
      </c>
      <c r="BP105" s="72">
        <f t="shared" si="564"/>
        <v>0</v>
      </c>
      <c r="BQ105" s="72">
        <f t="shared" si="565"/>
        <v>0</v>
      </c>
      <c r="BR105" s="72">
        <f t="shared" si="566"/>
        <v>0</v>
      </c>
      <c r="BS105" s="72">
        <f t="shared" si="567"/>
        <v>0</v>
      </c>
      <c r="BT105" s="72">
        <f t="shared" si="568"/>
        <v>0</v>
      </c>
      <c r="BU105" s="72">
        <f t="shared" si="569"/>
        <v>0</v>
      </c>
      <c r="BW105">
        <f t="shared" si="570"/>
        <v>0</v>
      </c>
      <c r="BX105">
        <f t="shared" si="571"/>
        <v>0</v>
      </c>
      <c r="BY105">
        <f t="shared" si="572"/>
        <v>0</v>
      </c>
      <c r="BZ105">
        <f t="shared" si="573"/>
        <v>0</v>
      </c>
      <c r="CA105">
        <f t="shared" si="574"/>
        <v>0</v>
      </c>
      <c r="CB105">
        <f t="shared" si="575"/>
        <v>0</v>
      </c>
      <c r="CD105">
        <f t="shared" si="576"/>
        <v>0</v>
      </c>
      <c r="CE105">
        <f t="shared" si="577"/>
        <v>0</v>
      </c>
      <c r="CF105">
        <f t="shared" si="578"/>
        <v>0</v>
      </c>
      <c r="CG105">
        <f t="shared" si="579"/>
        <v>0</v>
      </c>
      <c r="CH105">
        <f t="shared" si="580"/>
        <v>0</v>
      </c>
      <c r="CI105">
        <f t="shared" si="581"/>
        <v>0</v>
      </c>
      <c r="CK105">
        <f t="shared" si="582"/>
        <v>0</v>
      </c>
      <c r="CL105">
        <f t="shared" si="583"/>
        <v>0</v>
      </c>
      <c r="CM105">
        <f t="shared" si="584"/>
        <v>0</v>
      </c>
      <c r="CN105">
        <f t="shared" si="585"/>
        <v>0</v>
      </c>
      <c r="CO105">
        <f t="shared" si="586"/>
        <v>0</v>
      </c>
      <c r="CP105">
        <f t="shared" si="587"/>
        <v>0</v>
      </c>
      <c r="CR105">
        <f t="shared" si="588"/>
        <v>0</v>
      </c>
      <c r="CS105">
        <f t="shared" si="589"/>
        <v>0</v>
      </c>
      <c r="CT105">
        <f t="shared" si="590"/>
        <v>0</v>
      </c>
      <c r="CU105">
        <f t="shared" si="591"/>
        <v>0</v>
      </c>
      <c r="CV105">
        <f t="shared" si="592"/>
        <v>0</v>
      </c>
      <c r="CW105">
        <f t="shared" si="593"/>
        <v>0</v>
      </c>
      <c r="CY105">
        <f t="shared" si="594"/>
        <v>0</v>
      </c>
      <c r="CZ105">
        <f t="shared" si="595"/>
        <v>0</v>
      </c>
      <c r="DA105">
        <f t="shared" si="596"/>
        <v>0</v>
      </c>
      <c r="DB105">
        <f t="shared" si="597"/>
        <v>0</v>
      </c>
      <c r="DC105">
        <f t="shared" si="598"/>
        <v>0</v>
      </c>
      <c r="DD105">
        <f t="shared" si="599"/>
        <v>0</v>
      </c>
      <c r="DF105" s="79">
        <f t="shared" si="600"/>
        <v>0</v>
      </c>
      <c r="DG105" s="79">
        <f t="shared" si="601"/>
        <v>0</v>
      </c>
      <c r="DH105">
        <f t="shared" si="643"/>
        <v>0</v>
      </c>
      <c r="DI105">
        <f t="shared" si="606"/>
        <v>1</v>
      </c>
      <c r="DK105" s="79">
        <f t="shared" si="607"/>
        <v>0</v>
      </c>
      <c r="DL105" s="79">
        <f t="shared" si="608"/>
        <v>0</v>
      </c>
      <c r="DM105">
        <f t="shared" ref="DM105:DN105" si="716">IF(DK105+DL105=0,DM104,(DM104+DK105)*DK105)</f>
        <v>1</v>
      </c>
      <c r="DN105">
        <f t="shared" si="716"/>
        <v>0</v>
      </c>
      <c r="DP105" s="79">
        <f t="shared" si="610"/>
        <v>0</v>
      </c>
      <c r="DQ105" s="79">
        <f t="shared" si="611"/>
        <v>0</v>
      </c>
      <c r="DR105">
        <f t="shared" ref="DR105:DS105" si="717">IF(DP105+DQ105=0,DR104,(DR104+DP105)*DP105)</f>
        <v>0</v>
      </c>
      <c r="DS105">
        <f t="shared" si="717"/>
        <v>1</v>
      </c>
      <c r="DU105" s="79">
        <f t="shared" si="613"/>
        <v>0</v>
      </c>
      <c r="DV105" s="79">
        <f t="shared" si="614"/>
        <v>0</v>
      </c>
      <c r="DW105">
        <f t="shared" ref="DW105:DX105" si="718">IF(DU105+DV105=0,DW104,(DW104+DU105)*DU105)</f>
        <v>0</v>
      </c>
      <c r="DX105">
        <f t="shared" si="718"/>
        <v>1</v>
      </c>
      <c r="DZ105" s="79">
        <f t="shared" si="616"/>
        <v>0</v>
      </c>
      <c r="EA105" s="79">
        <f t="shared" si="617"/>
        <v>0</v>
      </c>
      <c r="EB105">
        <f t="shared" ref="EB105:EC105" si="719">IF(DZ105+EA105=0,EB104,(EB104+DZ105)*DZ105)</f>
        <v>0</v>
      </c>
      <c r="EC105">
        <f t="shared" si="719"/>
        <v>1</v>
      </c>
    </row>
    <row r="106" spans="1:133">
      <c r="A106" s="29"/>
      <c r="B106" s="29"/>
      <c r="C106" s="29"/>
      <c r="D106" s="29"/>
      <c r="E106" s="29"/>
      <c r="F106" s="30"/>
      <c r="G106" s="29"/>
      <c r="H106" s="29"/>
      <c r="I106" s="29"/>
      <c r="J106" s="29"/>
      <c r="AH106" s="72">
        <f t="shared" si="530"/>
        <v>0</v>
      </c>
      <c r="AI106" s="72">
        <f t="shared" si="531"/>
        <v>0</v>
      </c>
      <c r="AJ106" s="72">
        <f t="shared" si="532"/>
        <v>0</v>
      </c>
      <c r="AK106" s="72">
        <f t="shared" si="533"/>
        <v>0</v>
      </c>
      <c r="AL106" s="72">
        <f t="shared" si="534"/>
        <v>0</v>
      </c>
      <c r="AM106" s="72">
        <f t="shared" si="535"/>
        <v>0</v>
      </c>
      <c r="AN106" s="72">
        <f t="shared" si="536"/>
        <v>0</v>
      </c>
      <c r="AO106" s="72">
        <f t="shared" si="537"/>
        <v>0</v>
      </c>
      <c r="AP106" s="72">
        <f t="shared" si="538"/>
        <v>0</v>
      </c>
      <c r="AQ106" s="72">
        <f t="shared" si="539"/>
        <v>0</v>
      </c>
      <c r="AR106" s="72">
        <f t="shared" si="540"/>
        <v>0</v>
      </c>
      <c r="AS106" s="72">
        <f t="shared" si="541"/>
        <v>0</v>
      </c>
      <c r="AT106" s="72">
        <f t="shared" si="542"/>
        <v>0</v>
      </c>
      <c r="AU106" s="72">
        <f t="shared" si="543"/>
        <v>0</v>
      </c>
      <c r="AV106" s="72">
        <f t="shared" si="544"/>
        <v>0</v>
      </c>
      <c r="AW106" s="72">
        <f t="shared" si="545"/>
        <v>0</v>
      </c>
      <c r="AX106" s="72">
        <f t="shared" si="546"/>
        <v>0</v>
      </c>
      <c r="AY106" s="72">
        <f t="shared" si="547"/>
        <v>0</v>
      </c>
      <c r="AZ106" s="72">
        <f t="shared" si="548"/>
        <v>0</v>
      </c>
      <c r="BA106" s="72">
        <f t="shared" si="549"/>
        <v>0</v>
      </c>
      <c r="BB106" s="72">
        <f t="shared" si="550"/>
        <v>0</v>
      </c>
      <c r="BC106" s="72">
        <f t="shared" si="551"/>
        <v>0</v>
      </c>
      <c r="BD106" s="72">
        <f t="shared" si="552"/>
        <v>0</v>
      </c>
      <c r="BE106" s="72">
        <f t="shared" si="553"/>
        <v>0</v>
      </c>
      <c r="BF106" s="72">
        <f t="shared" si="554"/>
        <v>0</v>
      </c>
      <c r="BG106" s="72">
        <f t="shared" si="555"/>
        <v>0</v>
      </c>
      <c r="BH106" s="72">
        <f t="shared" si="556"/>
        <v>0</v>
      </c>
      <c r="BI106" s="72">
        <f t="shared" si="557"/>
        <v>0</v>
      </c>
      <c r="BJ106" s="72">
        <f t="shared" si="558"/>
        <v>0</v>
      </c>
      <c r="BK106" s="72">
        <f t="shared" si="559"/>
        <v>0</v>
      </c>
      <c r="BL106" s="72">
        <f t="shared" si="560"/>
        <v>0</v>
      </c>
      <c r="BM106" s="72">
        <f t="shared" si="561"/>
        <v>0</v>
      </c>
      <c r="BN106" s="72">
        <f t="shared" si="562"/>
        <v>0</v>
      </c>
      <c r="BO106" s="72">
        <f t="shared" si="563"/>
        <v>0</v>
      </c>
      <c r="BP106" s="72">
        <f t="shared" si="564"/>
        <v>0</v>
      </c>
      <c r="BQ106" s="72">
        <f t="shared" si="565"/>
        <v>0</v>
      </c>
      <c r="BR106" s="72">
        <f t="shared" si="566"/>
        <v>0</v>
      </c>
      <c r="BS106" s="72">
        <f t="shared" si="567"/>
        <v>0</v>
      </c>
      <c r="BT106" s="72">
        <f t="shared" si="568"/>
        <v>0</v>
      </c>
      <c r="BU106" s="72">
        <f t="shared" si="569"/>
        <v>0</v>
      </c>
      <c r="BW106">
        <f t="shared" si="570"/>
        <v>0</v>
      </c>
      <c r="BX106">
        <f t="shared" si="571"/>
        <v>0</v>
      </c>
      <c r="BY106">
        <f t="shared" si="572"/>
        <v>0</v>
      </c>
      <c r="BZ106">
        <f t="shared" si="573"/>
        <v>0</v>
      </c>
      <c r="CA106">
        <f t="shared" si="574"/>
        <v>0</v>
      </c>
      <c r="CB106">
        <f t="shared" si="575"/>
        <v>0</v>
      </c>
      <c r="CD106">
        <f t="shared" si="576"/>
        <v>0</v>
      </c>
      <c r="CE106">
        <f t="shared" si="577"/>
        <v>0</v>
      </c>
      <c r="CF106">
        <f t="shared" si="578"/>
        <v>0</v>
      </c>
      <c r="CG106">
        <f t="shared" si="579"/>
        <v>0</v>
      </c>
      <c r="CH106">
        <f t="shared" si="580"/>
        <v>0</v>
      </c>
      <c r="CI106">
        <f t="shared" si="581"/>
        <v>0</v>
      </c>
      <c r="CK106">
        <f t="shared" si="582"/>
        <v>0</v>
      </c>
      <c r="CL106">
        <f t="shared" si="583"/>
        <v>0</v>
      </c>
      <c r="CM106">
        <f t="shared" si="584"/>
        <v>0</v>
      </c>
      <c r="CN106">
        <f t="shared" si="585"/>
        <v>0</v>
      </c>
      <c r="CO106">
        <f t="shared" si="586"/>
        <v>0</v>
      </c>
      <c r="CP106">
        <f t="shared" si="587"/>
        <v>0</v>
      </c>
      <c r="CR106">
        <f t="shared" si="588"/>
        <v>0</v>
      </c>
      <c r="CS106">
        <f t="shared" si="589"/>
        <v>0</v>
      </c>
      <c r="CT106">
        <f t="shared" si="590"/>
        <v>0</v>
      </c>
      <c r="CU106">
        <f t="shared" si="591"/>
        <v>0</v>
      </c>
      <c r="CV106">
        <f t="shared" si="592"/>
        <v>0</v>
      </c>
      <c r="CW106">
        <f t="shared" si="593"/>
        <v>0</v>
      </c>
      <c r="CY106">
        <f t="shared" si="594"/>
        <v>0</v>
      </c>
      <c r="CZ106">
        <f t="shared" si="595"/>
        <v>0</v>
      </c>
      <c r="DA106">
        <f t="shared" si="596"/>
        <v>0</v>
      </c>
      <c r="DB106">
        <f t="shared" si="597"/>
        <v>0</v>
      </c>
      <c r="DC106">
        <f t="shared" si="598"/>
        <v>0</v>
      </c>
      <c r="DD106">
        <f t="shared" si="599"/>
        <v>0</v>
      </c>
      <c r="DF106" s="79">
        <f t="shared" si="600"/>
        <v>0</v>
      </c>
      <c r="DG106" s="79">
        <f t="shared" si="601"/>
        <v>0</v>
      </c>
      <c r="DH106">
        <f t="shared" si="643"/>
        <v>0</v>
      </c>
      <c r="DI106">
        <f t="shared" si="606"/>
        <v>1</v>
      </c>
      <c r="DK106" s="79">
        <f t="shared" si="607"/>
        <v>0</v>
      </c>
      <c r="DL106" s="79">
        <f t="shared" si="608"/>
        <v>0</v>
      </c>
      <c r="DM106">
        <f t="shared" ref="DM106:DN106" si="720">IF(DK106+DL106=0,DM105,(DM105+DK106)*DK106)</f>
        <v>1</v>
      </c>
      <c r="DN106">
        <f t="shared" si="720"/>
        <v>0</v>
      </c>
      <c r="DP106" s="79">
        <f t="shared" si="610"/>
        <v>0</v>
      </c>
      <c r="DQ106" s="79">
        <f t="shared" si="611"/>
        <v>0</v>
      </c>
      <c r="DR106">
        <f t="shared" ref="DR106:DS106" si="721">IF(DP106+DQ106=0,DR105,(DR105+DP106)*DP106)</f>
        <v>0</v>
      </c>
      <c r="DS106">
        <f t="shared" si="721"/>
        <v>1</v>
      </c>
      <c r="DU106" s="79">
        <f t="shared" si="613"/>
        <v>0</v>
      </c>
      <c r="DV106" s="79">
        <f t="shared" si="614"/>
        <v>0</v>
      </c>
      <c r="DW106">
        <f t="shared" ref="DW106:DX106" si="722">IF(DU106+DV106=0,DW105,(DW105+DU106)*DU106)</f>
        <v>0</v>
      </c>
      <c r="DX106">
        <f t="shared" si="722"/>
        <v>1</v>
      </c>
      <c r="DZ106" s="79">
        <f t="shared" si="616"/>
        <v>0</v>
      </c>
      <c r="EA106" s="79">
        <f t="shared" si="617"/>
        <v>0</v>
      </c>
      <c r="EB106">
        <f t="shared" ref="EB106:EC106" si="723">IF(DZ106+EA106=0,EB105,(EB105+DZ106)*DZ106)</f>
        <v>0</v>
      </c>
      <c r="EC106">
        <f t="shared" si="723"/>
        <v>1</v>
      </c>
    </row>
    <row r="107" spans="1:133">
      <c r="A107" s="29"/>
      <c r="B107" s="29"/>
      <c r="C107" s="29"/>
      <c r="D107" s="29"/>
      <c r="E107" s="29"/>
      <c r="F107" s="30"/>
      <c r="G107" s="29"/>
      <c r="H107" s="29"/>
      <c r="I107" s="29"/>
      <c r="J107" s="29"/>
      <c r="AH107" s="72">
        <f t="shared" si="530"/>
        <v>0</v>
      </c>
      <c r="AI107" s="72">
        <f t="shared" si="531"/>
        <v>0</v>
      </c>
      <c r="AJ107" s="72">
        <f t="shared" si="532"/>
        <v>0</v>
      </c>
      <c r="AK107" s="72">
        <f t="shared" si="533"/>
        <v>0</v>
      </c>
      <c r="AL107" s="72">
        <f t="shared" si="534"/>
        <v>0</v>
      </c>
      <c r="AM107" s="72">
        <f t="shared" si="535"/>
        <v>0</v>
      </c>
      <c r="AN107" s="72">
        <f t="shared" si="536"/>
        <v>0</v>
      </c>
      <c r="AO107" s="72">
        <f t="shared" si="537"/>
        <v>0</v>
      </c>
      <c r="AP107" s="72">
        <f t="shared" si="538"/>
        <v>0</v>
      </c>
      <c r="AQ107" s="72">
        <f t="shared" si="539"/>
        <v>0</v>
      </c>
      <c r="AR107" s="72">
        <f t="shared" si="540"/>
        <v>0</v>
      </c>
      <c r="AS107" s="72">
        <f t="shared" si="541"/>
        <v>0</v>
      </c>
      <c r="AT107" s="72">
        <f t="shared" si="542"/>
        <v>0</v>
      </c>
      <c r="AU107" s="72">
        <f t="shared" si="543"/>
        <v>0</v>
      </c>
      <c r="AV107" s="72">
        <f t="shared" si="544"/>
        <v>0</v>
      </c>
      <c r="AW107" s="72">
        <f t="shared" si="545"/>
        <v>0</v>
      </c>
      <c r="AX107" s="72">
        <f t="shared" si="546"/>
        <v>0</v>
      </c>
      <c r="AY107" s="72">
        <f t="shared" si="547"/>
        <v>0</v>
      </c>
      <c r="AZ107" s="72">
        <f t="shared" si="548"/>
        <v>0</v>
      </c>
      <c r="BA107" s="72">
        <f t="shared" si="549"/>
        <v>0</v>
      </c>
      <c r="BB107" s="72">
        <f t="shared" si="550"/>
        <v>0</v>
      </c>
      <c r="BC107" s="72">
        <f t="shared" si="551"/>
        <v>0</v>
      </c>
      <c r="BD107" s="72">
        <f t="shared" si="552"/>
        <v>0</v>
      </c>
      <c r="BE107" s="72">
        <f t="shared" si="553"/>
        <v>0</v>
      </c>
      <c r="BF107" s="72">
        <f t="shared" si="554"/>
        <v>0</v>
      </c>
      <c r="BG107" s="72">
        <f t="shared" si="555"/>
        <v>0</v>
      </c>
      <c r="BH107" s="72">
        <f t="shared" si="556"/>
        <v>0</v>
      </c>
      <c r="BI107" s="72">
        <f t="shared" si="557"/>
        <v>0</v>
      </c>
      <c r="BJ107" s="72">
        <f t="shared" si="558"/>
        <v>0</v>
      </c>
      <c r="BK107" s="72">
        <f t="shared" si="559"/>
        <v>0</v>
      </c>
      <c r="BL107" s="72">
        <f t="shared" si="560"/>
        <v>0</v>
      </c>
      <c r="BM107" s="72">
        <f t="shared" si="561"/>
        <v>0</v>
      </c>
      <c r="BN107" s="72">
        <f t="shared" si="562"/>
        <v>0</v>
      </c>
      <c r="BO107" s="72">
        <f t="shared" si="563"/>
        <v>0</v>
      </c>
      <c r="BP107" s="72">
        <f t="shared" si="564"/>
        <v>0</v>
      </c>
      <c r="BQ107" s="72">
        <f t="shared" si="565"/>
        <v>0</v>
      </c>
      <c r="BR107" s="72">
        <f t="shared" si="566"/>
        <v>0</v>
      </c>
      <c r="BS107" s="72">
        <f t="shared" si="567"/>
        <v>0</v>
      </c>
      <c r="BT107" s="72">
        <f t="shared" si="568"/>
        <v>0</v>
      </c>
      <c r="BU107" s="72">
        <f t="shared" si="569"/>
        <v>0</v>
      </c>
      <c r="BW107">
        <f t="shared" si="570"/>
        <v>0</v>
      </c>
      <c r="BX107">
        <f t="shared" si="571"/>
        <v>0</v>
      </c>
      <c r="BY107">
        <f t="shared" si="572"/>
        <v>0</v>
      </c>
      <c r="BZ107">
        <f t="shared" si="573"/>
        <v>0</v>
      </c>
      <c r="CA107">
        <f t="shared" si="574"/>
        <v>0</v>
      </c>
      <c r="CB107">
        <f t="shared" si="575"/>
        <v>0</v>
      </c>
      <c r="CD107">
        <f t="shared" si="576"/>
        <v>0</v>
      </c>
      <c r="CE107">
        <f t="shared" si="577"/>
        <v>0</v>
      </c>
      <c r="CF107">
        <f t="shared" si="578"/>
        <v>0</v>
      </c>
      <c r="CG107">
        <f t="shared" si="579"/>
        <v>0</v>
      </c>
      <c r="CH107">
        <f t="shared" si="580"/>
        <v>0</v>
      </c>
      <c r="CI107">
        <f t="shared" si="581"/>
        <v>0</v>
      </c>
      <c r="CK107">
        <f t="shared" si="582"/>
        <v>0</v>
      </c>
      <c r="CL107">
        <f t="shared" si="583"/>
        <v>0</v>
      </c>
      <c r="CM107">
        <f t="shared" si="584"/>
        <v>0</v>
      </c>
      <c r="CN107">
        <f t="shared" si="585"/>
        <v>0</v>
      </c>
      <c r="CO107">
        <f t="shared" si="586"/>
        <v>0</v>
      </c>
      <c r="CP107">
        <f t="shared" si="587"/>
        <v>0</v>
      </c>
      <c r="CR107">
        <f t="shared" si="588"/>
        <v>0</v>
      </c>
      <c r="CS107">
        <f t="shared" si="589"/>
        <v>0</v>
      </c>
      <c r="CT107">
        <f t="shared" si="590"/>
        <v>0</v>
      </c>
      <c r="CU107">
        <f t="shared" si="591"/>
        <v>0</v>
      </c>
      <c r="CV107">
        <f t="shared" si="592"/>
        <v>0</v>
      </c>
      <c r="CW107">
        <f t="shared" si="593"/>
        <v>0</v>
      </c>
      <c r="CY107">
        <f t="shared" si="594"/>
        <v>0</v>
      </c>
      <c r="CZ107">
        <f t="shared" si="595"/>
        <v>0</v>
      </c>
      <c r="DA107">
        <f t="shared" si="596"/>
        <v>0</v>
      </c>
      <c r="DB107">
        <f t="shared" si="597"/>
        <v>0</v>
      </c>
      <c r="DC107">
        <f t="shared" si="598"/>
        <v>0</v>
      </c>
      <c r="DD107">
        <f t="shared" si="599"/>
        <v>0</v>
      </c>
      <c r="DF107" s="79">
        <f t="shared" si="600"/>
        <v>0</v>
      </c>
      <c r="DG107" s="79">
        <f t="shared" si="601"/>
        <v>0</v>
      </c>
      <c r="DH107">
        <f t="shared" si="643"/>
        <v>0</v>
      </c>
      <c r="DI107">
        <f t="shared" si="606"/>
        <v>1</v>
      </c>
      <c r="DK107" s="79">
        <f t="shared" si="607"/>
        <v>0</v>
      </c>
      <c r="DL107" s="79">
        <f t="shared" si="608"/>
        <v>0</v>
      </c>
      <c r="DM107">
        <f t="shared" ref="DM107:DN107" si="724">IF(DK107+DL107=0,DM106,(DM106+DK107)*DK107)</f>
        <v>1</v>
      </c>
      <c r="DN107">
        <f t="shared" si="724"/>
        <v>0</v>
      </c>
      <c r="DP107" s="79">
        <f t="shared" si="610"/>
        <v>0</v>
      </c>
      <c r="DQ107" s="79">
        <f t="shared" si="611"/>
        <v>0</v>
      </c>
      <c r="DR107">
        <f t="shared" ref="DR107:DS107" si="725">IF(DP107+DQ107=0,DR106,(DR106+DP107)*DP107)</f>
        <v>0</v>
      </c>
      <c r="DS107">
        <f t="shared" si="725"/>
        <v>1</v>
      </c>
      <c r="DU107" s="79">
        <f t="shared" si="613"/>
        <v>0</v>
      </c>
      <c r="DV107" s="79">
        <f t="shared" si="614"/>
        <v>0</v>
      </c>
      <c r="DW107">
        <f t="shared" ref="DW107:DX107" si="726">IF(DU107+DV107=0,DW106,(DW106+DU107)*DU107)</f>
        <v>0</v>
      </c>
      <c r="DX107">
        <f t="shared" si="726"/>
        <v>1</v>
      </c>
      <c r="DZ107" s="79">
        <f t="shared" si="616"/>
        <v>0</v>
      </c>
      <c r="EA107" s="79">
        <f t="shared" si="617"/>
        <v>0</v>
      </c>
      <c r="EB107">
        <f t="shared" ref="EB107:EC107" si="727">IF(DZ107+EA107=0,EB106,(EB106+DZ107)*DZ107)</f>
        <v>0</v>
      </c>
      <c r="EC107">
        <f t="shared" si="727"/>
        <v>1</v>
      </c>
    </row>
    <row r="108" spans="1:133">
      <c r="A108" s="29"/>
      <c r="B108" s="29"/>
      <c r="C108" s="29"/>
      <c r="D108" s="29"/>
      <c r="E108" s="29"/>
      <c r="F108" s="30"/>
      <c r="G108" s="29"/>
      <c r="H108" s="29"/>
      <c r="I108" s="29"/>
      <c r="J108" s="29"/>
      <c r="AH108" s="72">
        <f t="shared" si="530"/>
        <v>0</v>
      </c>
      <c r="AI108" s="72">
        <f t="shared" si="531"/>
        <v>0</v>
      </c>
      <c r="AJ108" s="72">
        <f t="shared" si="532"/>
        <v>0</v>
      </c>
      <c r="AK108" s="72">
        <f t="shared" si="533"/>
        <v>0</v>
      </c>
      <c r="AL108" s="72">
        <f t="shared" si="534"/>
        <v>0</v>
      </c>
      <c r="AM108" s="72">
        <f t="shared" si="535"/>
        <v>0</v>
      </c>
      <c r="AN108" s="72">
        <f t="shared" si="536"/>
        <v>0</v>
      </c>
      <c r="AO108" s="72">
        <f t="shared" si="537"/>
        <v>0</v>
      </c>
      <c r="AP108" s="72">
        <f t="shared" si="538"/>
        <v>0</v>
      </c>
      <c r="AQ108" s="72">
        <f t="shared" si="539"/>
        <v>0</v>
      </c>
      <c r="AR108" s="72">
        <f t="shared" si="540"/>
        <v>0</v>
      </c>
      <c r="AS108" s="72">
        <f t="shared" si="541"/>
        <v>0</v>
      </c>
      <c r="AT108" s="72">
        <f t="shared" si="542"/>
        <v>0</v>
      </c>
      <c r="AU108" s="72">
        <f t="shared" si="543"/>
        <v>0</v>
      </c>
      <c r="AV108" s="72">
        <f t="shared" si="544"/>
        <v>0</v>
      </c>
      <c r="AW108" s="72">
        <f t="shared" si="545"/>
        <v>0</v>
      </c>
      <c r="AX108" s="72">
        <f t="shared" si="546"/>
        <v>0</v>
      </c>
      <c r="AY108" s="72">
        <f t="shared" si="547"/>
        <v>0</v>
      </c>
      <c r="AZ108" s="72">
        <f t="shared" si="548"/>
        <v>0</v>
      </c>
      <c r="BA108" s="72">
        <f t="shared" si="549"/>
        <v>0</v>
      </c>
      <c r="BB108" s="72">
        <f t="shared" si="550"/>
        <v>0</v>
      </c>
      <c r="BC108" s="72">
        <f t="shared" si="551"/>
        <v>0</v>
      </c>
      <c r="BD108" s="72">
        <f t="shared" si="552"/>
        <v>0</v>
      </c>
      <c r="BE108" s="72">
        <f t="shared" si="553"/>
        <v>0</v>
      </c>
      <c r="BF108" s="72">
        <f t="shared" si="554"/>
        <v>0</v>
      </c>
      <c r="BG108" s="72">
        <f t="shared" si="555"/>
        <v>0</v>
      </c>
      <c r="BH108" s="72">
        <f t="shared" si="556"/>
        <v>0</v>
      </c>
      <c r="BI108" s="72">
        <f t="shared" si="557"/>
        <v>0</v>
      </c>
      <c r="BJ108" s="72">
        <f t="shared" si="558"/>
        <v>0</v>
      </c>
      <c r="BK108" s="72">
        <f t="shared" si="559"/>
        <v>0</v>
      </c>
      <c r="BL108" s="72">
        <f t="shared" si="560"/>
        <v>0</v>
      </c>
      <c r="BM108" s="72">
        <f t="shared" si="561"/>
        <v>0</v>
      </c>
      <c r="BN108" s="72">
        <f t="shared" si="562"/>
        <v>0</v>
      </c>
      <c r="BO108" s="72">
        <f t="shared" si="563"/>
        <v>0</v>
      </c>
      <c r="BP108" s="72">
        <f t="shared" si="564"/>
        <v>0</v>
      </c>
      <c r="BQ108" s="72">
        <f t="shared" si="565"/>
        <v>0</v>
      </c>
      <c r="BR108" s="72">
        <f t="shared" si="566"/>
        <v>0</v>
      </c>
      <c r="BS108" s="72">
        <f t="shared" si="567"/>
        <v>0</v>
      </c>
      <c r="BT108" s="72">
        <f t="shared" si="568"/>
        <v>0</v>
      </c>
      <c r="BU108" s="72">
        <f t="shared" si="569"/>
        <v>0</v>
      </c>
      <c r="BW108">
        <f t="shared" si="570"/>
        <v>0</v>
      </c>
      <c r="BX108">
        <f t="shared" si="571"/>
        <v>0</v>
      </c>
      <c r="BY108">
        <f t="shared" si="572"/>
        <v>0</v>
      </c>
      <c r="BZ108">
        <f t="shared" si="573"/>
        <v>0</v>
      </c>
      <c r="CA108">
        <f t="shared" si="574"/>
        <v>0</v>
      </c>
      <c r="CB108">
        <f t="shared" si="575"/>
        <v>0</v>
      </c>
      <c r="CD108">
        <f t="shared" si="576"/>
        <v>0</v>
      </c>
      <c r="CE108">
        <f t="shared" si="577"/>
        <v>0</v>
      </c>
      <c r="CF108">
        <f t="shared" si="578"/>
        <v>0</v>
      </c>
      <c r="CG108">
        <f t="shared" si="579"/>
        <v>0</v>
      </c>
      <c r="CH108">
        <f t="shared" si="580"/>
        <v>0</v>
      </c>
      <c r="CI108">
        <f t="shared" si="581"/>
        <v>0</v>
      </c>
      <c r="CK108">
        <f t="shared" si="582"/>
        <v>0</v>
      </c>
      <c r="CL108">
        <f t="shared" si="583"/>
        <v>0</v>
      </c>
      <c r="CM108">
        <f t="shared" si="584"/>
        <v>0</v>
      </c>
      <c r="CN108">
        <f t="shared" si="585"/>
        <v>0</v>
      </c>
      <c r="CO108">
        <f t="shared" si="586"/>
        <v>0</v>
      </c>
      <c r="CP108">
        <f t="shared" si="587"/>
        <v>0</v>
      </c>
      <c r="CR108">
        <f t="shared" si="588"/>
        <v>0</v>
      </c>
      <c r="CS108">
        <f t="shared" si="589"/>
        <v>0</v>
      </c>
      <c r="CT108">
        <f t="shared" si="590"/>
        <v>0</v>
      </c>
      <c r="CU108">
        <f t="shared" si="591"/>
        <v>0</v>
      </c>
      <c r="CV108">
        <f t="shared" si="592"/>
        <v>0</v>
      </c>
      <c r="CW108">
        <f t="shared" si="593"/>
        <v>0</v>
      </c>
      <c r="CY108">
        <f t="shared" si="594"/>
        <v>0</v>
      </c>
      <c r="CZ108">
        <f t="shared" si="595"/>
        <v>0</v>
      </c>
      <c r="DA108">
        <f t="shared" si="596"/>
        <v>0</v>
      </c>
      <c r="DB108">
        <f t="shared" si="597"/>
        <v>0</v>
      </c>
      <c r="DC108">
        <f t="shared" si="598"/>
        <v>0</v>
      </c>
      <c r="DD108">
        <f t="shared" si="599"/>
        <v>0</v>
      </c>
      <c r="DF108" s="79">
        <f t="shared" si="600"/>
        <v>0</v>
      </c>
      <c r="DG108" s="79">
        <f t="shared" si="601"/>
        <v>0</v>
      </c>
      <c r="DH108">
        <f t="shared" si="643"/>
        <v>0</v>
      </c>
      <c r="DI108">
        <f t="shared" si="606"/>
        <v>1</v>
      </c>
      <c r="DK108" s="79">
        <f t="shared" si="607"/>
        <v>0</v>
      </c>
      <c r="DL108" s="79">
        <f t="shared" si="608"/>
        <v>0</v>
      </c>
      <c r="DM108">
        <f t="shared" ref="DM108:DN108" si="728">IF(DK108+DL108=0,DM107,(DM107+DK108)*DK108)</f>
        <v>1</v>
      </c>
      <c r="DN108">
        <f t="shared" si="728"/>
        <v>0</v>
      </c>
      <c r="DP108" s="79">
        <f t="shared" si="610"/>
        <v>0</v>
      </c>
      <c r="DQ108" s="79">
        <f t="shared" si="611"/>
        <v>0</v>
      </c>
      <c r="DR108">
        <f t="shared" ref="DR108:DS108" si="729">IF(DP108+DQ108=0,DR107,(DR107+DP108)*DP108)</f>
        <v>0</v>
      </c>
      <c r="DS108">
        <f t="shared" si="729"/>
        <v>1</v>
      </c>
      <c r="DU108" s="79">
        <f t="shared" si="613"/>
        <v>0</v>
      </c>
      <c r="DV108" s="79">
        <f t="shared" si="614"/>
        <v>0</v>
      </c>
      <c r="DW108">
        <f t="shared" ref="DW108:DX108" si="730">IF(DU108+DV108=0,DW107,(DW107+DU108)*DU108)</f>
        <v>0</v>
      </c>
      <c r="DX108">
        <f t="shared" si="730"/>
        <v>1</v>
      </c>
      <c r="DZ108" s="79">
        <f t="shared" si="616"/>
        <v>0</v>
      </c>
      <c r="EA108" s="79">
        <f t="shared" si="617"/>
        <v>0</v>
      </c>
      <c r="EB108">
        <f t="shared" ref="EB108:EC108" si="731">IF(DZ108+EA108=0,EB107,(EB107+DZ108)*DZ108)</f>
        <v>0</v>
      </c>
      <c r="EC108">
        <f t="shared" si="731"/>
        <v>1</v>
      </c>
    </row>
    <row r="109" spans="1:133">
      <c r="A109" s="29"/>
      <c r="B109" s="29"/>
      <c r="C109" s="29"/>
      <c r="D109" s="29"/>
      <c r="E109" s="29"/>
      <c r="F109" s="30"/>
      <c r="G109" s="29"/>
      <c r="H109" s="29"/>
      <c r="I109" s="29"/>
      <c r="J109" s="29"/>
      <c r="AH109" s="72">
        <f t="shared" si="530"/>
        <v>0</v>
      </c>
      <c r="AI109" s="72">
        <f t="shared" si="531"/>
        <v>0</v>
      </c>
      <c r="AJ109" s="72">
        <f t="shared" si="532"/>
        <v>0</v>
      </c>
      <c r="AK109" s="72">
        <f t="shared" si="533"/>
        <v>0</v>
      </c>
      <c r="AL109" s="72">
        <f t="shared" si="534"/>
        <v>0</v>
      </c>
      <c r="AM109" s="72">
        <f t="shared" si="535"/>
        <v>0</v>
      </c>
      <c r="AN109" s="72">
        <f t="shared" si="536"/>
        <v>0</v>
      </c>
      <c r="AO109" s="72">
        <f t="shared" si="537"/>
        <v>0</v>
      </c>
      <c r="AP109" s="72">
        <f t="shared" si="538"/>
        <v>0</v>
      </c>
      <c r="AQ109" s="72">
        <f t="shared" si="539"/>
        <v>0</v>
      </c>
      <c r="AR109" s="72">
        <f t="shared" si="540"/>
        <v>0</v>
      </c>
      <c r="AS109" s="72">
        <f t="shared" si="541"/>
        <v>0</v>
      </c>
      <c r="AT109" s="72">
        <f t="shared" si="542"/>
        <v>0</v>
      </c>
      <c r="AU109" s="72">
        <f t="shared" si="543"/>
        <v>0</v>
      </c>
      <c r="AV109" s="72">
        <f t="shared" si="544"/>
        <v>0</v>
      </c>
      <c r="AW109" s="72">
        <f t="shared" si="545"/>
        <v>0</v>
      </c>
      <c r="AX109" s="72">
        <f t="shared" si="546"/>
        <v>0</v>
      </c>
      <c r="AY109" s="72">
        <f t="shared" si="547"/>
        <v>0</v>
      </c>
      <c r="AZ109" s="72">
        <f t="shared" si="548"/>
        <v>0</v>
      </c>
      <c r="BA109" s="72">
        <f t="shared" si="549"/>
        <v>0</v>
      </c>
      <c r="BB109" s="72">
        <f t="shared" si="550"/>
        <v>0</v>
      </c>
      <c r="BC109" s="72">
        <f t="shared" si="551"/>
        <v>0</v>
      </c>
      <c r="BD109" s="72">
        <f t="shared" si="552"/>
        <v>0</v>
      </c>
      <c r="BE109" s="72">
        <f t="shared" si="553"/>
        <v>0</v>
      </c>
      <c r="BF109" s="72">
        <f t="shared" si="554"/>
        <v>0</v>
      </c>
      <c r="BG109" s="72">
        <f t="shared" si="555"/>
        <v>0</v>
      </c>
      <c r="BH109" s="72">
        <f t="shared" si="556"/>
        <v>0</v>
      </c>
      <c r="BI109" s="72">
        <f t="shared" si="557"/>
        <v>0</v>
      </c>
      <c r="BJ109" s="72">
        <f t="shared" si="558"/>
        <v>0</v>
      </c>
      <c r="BK109" s="72">
        <f t="shared" si="559"/>
        <v>0</v>
      </c>
      <c r="BL109" s="72">
        <f t="shared" si="560"/>
        <v>0</v>
      </c>
      <c r="BM109" s="72">
        <f t="shared" si="561"/>
        <v>0</v>
      </c>
      <c r="BN109" s="72">
        <f t="shared" si="562"/>
        <v>0</v>
      </c>
      <c r="BO109" s="72">
        <f t="shared" si="563"/>
        <v>0</v>
      </c>
      <c r="BP109" s="72">
        <f t="shared" si="564"/>
        <v>0</v>
      </c>
      <c r="BQ109" s="72">
        <f t="shared" si="565"/>
        <v>0</v>
      </c>
      <c r="BR109" s="72">
        <f t="shared" si="566"/>
        <v>0</v>
      </c>
      <c r="BS109" s="72">
        <f t="shared" si="567"/>
        <v>0</v>
      </c>
      <c r="BT109" s="72">
        <f t="shared" si="568"/>
        <v>0</v>
      </c>
      <c r="BU109" s="72">
        <f t="shared" si="569"/>
        <v>0</v>
      </c>
      <c r="BW109">
        <f t="shared" si="570"/>
        <v>0</v>
      </c>
      <c r="BX109">
        <f t="shared" si="571"/>
        <v>0</v>
      </c>
      <c r="BY109">
        <f t="shared" si="572"/>
        <v>0</v>
      </c>
      <c r="BZ109">
        <f t="shared" si="573"/>
        <v>0</v>
      </c>
      <c r="CA109">
        <f t="shared" si="574"/>
        <v>0</v>
      </c>
      <c r="CB109">
        <f t="shared" si="575"/>
        <v>0</v>
      </c>
      <c r="CD109">
        <f t="shared" si="576"/>
        <v>0</v>
      </c>
      <c r="CE109">
        <f t="shared" si="577"/>
        <v>0</v>
      </c>
      <c r="CF109">
        <f t="shared" si="578"/>
        <v>0</v>
      </c>
      <c r="CG109">
        <f t="shared" si="579"/>
        <v>0</v>
      </c>
      <c r="CH109">
        <f t="shared" si="580"/>
        <v>0</v>
      </c>
      <c r="CI109">
        <f t="shared" si="581"/>
        <v>0</v>
      </c>
      <c r="CK109">
        <f t="shared" si="582"/>
        <v>0</v>
      </c>
      <c r="CL109">
        <f t="shared" si="583"/>
        <v>0</v>
      </c>
      <c r="CM109">
        <f t="shared" si="584"/>
        <v>0</v>
      </c>
      <c r="CN109">
        <f t="shared" si="585"/>
        <v>0</v>
      </c>
      <c r="CO109">
        <f t="shared" si="586"/>
        <v>0</v>
      </c>
      <c r="CP109">
        <f t="shared" si="587"/>
        <v>0</v>
      </c>
      <c r="CR109">
        <f t="shared" si="588"/>
        <v>0</v>
      </c>
      <c r="CS109">
        <f t="shared" si="589"/>
        <v>0</v>
      </c>
      <c r="CT109">
        <f t="shared" si="590"/>
        <v>0</v>
      </c>
      <c r="CU109">
        <f t="shared" si="591"/>
        <v>0</v>
      </c>
      <c r="CV109">
        <f t="shared" si="592"/>
        <v>0</v>
      </c>
      <c r="CW109">
        <f t="shared" si="593"/>
        <v>0</v>
      </c>
      <c r="CY109">
        <f t="shared" si="594"/>
        <v>0</v>
      </c>
      <c r="CZ109">
        <f t="shared" si="595"/>
        <v>0</v>
      </c>
      <c r="DA109">
        <f t="shared" si="596"/>
        <v>0</v>
      </c>
      <c r="DB109">
        <f t="shared" si="597"/>
        <v>0</v>
      </c>
      <c r="DC109">
        <f t="shared" si="598"/>
        <v>0</v>
      </c>
      <c r="DD109">
        <f t="shared" si="599"/>
        <v>0</v>
      </c>
      <c r="DF109" s="79">
        <f t="shared" si="600"/>
        <v>0</v>
      </c>
      <c r="DG109" s="79">
        <f t="shared" si="601"/>
        <v>0</v>
      </c>
      <c r="DH109">
        <f t="shared" si="643"/>
        <v>0</v>
      </c>
      <c r="DI109">
        <f t="shared" si="606"/>
        <v>1</v>
      </c>
      <c r="DK109" s="79">
        <f t="shared" si="607"/>
        <v>0</v>
      </c>
      <c r="DL109" s="79">
        <f t="shared" si="608"/>
        <v>0</v>
      </c>
      <c r="DM109">
        <f t="shared" ref="DM109:DN109" si="732">IF(DK109+DL109=0,DM108,(DM108+DK109)*DK109)</f>
        <v>1</v>
      </c>
      <c r="DN109">
        <f t="shared" si="732"/>
        <v>0</v>
      </c>
      <c r="DP109" s="79">
        <f t="shared" si="610"/>
        <v>0</v>
      </c>
      <c r="DQ109" s="79">
        <f t="shared" si="611"/>
        <v>0</v>
      </c>
      <c r="DR109">
        <f t="shared" ref="DR109:DS109" si="733">IF(DP109+DQ109=0,DR108,(DR108+DP109)*DP109)</f>
        <v>0</v>
      </c>
      <c r="DS109">
        <f t="shared" si="733"/>
        <v>1</v>
      </c>
      <c r="DU109" s="79">
        <f t="shared" si="613"/>
        <v>0</v>
      </c>
      <c r="DV109" s="79">
        <f t="shared" si="614"/>
        <v>0</v>
      </c>
      <c r="DW109">
        <f t="shared" ref="DW109:DX109" si="734">IF(DU109+DV109=0,DW108,(DW108+DU109)*DU109)</f>
        <v>0</v>
      </c>
      <c r="DX109">
        <f t="shared" si="734"/>
        <v>1</v>
      </c>
      <c r="DZ109" s="79">
        <f t="shared" si="616"/>
        <v>0</v>
      </c>
      <c r="EA109" s="79">
        <f t="shared" si="617"/>
        <v>0</v>
      </c>
      <c r="EB109">
        <f t="shared" ref="EB109:EC109" si="735">IF(DZ109+EA109=0,EB108,(EB108+DZ109)*DZ109)</f>
        <v>0</v>
      </c>
      <c r="EC109">
        <f t="shared" si="735"/>
        <v>1</v>
      </c>
    </row>
    <row r="110" spans="1:133">
      <c r="A110" s="29"/>
      <c r="B110" s="29"/>
      <c r="C110" s="29"/>
      <c r="D110" s="29"/>
      <c r="E110" s="29"/>
      <c r="F110" s="30"/>
      <c r="G110" s="29"/>
      <c r="H110" s="29"/>
      <c r="I110" s="29"/>
      <c r="J110" s="29"/>
      <c r="AH110" s="72">
        <f t="shared" si="530"/>
        <v>0</v>
      </c>
      <c r="AI110" s="72">
        <f t="shared" si="531"/>
        <v>0</v>
      </c>
      <c r="AJ110" s="72">
        <f t="shared" si="532"/>
        <v>0</v>
      </c>
      <c r="AK110" s="72">
        <f t="shared" si="533"/>
        <v>0</v>
      </c>
      <c r="AL110" s="72">
        <f t="shared" si="534"/>
        <v>0</v>
      </c>
      <c r="AM110" s="72">
        <f t="shared" si="535"/>
        <v>0</v>
      </c>
      <c r="AN110" s="72">
        <f t="shared" si="536"/>
        <v>0</v>
      </c>
      <c r="AO110" s="72">
        <f t="shared" si="537"/>
        <v>0</v>
      </c>
      <c r="AP110" s="72">
        <f t="shared" si="538"/>
        <v>0</v>
      </c>
      <c r="AQ110" s="72">
        <f t="shared" si="539"/>
        <v>0</v>
      </c>
      <c r="AR110" s="72">
        <f t="shared" si="540"/>
        <v>0</v>
      </c>
      <c r="AS110" s="72">
        <f t="shared" si="541"/>
        <v>0</v>
      </c>
      <c r="AT110" s="72">
        <f t="shared" si="542"/>
        <v>0</v>
      </c>
      <c r="AU110" s="72">
        <f t="shared" si="543"/>
        <v>0</v>
      </c>
      <c r="AV110" s="72">
        <f t="shared" si="544"/>
        <v>0</v>
      </c>
      <c r="AW110" s="72">
        <f t="shared" si="545"/>
        <v>0</v>
      </c>
      <c r="AX110" s="72">
        <f t="shared" si="546"/>
        <v>0</v>
      </c>
      <c r="AY110" s="72">
        <f t="shared" si="547"/>
        <v>0</v>
      </c>
      <c r="AZ110" s="72">
        <f t="shared" si="548"/>
        <v>0</v>
      </c>
      <c r="BA110" s="72">
        <f t="shared" si="549"/>
        <v>0</v>
      </c>
      <c r="BB110" s="72">
        <f t="shared" si="550"/>
        <v>0</v>
      </c>
      <c r="BC110" s="72">
        <f t="shared" si="551"/>
        <v>0</v>
      </c>
      <c r="BD110" s="72">
        <f t="shared" si="552"/>
        <v>0</v>
      </c>
      <c r="BE110" s="72">
        <f t="shared" si="553"/>
        <v>0</v>
      </c>
      <c r="BF110" s="72">
        <f t="shared" si="554"/>
        <v>0</v>
      </c>
      <c r="BG110" s="72">
        <f t="shared" si="555"/>
        <v>0</v>
      </c>
      <c r="BH110" s="72">
        <f t="shared" si="556"/>
        <v>0</v>
      </c>
      <c r="BI110" s="72">
        <f t="shared" si="557"/>
        <v>0</v>
      </c>
      <c r="BJ110" s="72">
        <f t="shared" si="558"/>
        <v>0</v>
      </c>
      <c r="BK110" s="72">
        <f t="shared" si="559"/>
        <v>0</v>
      </c>
      <c r="BL110" s="72">
        <f t="shared" si="560"/>
        <v>0</v>
      </c>
      <c r="BM110" s="72">
        <f t="shared" si="561"/>
        <v>0</v>
      </c>
      <c r="BN110" s="72">
        <f t="shared" si="562"/>
        <v>0</v>
      </c>
      <c r="BO110" s="72">
        <f t="shared" si="563"/>
        <v>0</v>
      </c>
      <c r="BP110" s="72">
        <f t="shared" si="564"/>
        <v>0</v>
      </c>
      <c r="BQ110" s="72">
        <f t="shared" si="565"/>
        <v>0</v>
      </c>
      <c r="BR110" s="72">
        <f t="shared" si="566"/>
        <v>0</v>
      </c>
      <c r="BS110" s="72">
        <f t="shared" si="567"/>
        <v>0</v>
      </c>
      <c r="BT110" s="72">
        <f t="shared" si="568"/>
        <v>0</v>
      </c>
      <c r="BU110" s="72">
        <f t="shared" si="569"/>
        <v>0</v>
      </c>
      <c r="BW110">
        <f t="shared" si="570"/>
        <v>0</v>
      </c>
      <c r="BX110">
        <f t="shared" si="571"/>
        <v>0</v>
      </c>
      <c r="BY110">
        <f t="shared" si="572"/>
        <v>0</v>
      </c>
      <c r="BZ110">
        <f t="shared" si="573"/>
        <v>0</v>
      </c>
      <c r="CA110">
        <f t="shared" si="574"/>
        <v>0</v>
      </c>
      <c r="CB110">
        <f t="shared" si="575"/>
        <v>0</v>
      </c>
      <c r="CD110">
        <f t="shared" si="576"/>
        <v>0</v>
      </c>
      <c r="CE110">
        <f t="shared" si="577"/>
        <v>0</v>
      </c>
      <c r="CF110">
        <f t="shared" si="578"/>
        <v>0</v>
      </c>
      <c r="CG110">
        <f t="shared" si="579"/>
        <v>0</v>
      </c>
      <c r="CH110">
        <f t="shared" si="580"/>
        <v>0</v>
      </c>
      <c r="CI110">
        <f t="shared" si="581"/>
        <v>0</v>
      </c>
      <c r="CK110">
        <f t="shared" si="582"/>
        <v>0</v>
      </c>
      <c r="CL110">
        <f t="shared" si="583"/>
        <v>0</v>
      </c>
      <c r="CM110">
        <f t="shared" si="584"/>
        <v>0</v>
      </c>
      <c r="CN110">
        <f t="shared" si="585"/>
        <v>0</v>
      </c>
      <c r="CO110">
        <f t="shared" si="586"/>
        <v>0</v>
      </c>
      <c r="CP110">
        <f t="shared" si="587"/>
        <v>0</v>
      </c>
      <c r="CR110">
        <f t="shared" si="588"/>
        <v>0</v>
      </c>
      <c r="CS110">
        <f t="shared" si="589"/>
        <v>0</v>
      </c>
      <c r="CT110">
        <f t="shared" si="590"/>
        <v>0</v>
      </c>
      <c r="CU110">
        <f t="shared" si="591"/>
        <v>0</v>
      </c>
      <c r="CV110">
        <f t="shared" si="592"/>
        <v>0</v>
      </c>
      <c r="CW110">
        <f t="shared" si="593"/>
        <v>0</v>
      </c>
      <c r="CY110">
        <f t="shared" si="594"/>
        <v>0</v>
      </c>
      <c r="CZ110">
        <f t="shared" si="595"/>
        <v>0</v>
      </c>
      <c r="DA110">
        <f t="shared" si="596"/>
        <v>0</v>
      </c>
      <c r="DB110">
        <f t="shared" si="597"/>
        <v>0</v>
      </c>
      <c r="DC110">
        <f t="shared" si="598"/>
        <v>0</v>
      </c>
      <c r="DD110">
        <f t="shared" si="599"/>
        <v>0</v>
      </c>
      <c r="DF110" s="79">
        <f t="shared" si="600"/>
        <v>0</v>
      </c>
      <c r="DG110" s="79">
        <f t="shared" si="601"/>
        <v>0</v>
      </c>
      <c r="DH110">
        <f t="shared" si="643"/>
        <v>0</v>
      </c>
      <c r="DI110">
        <f t="shared" si="606"/>
        <v>1</v>
      </c>
      <c r="DK110" s="79">
        <f t="shared" si="607"/>
        <v>0</v>
      </c>
      <c r="DL110" s="79">
        <f t="shared" si="608"/>
        <v>0</v>
      </c>
      <c r="DM110">
        <f t="shared" ref="DM110:DN110" si="736">IF(DK110+DL110=0,DM109,(DM109+DK110)*DK110)</f>
        <v>1</v>
      </c>
      <c r="DN110">
        <f t="shared" si="736"/>
        <v>0</v>
      </c>
      <c r="DP110" s="79">
        <f t="shared" si="610"/>
        <v>0</v>
      </c>
      <c r="DQ110" s="79">
        <f t="shared" si="611"/>
        <v>0</v>
      </c>
      <c r="DR110">
        <f t="shared" ref="DR110:DS110" si="737">IF(DP110+DQ110=0,DR109,(DR109+DP110)*DP110)</f>
        <v>0</v>
      </c>
      <c r="DS110">
        <f t="shared" si="737"/>
        <v>1</v>
      </c>
      <c r="DU110" s="79">
        <f t="shared" si="613"/>
        <v>0</v>
      </c>
      <c r="DV110" s="79">
        <f t="shared" si="614"/>
        <v>0</v>
      </c>
      <c r="DW110">
        <f t="shared" ref="DW110:DX110" si="738">IF(DU110+DV110=0,DW109,(DW109+DU110)*DU110)</f>
        <v>0</v>
      </c>
      <c r="DX110">
        <f t="shared" si="738"/>
        <v>1</v>
      </c>
      <c r="DZ110" s="79">
        <f t="shared" si="616"/>
        <v>0</v>
      </c>
      <c r="EA110" s="79">
        <f t="shared" si="617"/>
        <v>0</v>
      </c>
      <c r="EB110">
        <f t="shared" ref="EB110:EC110" si="739">IF(DZ110+EA110=0,EB109,(EB109+DZ110)*DZ110)</f>
        <v>0</v>
      </c>
      <c r="EC110">
        <f t="shared" si="739"/>
        <v>1</v>
      </c>
    </row>
    <row r="111" spans="1:133">
      <c r="A111" s="29"/>
      <c r="B111" s="29"/>
      <c r="C111" s="29"/>
      <c r="D111" s="29"/>
      <c r="E111" s="29"/>
      <c r="F111" s="30"/>
      <c r="G111" s="29"/>
      <c r="H111" s="29"/>
      <c r="I111" s="29"/>
      <c r="J111" s="29"/>
      <c r="AH111" s="72">
        <f t="shared" si="530"/>
        <v>0</v>
      </c>
      <c r="AI111" s="72">
        <f t="shared" si="531"/>
        <v>0</v>
      </c>
      <c r="AJ111" s="72">
        <f t="shared" si="532"/>
        <v>0</v>
      </c>
      <c r="AK111" s="72">
        <f t="shared" si="533"/>
        <v>0</v>
      </c>
      <c r="AL111" s="72">
        <f t="shared" si="534"/>
        <v>0</v>
      </c>
      <c r="AM111" s="72">
        <f t="shared" si="535"/>
        <v>0</v>
      </c>
      <c r="AN111" s="72">
        <f t="shared" si="536"/>
        <v>0</v>
      </c>
      <c r="AO111" s="72">
        <f t="shared" si="537"/>
        <v>0</v>
      </c>
      <c r="AP111" s="72">
        <f t="shared" si="538"/>
        <v>0</v>
      </c>
      <c r="AQ111" s="72">
        <f t="shared" si="539"/>
        <v>0</v>
      </c>
      <c r="AR111" s="72">
        <f t="shared" si="540"/>
        <v>0</v>
      </c>
      <c r="AS111" s="72">
        <f t="shared" si="541"/>
        <v>0</v>
      </c>
      <c r="AT111" s="72">
        <f t="shared" si="542"/>
        <v>0</v>
      </c>
      <c r="AU111" s="72">
        <f t="shared" si="543"/>
        <v>0</v>
      </c>
      <c r="AV111" s="72">
        <f t="shared" si="544"/>
        <v>0</v>
      </c>
      <c r="AW111" s="72">
        <f t="shared" si="545"/>
        <v>0</v>
      </c>
      <c r="AX111" s="72">
        <f t="shared" si="546"/>
        <v>0</v>
      </c>
      <c r="AY111" s="72">
        <f t="shared" si="547"/>
        <v>0</v>
      </c>
      <c r="AZ111" s="72">
        <f t="shared" si="548"/>
        <v>0</v>
      </c>
      <c r="BA111" s="72">
        <f t="shared" si="549"/>
        <v>0</v>
      </c>
      <c r="BB111" s="72">
        <f t="shared" si="550"/>
        <v>0</v>
      </c>
      <c r="BC111" s="72">
        <f t="shared" si="551"/>
        <v>0</v>
      </c>
      <c r="BD111" s="72">
        <f t="shared" si="552"/>
        <v>0</v>
      </c>
      <c r="BE111" s="72">
        <f t="shared" si="553"/>
        <v>0</v>
      </c>
      <c r="BF111" s="72">
        <f t="shared" si="554"/>
        <v>0</v>
      </c>
      <c r="BG111" s="72">
        <f t="shared" si="555"/>
        <v>0</v>
      </c>
      <c r="BH111" s="72">
        <f t="shared" si="556"/>
        <v>0</v>
      </c>
      <c r="BI111" s="72">
        <f t="shared" si="557"/>
        <v>0</v>
      </c>
      <c r="BJ111" s="72">
        <f t="shared" si="558"/>
        <v>0</v>
      </c>
      <c r="BK111" s="72">
        <f t="shared" si="559"/>
        <v>0</v>
      </c>
      <c r="BL111" s="72">
        <f t="shared" si="560"/>
        <v>0</v>
      </c>
      <c r="BM111" s="72">
        <f t="shared" si="561"/>
        <v>0</v>
      </c>
      <c r="BN111" s="72">
        <f t="shared" si="562"/>
        <v>0</v>
      </c>
      <c r="BO111" s="72">
        <f t="shared" si="563"/>
        <v>0</v>
      </c>
      <c r="BP111" s="72">
        <f t="shared" si="564"/>
        <v>0</v>
      </c>
      <c r="BQ111" s="72">
        <f t="shared" si="565"/>
        <v>0</v>
      </c>
      <c r="BR111" s="72">
        <f t="shared" si="566"/>
        <v>0</v>
      </c>
      <c r="BS111" s="72">
        <f t="shared" si="567"/>
        <v>0</v>
      </c>
      <c r="BT111" s="72">
        <f t="shared" si="568"/>
        <v>0</v>
      </c>
      <c r="BU111" s="72">
        <f t="shared" si="569"/>
        <v>0</v>
      </c>
      <c r="BW111">
        <f t="shared" si="570"/>
        <v>0</v>
      </c>
      <c r="BX111">
        <f t="shared" si="571"/>
        <v>0</v>
      </c>
      <c r="BY111">
        <f t="shared" si="572"/>
        <v>0</v>
      </c>
      <c r="BZ111">
        <f t="shared" si="573"/>
        <v>0</v>
      </c>
      <c r="CA111">
        <f t="shared" si="574"/>
        <v>0</v>
      </c>
      <c r="CB111">
        <f t="shared" si="575"/>
        <v>0</v>
      </c>
      <c r="CD111">
        <f t="shared" si="576"/>
        <v>0</v>
      </c>
      <c r="CE111">
        <f t="shared" si="577"/>
        <v>0</v>
      </c>
      <c r="CF111">
        <f t="shared" si="578"/>
        <v>0</v>
      </c>
      <c r="CG111">
        <f t="shared" si="579"/>
        <v>0</v>
      </c>
      <c r="CH111">
        <f t="shared" si="580"/>
        <v>0</v>
      </c>
      <c r="CI111">
        <f t="shared" si="581"/>
        <v>0</v>
      </c>
      <c r="CK111">
        <f t="shared" si="582"/>
        <v>0</v>
      </c>
      <c r="CL111">
        <f t="shared" si="583"/>
        <v>0</v>
      </c>
      <c r="CM111">
        <f t="shared" si="584"/>
        <v>0</v>
      </c>
      <c r="CN111">
        <f t="shared" si="585"/>
        <v>0</v>
      </c>
      <c r="CO111">
        <f t="shared" si="586"/>
        <v>0</v>
      </c>
      <c r="CP111">
        <f t="shared" si="587"/>
        <v>0</v>
      </c>
      <c r="CR111">
        <f t="shared" si="588"/>
        <v>0</v>
      </c>
      <c r="CS111">
        <f t="shared" si="589"/>
        <v>0</v>
      </c>
      <c r="CT111">
        <f t="shared" si="590"/>
        <v>0</v>
      </c>
      <c r="CU111">
        <f t="shared" si="591"/>
        <v>0</v>
      </c>
      <c r="CV111">
        <f t="shared" si="592"/>
        <v>0</v>
      </c>
      <c r="CW111">
        <f t="shared" si="593"/>
        <v>0</v>
      </c>
      <c r="CY111">
        <f t="shared" si="594"/>
        <v>0</v>
      </c>
      <c r="CZ111">
        <f t="shared" si="595"/>
        <v>0</v>
      </c>
      <c r="DA111">
        <f t="shared" si="596"/>
        <v>0</v>
      </c>
      <c r="DB111">
        <f t="shared" si="597"/>
        <v>0</v>
      </c>
      <c r="DC111">
        <f t="shared" si="598"/>
        <v>0</v>
      </c>
      <c r="DD111">
        <f t="shared" si="599"/>
        <v>0</v>
      </c>
      <c r="DF111" s="79">
        <f t="shared" si="600"/>
        <v>0</v>
      </c>
      <c r="DG111" s="79">
        <f t="shared" si="601"/>
        <v>0</v>
      </c>
      <c r="DH111">
        <f t="shared" si="643"/>
        <v>0</v>
      </c>
      <c r="DI111">
        <f t="shared" si="606"/>
        <v>1</v>
      </c>
      <c r="DK111" s="79">
        <f t="shared" si="607"/>
        <v>0</v>
      </c>
      <c r="DL111" s="79">
        <f t="shared" si="608"/>
        <v>0</v>
      </c>
      <c r="DM111">
        <f t="shared" ref="DM111:DN111" si="740">IF(DK111+DL111=0,DM110,(DM110+DK111)*DK111)</f>
        <v>1</v>
      </c>
      <c r="DN111">
        <f t="shared" si="740"/>
        <v>0</v>
      </c>
      <c r="DP111" s="79">
        <f t="shared" si="610"/>
        <v>0</v>
      </c>
      <c r="DQ111" s="79">
        <f t="shared" si="611"/>
        <v>0</v>
      </c>
      <c r="DR111">
        <f t="shared" ref="DR111:DS111" si="741">IF(DP111+DQ111=0,DR110,(DR110+DP111)*DP111)</f>
        <v>0</v>
      </c>
      <c r="DS111">
        <f t="shared" si="741"/>
        <v>1</v>
      </c>
      <c r="DU111" s="79">
        <f t="shared" si="613"/>
        <v>0</v>
      </c>
      <c r="DV111" s="79">
        <f t="shared" si="614"/>
        <v>0</v>
      </c>
      <c r="DW111">
        <f t="shared" ref="DW111:DX111" si="742">IF(DU111+DV111=0,DW110,(DW110+DU111)*DU111)</f>
        <v>0</v>
      </c>
      <c r="DX111">
        <f t="shared" si="742"/>
        <v>1</v>
      </c>
      <c r="DZ111" s="79">
        <f t="shared" si="616"/>
        <v>0</v>
      </c>
      <c r="EA111" s="79">
        <f t="shared" si="617"/>
        <v>0</v>
      </c>
      <c r="EB111">
        <f t="shared" ref="EB111:EC111" si="743">IF(DZ111+EA111=0,EB110,(EB110+DZ111)*DZ111)</f>
        <v>0</v>
      </c>
      <c r="EC111">
        <f t="shared" si="743"/>
        <v>1</v>
      </c>
    </row>
    <row r="112" spans="1:133">
      <c r="A112" s="29"/>
      <c r="B112" s="29"/>
      <c r="C112" s="29"/>
      <c r="D112" s="29"/>
      <c r="E112" s="29"/>
      <c r="F112" s="30"/>
      <c r="G112" s="29"/>
      <c r="H112" s="29"/>
      <c r="I112" s="29"/>
      <c r="J112" s="29"/>
      <c r="AH112" s="72">
        <f t="shared" si="530"/>
        <v>0</v>
      </c>
      <c r="AI112" s="72">
        <f t="shared" si="531"/>
        <v>0</v>
      </c>
      <c r="AJ112" s="72">
        <f t="shared" si="532"/>
        <v>0</v>
      </c>
      <c r="AK112" s="72">
        <f t="shared" si="533"/>
        <v>0</v>
      </c>
      <c r="AL112" s="72">
        <f t="shared" si="534"/>
        <v>0</v>
      </c>
      <c r="AM112" s="72">
        <f t="shared" si="535"/>
        <v>0</v>
      </c>
      <c r="AN112" s="72">
        <f t="shared" si="536"/>
        <v>0</v>
      </c>
      <c r="AO112" s="72">
        <f t="shared" si="537"/>
        <v>0</v>
      </c>
      <c r="AP112" s="72">
        <f t="shared" si="538"/>
        <v>0</v>
      </c>
      <c r="AQ112" s="72">
        <f t="shared" si="539"/>
        <v>0</v>
      </c>
      <c r="AR112" s="72">
        <f t="shared" si="540"/>
        <v>0</v>
      </c>
      <c r="AS112" s="72">
        <f t="shared" si="541"/>
        <v>0</v>
      </c>
      <c r="AT112" s="72">
        <f t="shared" si="542"/>
        <v>0</v>
      </c>
      <c r="AU112" s="72">
        <f t="shared" si="543"/>
        <v>0</v>
      </c>
      <c r="AV112" s="72">
        <f t="shared" si="544"/>
        <v>0</v>
      </c>
      <c r="AW112" s="72">
        <f t="shared" si="545"/>
        <v>0</v>
      </c>
      <c r="AX112" s="72">
        <f t="shared" si="546"/>
        <v>0</v>
      </c>
      <c r="AY112" s="72">
        <f t="shared" si="547"/>
        <v>0</v>
      </c>
      <c r="AZ112" s="72">
        <f t="shared" si="548"/>
        <v>0</v>
      </c>
      <c r="BA112" s="72">
        <f t="shared" si="549"/>
        <v>0</v>
      </c>
      <c r="BB112" s="72">
        <f t="shared" si="550"/>
        <v>0</v>
      </c>
      <c r="BC112" s="72">
        <f t="shared" si="551"/>
        <v>0</v>
      </c>
      <c r="BD112" s="72">
        <f t="shared" si="552"/>
        <v>0</v>
      </c>
      <c r="BE112" s="72">
        <f t="shared" si="553"/>
        <v>0</v>
      </c>
      <c r="BF112" s="72">
        <f t="shared" si="554"/>
        <v>0</v>
      </c>
      <c r="BG112" s="72">
        <f t="shared" si="555"/>
        <v>0</v>
      </c>
      <c r="BH112" s="72">
        <f t="shared" si="556"/>
        <v>0</v>
      </c>
      <c r="BI112" s="72">
        <f t="shared" si="557"/>
        <v>0</v>
      </c>
      <c r="BJ112" s="72">
        <f t="shared" si="558"/>
        <v>0</v>
      </c>
      <c r="BK112" s="72">
        <f t="shared" si="559"/>
        <v>0</v>
      </c>
      <c r="BL112" s="72">
        <f t="shared" si="560"/>
        <v>0</v>
      </c>
      <c r="BM112" s="72">
        <f t="shared" si="561"/>
        <v>0</v>
      </c>
      <c r="BN112" s="72">
        <f t="shared" si="562"/>
        <v>0</v>
      </c>
      <c r="BO112" s="72">
        <f t="shared" si="563"/>
        <v>0</v>
      </c>
      <c r="BP112" s="72">
        <f t="shared" si="564"/>
        <v>0</v>
      </c>
      <c r="BQ112" s="72">
        <f t="shared" si="565"/>
        <v>0</v>
      </c>
      <c r="BR112" s="72">
        <f t="shared" si="566"/>
        <v>0</v>
      </c>
      <c r="BS112" s="72">
        <f t="shared" si="567"/>
        <v>0</v>
      </c>
      <c r="BT112" s="72">
        <f t="shared" si="568"/>
        <v>0</v>
      </c>
      <c r="BU112" s="72">
        <f t="shared" si="569"/>
        <v>0</v>
      </c>
      <c r="BW112">
        <f t="shared" si="570"/>
        <v>0</v>
      </c>
      <c r="BX112">
        <f t="shared" si="571"/>
        <v>0</v>
      </c>
      <c r="BY112">
        <f t="shared" si="572"/>
        <v>0</v>
      </c>
      <c r="BZ112">
        <f t="shared" si="573"/>
        <v>0</v>
      </c>
      <c r="CA112">
        <f t="shared" si="574"/>
        <v>0</v>
      </c>
      <c r="CB112">
        <f t="shared" si="575"/>
        <v>0</v>
      </c>
      <c r="CD112">
        <f t="shared" si="576"/>
        <v>0</v>
      </c>
      <c r="CE112">
        <f t="shared" si="577"/>
        <v>0</v>
      </c>
      <c r="CF112">
        <f t="shared" si="578"/>
        <v>0</v>
      </c>
      <c r="CG112">
        <f t="shared" si="579"/>
        <v>0</v>
      </c>
      <c r="CH112">
        <f t="shared" si="580"/>
        <v>0</v>
      </c>
      <c r="CI112">
        <f t="shared" si="581"/>
        <v>0</v>
      </c>
      <c r="CK112">
        <f t="shared" si="582"/>
        <v>0</v>
      </c>
      <c r="CL112">
        <f t="shared" si="583"/>
        <v>0</v>
      </c>
      <c r="CM112">
        <f t="shared" si="584"/>
        <v>0</v>
      </c>
      <c r="CN112">
        <f t="shared" si="585"/>
        <v>0</v>
      </c>
      <c r="CO112">
        <f t="shared" si="586"/>
        <v>0</v>
      </c>
      <c r="CP112">
        <f t="shared" si="587"/>
        <v>0</v>
      </c>
      <c r="CR112">
        <f t="shared" si="588"/>
        <v>0</v>
      </c>
      <c r="CS112">
        <f t="shared" si="589"/>
        <v>0</v>
      </c>
      <c r="CT112">
        <f t="shared" si="590"/>
        <v>0</v>
      </c>
      <c r="CU112">
        <f t="shared" si="591"/>
        <v>0</v>
      </c>
      <c r="CV112">
        <f t="shared" si="592"/>
        <v>0</v>
      </c>
      <c r="CW112">
        <f t="shared" si="593"/>
        <v>0</v>
      </c>
      <c r="CY112">
        <f t="shared" si="594"/>
        <v>0</v>
      </c>
      <c r="CZ112">
        <f t="shared" si="595"/>
        <v>0</v>
      </c>
      <c r="DA112">
        <f t="shared" si="596"/>
        <v>0</v>
      </c>
      <c r="DB112">
        <f t="shared" si="597"/>
        <v>0</v>
      </c>
      <c r="DC112">
        <f t="shared" si="598"/>
        <v>0</v>
      </c>
      <c r="DD112">
        <f t="shared" si="599"/>
        <v>0</v>
      </c>
      <c r="DF112" s="79">
        <f t="shared" si="600"/>
        <v>0</v>
      </c>
      <c r="DG112" s="79">
        <f t="shared" si="601"/>
        <v>0</v>
      </c>
      <c r="DH112">
        <f t="shared" si="643"/>
        <v>0</v>
      </c>
      <c r="DI112">
        <f t="shared" si="606"/>
        <v>1</v>
      </c>
      <c r="DK112" s="79">
        <f t="shared" si="607"/>
        <v>0</v>
      </c>
      <c r="DL112" s="79">
        <f t="shared" si="608"/>
        <v>0</v>
      </c>
      <c r="DM112">
        <f t="shared" ref="DM112:DN112" si="744">IF(DK112+DL112=0,DM111,(DM111+DK112)*DK112)</f>
        <v>1</v>
      </c>
      <c r="DN112">
        <f t="shared" si="744"/>
        <v>0</v>
      </c>
      <c r="DP112" s="79">
        <f t="shared" si="610"/>
        <v>0</v>
      </c>
      <c r="DQ112" s="79">
        <f t="shared" si="611"/>
        <v>0</v>
      </c>
      <c r="DR112">
        <f t="shared" ref="DR112:DS112" si="745">IF(DP112+DQ112=0,DR111,(DR111+DP112)*DP112)</f>
        <v>0</v>
      </c>
      <c r="DS112">
        <f t="shared" si="745"/>
        <v>1</v>
      </c>
      <c r="DU112" s="79">
        <f t="shared" si="613"/>
        <v>0</v>
      </c>
      <c r="DV112" s="79">
        <f t="shared" si="614"/>
        <v>0</v>
      </c>
      <c r="DW112">
        <f t="shared" ref="DW112:DX112" si="746">IF(DU112+DV112=0,DW111,(DW111+DU112)*DU112)</f>
        <v>0</v>
      </c>
      <c r="DX112">
        <f t="shared" si="746"/>
        <v>1</v>
      </c>
      <c r="DZ112" s="79">
        <f t="shared" si="616"/>
        <v>0</v>
      </c>
      <c r="EA112" s="79">
        <f t="shared" si="617"/>
        <v>0</v>
      </c>
      <c r="EB112">
        <f t="shared" ref="EB112:EC112" si="747">IF(DZ112+EA112=0,EB111,(EB111+DZ112)*DZ112)</f>
        <v>0</v>
      </c>
      <c r="EC112">
        <f t="shared" si="747"/>
        <v>1</v>
      </c>
    </row>
    <row r="113" spans="1:133">
      <c r="A113" s="164"/>
      <c r="B113" s="164"/>
      <c r="C113" s="164"/>
      <c r="D113" s="164"/>
      <c r="E113" s="164"/>
      <c r="F113" s="163"/>
      <c r="G113" s="164"/>
      <c r="H113" s="164"/>
      <c r="I113" s="164"/>
      <c r="J113" s="164"/>
      <c r="AH113" s="72">
        <f t="shared" ref="AH113:AH176" si="748">COUNTIF(B113:E113,$M$56)+COUNTIF(B113:E113,$N$56)</f>
        <v>0</v>
      </c>
      <c r="AI113" s="72">
        <f t="shared" ref="AI113:AI176" si="749">COUNTIF(G113:J113,$M$56)+COUNTIF(G113:J113,$N$56)</f>
        <v>0</v>
      </c>
      <c r="AJ113" s="72">
        <f t="shared" ref="AJ113:AJ176" si="750">COUNTIF(B113:E113,$M$57)+COUNTIF(B113:E113,$N$57)</f>
        <v>0</v>
      </c>
      <c r="AK113" s="72">
        <f t="shared" ref="AK113:AK176" si="751">COUNTIF(G113:J113,$M$57)+COUNTIF(G113:J113,$N$57)</f>
        <v>0</v>
      </c>
      <c r="AL113" s="72">
        <f t="shared" ref="AL113:AL176" si="752">COUNTIF(B113:E113,$M$58)+COUNTIF(B113:E113,$N$58)</f>
        <v>0</v>
      </c>
      <c r="AM113" s="72">
        <f t="shared" ref="AM113:AM176" si="753">COUNTIF(G113:J113,$M$58)+COUNTIF(G113:J113,$N$58)</f>
        <v>0</v>
      </c>
      <c r="AN113" s="72">
        <f t="shared" ref="AN113:AN176" si="754">COUNTIF(B113:E113,$M$59)+COUNTIF(B113:E113,$N$59)</f>
        <v>0</v>
      </c>
      <c r="AO113" s="72">
        <f t="shared" ref="AO113:AO176" si="755">COUNTIF(G113:J113,$M$59)+COUNTIF(G113:J113,$N$59)</f>
        <v>0</v>
      </c>
      <c r="AP113" s="72">
        <f t="shared" ref="AP113:AP176" si="756">COUNTIF(B113:E113,$M$60)+COUNTIF(B113:E113,$N$60)</f>
        <v>0</v>
      </c>
      <c r="AQ113" s="72">
        <f t="shared" ref="AQ113:AQ176" si="757">COUNTIF(G113:J113,$M$60)+COUNTIF(G113:J113,$N$60)</f>
        <v>0</v>
      </c>
      <c r="AR113" s="72">
        <f t="shared" ref="AR113:AR176" si="758">COUNTIF(B113:E113,$M$61)+COUNTIF(B113:E113,$N$61)</f>
        <v>0</v>
      </c>
      <c r="AS113" s="72">
        <f t="shared" ref="AS113:AS176" si="759">COUNTIF(G113:J113,$M$61)+COUNTIF(G113:J113,$N$61)</f>
        <v>0</v>
      </c>
      <c r="AT113" s="72">
        <f t="shared" ref="AT113:AT176" si="760">COUNTIF(B113:E113,$M$62)+COUNTIF(B113:E113,$N$62)</f>
        <v>0</v>
      </c>
      <c r="AU113" s="72">
        <f t="shared" ref="AU113:AU176" si="761">COUNTIF(G113:J113,$M$62)+COUNTIF(G113:J113,$N$62)</f>
        <v>0</v>
      </c>
      <c r="AV113" s="72">
        <f t="shared" ref="AV113:AV176" si="762">COUNTIF(B113:E113,$M$63)+COUNTIF(B113:E113,$N$63)</f>
        <v>0</v>
      </c>
      <c r="AW113" s="72">
        <f t="shared" ref="AW113:AW176" si="763">COUNTIF(G113:J113,$M$63)+COUNTIF(G113:J113,$N$63)</f>
        <v>0</v>
      </c>
      <c r="AX113" s="72">
        <f t="shared" ref="AX113:AX176" si="764">COUNTIF(B113:E113,$M$64)+COUNTIF(B113:E113,$N$64)</f>
        <v>0</v>
      </c>
      <c r="AY113" s="72">
        <f t="shared" ref="AY113:AY176" si="765">COUNTIF(G113:J113,$M$64)+COUNTIF(G113:J113,$N$64)</f>
        <v>0</v>
      </c>
      <c r="AZ113" s="72">
        <f t="shared" ref="AZ113:AZ176" si="766">COUNTIF(B113:E113,$M$65)+COUNTIF(B113:E113,$N$65)</f>
        <v>0</v>
      </c>
      <c r="BA113" s="72">
        <f t="shared" ref="BA113:BA176" si="767">COUNTIF(G113:J113,$M$65)+COUNTIF(G113:J113,$N$65)</f>
        <v>0</v>
      </c>
      <c r="BB113" s="72">
        <f t="shared" ref="BB113:BB176" si="768">COUNTIF(B113:E113,$M$66)+COUNTIF(B113:E113,$N$66)</f>
        <v>0</v>
      </c>
      <c r="BC113" s="72">
        <f t="shared" ref="BC113:BC176" si="769">COUNTIF(G113:J113,$M$66)+COUNTIF(G113:J113,$N$66)</f>
        <v>0</v>
      </c>
      <c r="BD113" s="72">
        <f t="shared" ref="BD113:BD176" si="770">COUNTIF(B113:E113,$M$67)+COUNTIF(B113:E113,$N$67)</f>
        <v>0</v>
      </c>
      <c r="BE113" s="72">
        <f t="shared" ref="BE113:BE176" si="771">COUNTIF(G113:J113,$M$67)+COUNTIF(G113:J113,$N$67)</f>
        <v>0</v>
      </c>
      <c r="BF113" s="72">
        <f t="shared" ref="BF113:BF176" si="772">COUNTIF(B113:E113,$M$68)+COUNTIF(B113:E113,$N$68)</f>
        <v>0</v>
      </c>
      <c r="BG113" s="72">
        <f t="shared" ref="BG113:BG176" si="773">COUNTIF(G113:J113,$M$68)+COUNTIF(G113:J113,$N$68)</f>
        <v>0</v>
      </c>
      <c r="BH113" s="72">
        <f t="shared" ref="BH113:BH176" si="774">COUNTIF(B113:E113,$M$69)+COUNTIF(B113:E113,$N$69)</f>
        <v>0</v>
      </c>
      <c r="BI113" s="72">
        <f t="shared" ref="BI113:BI176" si="775">COUNTIF(G113:J113,$M$69)+COUNTIF(G113:J113,$N$69)</f>
        <v>0</v>
      </c>
      <c r="BJ113" s="72">
        <f t="shared" ref="BJ113:BJ176" si="776">COUNTIF(B113:E113,$M$70)+COUNTIF(B113:E113,$N$70)</f>
        <v>0</v>
      </c>
      <c r="BK113" s="72">
        <f t="shared" ref="BK113:BK176" si="777">COUNTIF(G113:J113,$M$70)+COUNTIF(G113:J113,$N$70)</f>
        <v>0</v>
      </c>
      <c r="BL113" s="72">
        <f t="shared" ref="BL113:BL176" si="778">COUNTIF(B113:E113,$M$71)+COUNTIF(B113:E113,$N$71)</f>
        <v>0</v>
      </c>
      <c r="BM113" s="72">
        <f t="shared" ref="BM113:BM176" si="779">COUNTIF(G113:J113,$M$71)+COUNTIF(G113:J113,$N$71)</f>
        <v>0</v>
      </c>
      <c r="BN113" s="72">
        <f t="shared" ref="BN113:BN176" si="780">COUNTIF(B113:E113,$M$72)+COUNTIF(B113:E113,$N$72)</f>
        <v>0</v>
      </c>
      <c r="BO113" s="72">
        <f t="shared" ref="BO113:BO176" si="781">COUNTIF(G113:J113,$M$72)+COUNTIF(G113:J113,$N$72)</f>
        <v>0</v>
      </c>
      <c r="BP113" s="72">
        <f t="shared" ref="BP113:BP176" si="782">COUNTIF(B113:E113,$M$73)+COUNTIF(B113:E113,$N$73)</f>
        <v>0</v>
      </c>
      <c r="BQ113" s="72">
        <f t="shared" ref="BQ113:BQ176" si="783">COUNTIF(G113:J113,$M$73)+COUNTIF(G113:J113,$N$73)</f>
        <v>0</v>
      </c>
      <c r="BR113" s="72">
        <f t="shared" ref="BR113:BR176" si="784">COUNTIF(B113:E113,$M$74)+COUNTIF(B113:E113,$N$74)</f>
        <v>0</v>
      </c>
      <c r="BS113" s="72">
        <f t="shared" ref="BS113:BS176" si="785">COUNTIF(G113:J113,$M$74)+COUNTIF(G113:J113,$N$74)</f>
        <v>0</v>
      </c>
      <c r="BT113" s="72">
        <f t="shared" ref="BT113:BT176" si="786">COUNTIF(B113:E113,$M$75)+COUNTIF(B113:E113,$N$75)</f>
        <v>0</v>
      </c>
      <c r="BU113" s="72">
        <f t="shared" ref="BU113:BU176" si="787">COUNTIF(G113:J113,$M$75)+COUNTIF(G113:J113,$N$75)</f>
        <v>0</v>
      </c>
      <c r="BW113">
        <f t="shared" ref="BW113:BW176" si="788">COUNTIF(B113:E113,$U$56)</f>
        <v>0</v>
      </c>
      <c r="BX113">
        <f t="shared" ref="BX113:BX176" si="789">COUNTIF(B113:E113,$X$56)</f>
        <v>0</v>
      </c>
      <c r="BY113">
        <f t="shared" ref="BY113:BY176" si="790">COUNTIF(G113:J113,$U$56)</f>
        <v>0</v>
      </c>
      <c r="BZ113">
        <f t="shared" ref="BZ113:BZ176" si="791">COUNTIF(G113:J113,$X$56)</f>
        <v>0</v>
      </c>
      <c r="CA113">
        <f t="shared" ref="CA113:CA176" si="792">IF(BW113+BX113+BY113+BZ113=1,0,IF(BW113+BX113=1,IF(BY113+BZ113=1,IF(BW113=0,0,1)),0))</f>
        <v>0</v>
      </c>
      <c r="CB113">
        <f t="shared" ref="CB113:CB176" si="793">IF(BW113+BX113+BY113+BZ113=1,0,IF(BW113+BX113=1,IF(BY113+BZ113=1,IF(BX113=0,0,1)),0))</f>
        <v>0</v>
      </c>
      <c r="CD113">
        <f t="shared" ref="CD113:CD176" si="794">COUNTIF(B113:E113,$U$57)</f>
        <v>0</v>
      </c>
      <c r="CE113">
        <f t="shared" ref="CE113:CE176" si="795">COUNTIF(B113:E113,$X$57)</f>
        <v>0</v>
      </c>
      <c r="CF113">
        <f t="shared" ref="CF113:CF176" si="796">COUNTIF(G113:J113,$U$57)</f>
        <v>0</v>
      </c>
      <c r="CG113">
        <f t="shared" ref="CG113:CG176" si="797">COUNTIF(G113:J113,$X$57)</f>
        <v>0</v>
      </c>
      <c r="CH113">
        <f t="shared" ref="CH113:CH176" si="798">IF(CD113+CE113+CF113+CG113=1,0,IF(CD113+CE113=1,IF(CF113+CG113=1,IF(CD113=0,0,1)),0))</f>
        <v>0</v>
      </c>
      <c r="CI113">
        <f t="shared" ref="CI113:CI176" si="799">IF(CD113+CE113+CF113+CG113=1,0,IF(CD113+CE113=1,IF(CF113+CG113=1,IF(CE113=0,0,1)),0))</f>
        <v>0</v>
      </c>
      <c r="CK113">
        <f t="shared" ref="CK113:CK176" si="800">COUNTIF(B113:E113,$U$58)</f>
        <v>0</v>
      </c>
      <c r="CL113">
        <f t="shared" ref="CL113:CL176" si="801">COUNTIF(B113:E113,$X$58)</f>
        <v>0</v>
      </c>
      <c r="CM113">
        <f t="shared" ref="CM113:CM176" si="802">COUNTIF(G113:J113,$U$58)</f>
        <v>0</v>
      </c>
      <c r="CN113">
        <f t="shared" ref="CN113:CN176" si="803">COUNTIF(G113:J113,$X$58)</f>
        <v>0</v>
      </c>
      <c r="CO113">
        <f t="shared" ref="CO113:CO176" si="804">IF(CK113+CL113+CM113+CN113=1,0,IF(CK113+CL113=1,IF(CM113+CN113=1,IF(CK113=0,0,1)),0))</f>
        <v>0</v>
      </c>
      <c r="CP113">
        <f t="shared" ref="CP113:CP176" si="805">IF(CK113+CL113+CM113+CN113=1,0,IF(CK113+CL113=1,IF(CM113+CN113=1,IF(CL113=0,0,1)),0))</f>
        <v>0</v>
      </c>
      <c r="CR113">
        <f t="shared" ref="CR113:CR176" si="806">COUNTIF(B113:E113,$U$59)</f>
        <v>0</v>
      </c>
      <c r="CS113">
        <f t="shared" ref="CS113:CS176" si="807">COUNTIF(B113:E113,$X$59)</f>
        <v>0</v>
      </c>
      <c r="CT113">
        <f t="shared" ref="CT113:CT176" si="808">COUNTIF(G113:J113,$U$59)</f>
        <v>0</v>
      </c>
      <c r="CU113">
        <f t="shared" ref="CU113:CU176" si="809">COUNTIF(G113:J113,$X$59)</f>
        <v>0</v>
      </c>
      <c r="CV113">
        <f t="shared" ref="CV113:CV176" si="810">IF(CR113+CS113+CT113+CU113=1,0,IF(CR113+CS113=1,IF(CT113+CU113=1,IF(CR113=0,0,1)),0))</f>
        <v>0</v>
      </c>
      <c r="CW113">
        <f t="shared" ref="CW113:CW176" si="811">IF(CR113+CS113+CT113+CU113=1,0,IF(CR113+CS113=1,IF(CT113+CU113=1,IF(CS113=0,0,1)),0))</f>
        <v>0</v>
      </c>
      <c r="CY113">
        <f t="shared" ref="CY113:CY176" si="812">COUNTIF(B113:E113,$U$60)</f>
        <v>0</v>
      </c>
      <c r="CZ113">
        <f t="shared" ref="CZ113:CZ176" si="813">COUNTIF(B113:E113,$X$60)</f>
        <v>0</v>
      </c>
      <c r="DA113">
        <f t="shared" ref="DA113:DA176" si="814">COUNTIF(G113:J113,$U$60)</f>
        <v>0</v>
      </c>
      <c r="DB113">
        <f t="shared" ref="DB113:DB176" si="815">COUNTIF(G113:J113,$X$60)</f>
        <v>0</v>
      </c>
      <c r="DC113">
        <f t="shared" ref="DC113:DC176" si="816">IF(CY113+CZ113+DA113+DB113=1,0,IF(CY113+CZ113=1,IF(DA113+DB113=1,IF(CY113=0,0,1)),0))</f>
        <v>0</v>
      </c>
      <c r="DD113">
        <f t="shared" ref="DD113:DD176" si="817">IF(CY113+CZ113+DA113+DB113=1,0,IF(CY113+CZ113=1,IF(DA113+DB113=1,IF(CZ113=0,0,1)),0))</f>
        <v>0</v>
      </c>
      <c r="DF113" s="79">
        <f t="shared" ref="DF113:DF176" si="818">COUNTIF(B113:E113,$Z$56)</f>
        <v>0</v>
      </c>
      <c r="DG113" s="79">
        <f t="shared" ref="DG113:DG176" si="819">COUNTIF(G113:J113,$Z$56)</f>
        <v>0</v>
      </c>
      <c r="DH113">
        <f t="shared" ref="DH113:DH176" si="820">IF(DF113+DG113=0,DH112,(DH112+DF113)*DF113)</f>
        <v>0</v>
      </c>
      <c r="DI113">
        <f t="shared" ref="DI113:DI176" si="821">IF(DG113+DH113=0,DI112,(DI112+DG113)*DG113)</f>
        <v>1</v>
      </c>
      <c r="DK113" s="79">
        <f t="shared" ref="DK113:DK176" si="822">COUNTIF(B113:E113,$Z$57)</f>
        <v>0</v>
      </c>
      <c r="DL113" s="79">
        <f t="shared" ref="DL113:DL176" si="823">COUNTIF(G113:J113,$Z$57)</f>
        <v>0</v>
      </c>
      <c r="DM113">
        <f t="shared" ref="DM113:DM176" si="824">IF(DK113+DL113=0,DM112,(DM112+DK113)*DK113)</f>
        <v>1</v>
      </c>
      <c r="DN113">
        <f t="shared" ref="DN113:DN176" si="825">IF(DL113+DM113=0,DN112,(DN112+DL113)*DL113)</f>
        <v>0</v>
      </c>
      <c r="DP113" s="79">
        <f t="shared" ref="DP113:DP176" si="826">COUNTIF(B113:E113,$Z$58)</f>
        <v>0</v>
      </c>
      <c r="DQ113" s="79">
        <f t="shared" ref="DQ113:DQ176" si="827">COUNTIF(G113:J113,$Z$58)</f>
        <v>0</v>
      </c>
      <c r="DR113">
        <f t="shared" ref="DR113:DR176" si="828">IF(DP113+DQ113=0,DR112,(DR112+DP113)*DP113)</f>
        <v>0</v>
      </c>
      <c r="DS113">
        <f t="shared" ref="DS113:DS176" si="829">IF(DQ113+DR113=0,DS112,(DS112+DQ113)*DQ113)</f>
        <v>1</v>
      </c>
      <c r="DU113" s="79">
        <f t="shared" ref="DU113:DU176" si="830">COUNTIF(B113:E113,$Z$59)</f>
        <v>0</v>
      </c>
      <c r="DV113" s="79">
        <f t="shared" ref="DV113:DV176" si="831">COUNTIF(G113:J113,$Z$59)</f>
        <v>0</v>
      </c>
      <c r="DW113">
        <f t="shared" ref="DW113:DW176" si="832">IF(DU113+DV113=0,DW112,(DW112+DU113)*DU113)</f>
        <v>0</v>
      </c>
      <c r="DX113">
        <f t="shared" ref="DX113:DX176" si="833">IF(DV113+DW113=0,DX112,(DX112+DV113)*DV113)</f>
        <v>1</v>
      </c>
      <c r="DZ113" s="79">
        <f t="shared" ref="DZ113:DZ176" si="834">COUNTIF(B113:E113,$Z$60)</f>
        <v>0</v>
      </c>
      <c r="EA113" s="79">
        <f t="shared" ref="EA113:EA176" si="835">COUNTIF(G113:J113,$Z$60)</f>
        <v>0</v>
      </c>
      <c r="EB113">
        <f t="shared" ref="EB113:EB176" si="836">IF(DZ113+EA113=0,EB112,(EB112+DZ113)*DZ113)</f>
        <v>0</v>
      </c>
      <c r="EC113">
        <f t="shared" ref="EC113:EC176" si="837">IF(EA113+EB113=0,EC112,(EC112+EA113)*EA113)</f>
        <v>1</v>
      </c>
    </row>
    <row r="114" spans="1:133">
      <c r="A114" s="164"/>
      <c r="B114" s="164"/>
      <c r="C114" s="164"/>
      <c r="D114" s="164"/>
      <c r="E114" s="164"/>
      <c r="F114" s="163"/>
      <c r="G114" s="164"/>
      <c r="H114" s="164"/>
      <c r="I114" s="164"/>
      <c r="J114" s="164"/>
      <c r="AH114" s="72">
        <f t="shared" si="748"/>
        <v>0</v>
      </c>
      <c r="AI114" s="72">
        <f t="shared" si="749"/>
        <v>0</v>
      </c>
      <c r="AJ114" s="72">
        <f t="shared" si="750"/>
        <v>0</v>
      </c>
      <c r="AK114" s="72">
        <f t="shared" si="751"/>
        <v>0</v>
      </c>
      <c r="AL114" s="72">
        <f t="shared" si="752"/>
        <v>0</v>
      </c>
      <c r="AM114" s="72">
        <f t="shared" si="753"/>
        <v>0</v>
      </c>
      <c r="AN114" s="72">
        <f t="shared" si="754"/>
        <v>0</v>
      </c>
      <c r="AO114" s="72">
        <f t="shared" si="755"/>
        <v>0</v>
      </c>
      <c r="AP114" s="72">
        <f t="shared" si="756"/>
        <v>0</v>
      </c>
      <c r="AQ114" s="72">
        <f t="shared" si="757"/>
        <v>0</v>
      </c>
      <c r="AR114" s="72">
        <f t="shared" si="758"/>
        <v>0</v>
      </c>
      <c r="AS114" s="72">
        <f t="shared" si="759"/>
        <v>0</v>
      </c>
      <c r="AT114" s="72">
        <f t="shared" si="760"/>
        <v>0</v>
      </c>
      <c r="AU114" s="72">
        <f t="shared" si="761"/>
        <v>0</v>
      </c>
      <c r="AV114" s="72">
        <f t="shared" si="762"/>
        <v>0</v>
      </c>
      <c r="AW114" s="72">
        <f t="shared" si="763"/>
        <v>0</v>
      </c>
      <c r="AX114" s="72">
        <f t="shared" si="764"/>
        <v>0</v>
      </c>
      <c r="AY114" s="72">
        <f t="shared" si="765"/>
        <v>0</v>
      </c>
      <c r="AZ114" s="72">
        <f t="shared" si="766"/>
        <v>0</v>
      </c>
      <c r="BA114" s="72">
        <f t="shared" si="767"/>
        <v>0</v>
      </c>
      <c r="BB114" s="72">
        <f t="shared" si="768"/>
        <v>0</v>
      </c>
      <c r="BC114" s="72">
        <f t="shared" si="769"/>
        <v>0</v>
      </c>
      <c r="BD114" s="72">
        <f t="shared" si="770"/>
        <v>0</v>
      </c>
      <c r="BE114" s="72">
        <f t="shared" si="771"/>
        <v>0</v>
      </c>
      <c r="BF114" s="72">
        <f t="shared" si="772"/>
        <v>0</v>
      </c>
      <c r="BG114" s="72">
        <f t="shared" si="773"/>
        <v>0</v>
      </c>
      <c r="BH114" s="72">
        <f t="shared" si="774"/>
        <v>0</v>
      </c>
      <c r="BI114" s="72">
        <f t="shared" si="775"/>
        <v>0</v>
      </c>
      <c r="BJ114" s="72">
        <f t="shared" si="776"/>
        <v>0</v>
      </c>
      <c r="BK114" s="72">
        <f t="shared" si="777"/>
        <v>0</v>
      </c>
      <c r="BL114" s="72">
        <f t="shared" si="778"/>
        <v>0</v>
      </c>
      <c r="BM114" s="72">
        <f t="shared" si="779"/>
        <v>0</v>
      </c>
      <c r="BN114" s="72">
        <f t="shared" si="780"/>
        <v>0</v>
      </c>
      <c r="BO114" s="72">
        <f t="shared" si="781"/>
        <v>0</v>
      </c>
      <c r="BP114" s="72">
        <f t="shared" si="782"/>
        <v>0</v>
      </c>
      <c r="BQ114" s="72">
        <f t="shared" si="783"/>
        <v>0</v>
      </c>
      <c r="BR114" s="72">
        <f t="shared" si="784"/>
        <v>0</v>
      </c>
      <c r="BS114" s="72">
        <f t="shared" si="785"/>
        <v>0</v>
      </c>
      <c r="BT114" s="72">
        <f t="shared" si="786"/>
        <v>0</v>
      </c>
      <c r="BU114" s="72">
        <f t="shared" si="787"/>
        <v>0</v>
      </c>
      <c r="BW114">
        <f t="shared" si="788"/>
        <v>0</v>
      </c>
      <c r="BX114">
        <f t="shared" si="789"/>
        <v>0</v>
      </c>
      <c r="BY114">
        <f t="shared" si="790"/>
        <v>0</v>
      </c>
      <c r="BZ114">
        <f t="shared" si="791"/>
        <v>0</v>
      </c>
      <c r="CA114">
        <f t="shared" si="792"/>
        <v>0</v>
      </c>
      <c r="CB114">
        <f t="shared" si="793"/>
        <v>0</v>
      </c>
      <c r="CD114">
        <f t="shared" si="794"/>
        <v>0</v>
      </c>
      <c r="CE114">
        <f t="shared" si="795"/>
        <v>0</v>
      </c>
      <c r="CF114">
        <f t="shared" si="796"/>
        <v>0</v>
      </c>
      <c r="CG114">
        <f t="shared" si="797"/>
        <v>0</v>
      </c>
      <c r="CH114">
        <f t="shared" si="798"/>
        <v>0</v>
      </c>
      <c r="CI114">
        <f t="shared" si="799"/>
        <v>0</v>
      </c>
      <c r="CK114">
        <f t="shared" si="800"/>
        <v>0</v>
      </c>
      <c r="CL114">
        <f t="shared" si="801"/>
        <v>0</v>
      </c>
      <c r="CM114">
        <f t="shared" si="802"/>
        <v>0</v>
      </c>
      <c r="CN114">
        <f t="shared" si="803"/>
        <v>0</v>
      </c>
      <c r="CO114">
        <f t="shared" si="804"/>
        <v>0</v>
      </c>
      <c r="CP114">
        <f t="shared" si="805"/>
        <v>0</v>
      </c>
      <c r="CR114">
        <f t="shared" si="806"/>
        <v>0</v>
      </c>
      <c r="CS114">
        <f t="shared" si="807"/>
        <v>0</v>
      </c>
      <c r="CT114">
        <f t="shared" si="808"/>
        <v>0</v>
      </c>
      <c r="CU114">
        <f t="shared" si="809"/>
        <v>0</v>
      </c>
      <c r="CV114">
        <f t="shared" si="810"/>
        <v>0</v>
      </c>
      <c r="CW114">
        <f t="shared" si="811"/>
        <v>0</v>
      </c>
      <c r="CY114">
        <f t="shared" si="812"/>
        <v>0</v>
      </c>
      <c r="CZ114">
        <f t="shared" si="813"/>
        <v>0</v>
      </c>
      <c r="DA114">
        <f t="shared" si="814"/>
        <v>0</v>
      </c>
      <c r="DB114">
        <f t="shared" si="815"/>
        <v>0</v>
      </c>
      <c r="DC114">
        <f t="shared" si="816"/>
        <v>0</v>
      </c>
      <c r="DD114">
        <f t="shared" si="817"/>
        <v>0</v>
      </c>
      <c r="DF114" s="79">
        <f t="shared" si="818"/>
        <v>0</v>
      </c>
      <c r="DG114" s="79">
        <f t="shared" si="819"/>
        <v>0</v>
      </c>
      <c r="DH114">
        <f t="shared" si="820"/>
        <v>0</v>
      </c>
      <c r="DI114">
        <f t="shared" si="821"/>
        <v>1</v>
      </c>
      <c r="DK114" s="79">
        <f t="shared" si="822"/>
        <v>0</v>
      </c>
      <c r="DL114" s="79">
        <f t="shared" si="823"/>
        <v>0</v>
      </c>
      <c r="DM114">
        <f t="shared" si="824"/>
        <v>1</v>
      </c>
      <c r="DN114">
        <f t="shared" si="825"/>
        <v>0</v>
      </c>
      <c r="DP114" s="79">
        <f t="shared" si="826"/>
        <v>0</v>
      </c>
      <c r="DQ114" s="79">
        <f t="shared" si="827"/>
        <v>0</v>
      </c>
      <c r="DR114">
        <f t="shared" si="828"/>
        <v>0</v>
      </c>
      <c r="DS114">
        <f t="shared" si="829"/>
        <v>1</v>
      </c>
      <c r="DU114" s="79">
        <f t="shared" si="830"/>
        <v>0</v>
      </c>
      <c r="DV114" s="79">
        <f t="shared" si="831"/>
        <v>0</v>
      </c>
      <c r="DW114">
        <f t="shared" si="832"/>
        <v>0</v>
      </c>
      <c r="DX114">
        <f t="shared" si="833"/>
        <v>1</v>
      </c>
      <c r="DZ114" s="79">
        <f t="shared" si="834"/>
        <v>0</v>
      </c>
      <c r="EA114" s="79">
        <f t="shared" si="835"/>
        <v>0</v>
      </c>
      <c r="EB114">
        <f t="shared" si="836"/>
        <v>0</v>
      </c>
      <c r="EC114">
        <f t="shared" si="837"/>
        <v>1</v>
      </c>
    </row>
    <row r="115" spans="1:133">
      <c r="A115" s="164"/>
      <c r="B115" s="164"/>
      <c r="C115" s="164"/>
      <c r="D115" s="164"/>
      <c r="E115" s="164"/>
      <c r="F115" s="163"/>
      <c r="G115" s="164"/>
      <c r="H115" s="164"/>
      <c r="I115" s="164"/>
      <c r="J115" s="164"/>
      <c r="AH115" s="72">
        <f t="shared" si="748"/>
        <v>0</v>
      </c>
      <c r="AI115" s="72">
        <f t="shared" si="749"/>
        <v>0</v>
      </c>
      <c r="AJ115" s="72">
        <f t="shared" si="750"/>
        <v>0</v>
      </c>
      <c r="AK115" s="72">
        <f t="shared" si="751"/>
        <v>0</v>
      </c>
      <c r="AL115" s="72">
        <f t="shared" si="752"/>
        <v>0</v>
      </c>
      <c r="AM115" s="72">
        <f t="shared" si="753"/>
        <v>0</v>
      </c>
      <c r="AN115" s="72">
        <f t="shared" si="754"/>
        <v>0</v>
      </c>
      <c r="AO115" s="72">
        <f t="shared" si="755"/>
        <v>0</v>
      </c>
      <c r="AP115" s="72">
        <f t="shared" si="756"/>
        <v>0</v>
      </c>
      <c r="AQ115" s="72">
        <f t="shared" si="757"/>
        <v>0</v>
      </c>
      <c r="AR115" s="72">
        <f t="shared" si="758"/>
        <v>0</v>
      </c>
      <c r="AS115" s="72">
        <f t="shared" si="759"/>
        <v>0</v>
      </c>
      <c r="AT115" s="72">
        <f t="shared" si="760"/>
        <v>0</v>
      </c>
      <c r="AU115" s="72">
        <f t="shared" si="761"/>
        <v>0</v>
      </c>
      <c r="AV115" s="72">
        <f t="shared" si="762"/>
        <v>0</v>
      </c>
      <c r="AW115" s="72">
        <f t="shared" si="763"/>
        <v>0</v>
      </c>
      <c r="AX115" s="72">
        <f t="shared" si="764"/>
        <v>0</v>
      </c>
      <c r="AY115" s="72">
        <f t="shared" si="765"/>
        <v>0</v>
      </c>
      <c r="AZ115" s="72">
        <f t="shared" si="766"/>
        <v>0</v>
      </c>
      <c r="BA115" s="72">
        <f t="shared" si="767"/>
        <v>0</v>
      </c>
      <c r="BB115" s="72">
        <f t="shared" si="768"/>
        <v>0</v>
      </c>
      <c r="BC115" s="72">
        <f t="shared" si="769"/>
        <v>0</v>
      </c>
      <c r="BD115" s="72">
        <f t="shared" si="770"/>
        <v>0</v>
      </c>
      <c r="BE115" s="72">
        <f t="shared" si="771"/>
        <v>0</v>
      </c>
      <c r="BF115" s="72">
        <f t="shared" si="772"/>
        <v>0</v>
      </c>
      <c r="BG115" s="72">
        <f t="shared" si="773"/>
        <v>0</v>
      </c>
      <c r="BH115" s="72">
        <f t="shared" si="774"/>
        <v>0</v>
      </c>
      <c r="BI115" s="72">
        <f t="shared" si="775"/>
        <v>0</v>
      </c>
      <c r="BJ115" s="72">
        <f t="shared" si="776"/>
        <v>0</v>
      </c>
      <c r="BK115" s="72">
        <f t="shared" si="777"/>
        <v>0</v>
      </c>
      <c r="BL115" s="72">
        <f t="shared" si="778"/>
        <v>0</v>
      </c>
      <c r="BM115" s="72">
        <f t="shared" si="779"/>
        <v>0</v>
      </c>
      <c r="BN115" s="72">
        <f t="shared" si="780"/>
        <v>0</v>
      </c>
      <c r="BO115" s="72">
        <f t="shared" si="781"/>
        <v>0</v>
      </c>
      <c r="BP115" s="72">
        <f t="shared" si="782"/>
        <v>0</v>
      </c>
      <c r="BQ115" s="72">
        <f t="shared" si="783"/>
        <v>0</v>
      </c>
      <c r="BR115" s="72">
        <f t="shared" si="784"/>
        <v>0</v>
      </c>
      <c r="BS115" s="72">
        <f t="shared" si="785"/>
        <v>0</v>
      </c>
      <c r="BT115" s="72">
        <f t="shared" si="786"/>
        <v>0</v>
      </c>
      <c r="BU115" s="72">
        <f t="shared" si="787"/>
        <v>0</v>
      </c>
      <c r="BW115">
        <f t="shared" si="788"/>
        <v>0</v>
      </c>
      <c r="BX115">
        <f t="shared" si="789"/>
        <v>0</v>
      </c>
      <c r="BY115">
        <f t="shared" si="790"/>
        <v>0</v>
      </c>
      <c r="BZ115">
        <f t="shared" si="791"/>
        <v>0</v>
      </c>
      <c r="CA115">
        <f t="shared" si="792"/>
        <v>0</v>
      </c>
      <c r="CB115">
        <f t="shared" si="793"/>
        <v>0</v>
      </c>
      <c r="CD115">
        <f t="shared" si="794"/>
        <v>0</v>
      </c>
      <c r="CE115">
        <f t="shared" si="795"/>
        <v>0</v>
      </c>
      <c r="CF115">
        <f t="shared" si="796"/>
        <v>0</v>
      </c>
      <c r="CG115">
        <f t="shared" si="797"/>
        <v>0</v>
      </c>
      <c r="CH115">
        <f t="shared" si="798"/>
        <v>0</v>
      </c>
      <c r="CI115">
        <f t="shared" si="799"/>
        <v>0</v>
      </c>
      <c r="CK115">
        <f t="shared" si="800"/>
        <v>0</v>
      </c>
      <c r="CL115">
        <f t="shared" si="801"/>
        <v>0</v>
      </c>
      <c r="CM115">
        <f t="shared" si="802"/>
        <v>0</v>
      </c>
      <c r="CN115">
        <f t="shared" si="803"/>
        <v>0</v>
      </c>
      <c r="CO115">
        <f t="shared" si="804"/>
        <v>0</v>
      </c>
      <c r="CP115">
        <f t="shared" si="805"/>
        <v>0</v>
      </c>
      <c r="CR115">
        <f t="shared" si="806"/>
        <v>0</v>
      </c>
      <c r="CS115">
        <f t="shared" si="807"/>
        <v>0</v>
      </c>
      <c r="CT115">
        <f t="shared" si="808"/>
        <v>0</v>
      </c>
      <c r="CU115">
        <f t="shared" si="809"/>
        <v>0</v>
      </c>
      <c r="CV115">
        <f t="shared" si="810"/>
        <v>0</v>
      </c>
      <c r="CW115">
        <f t="shared" si="811"/>
        <v>0</v>
      </c>
      <c r="CY115">
        <f t="shared" si="812"/>
        <v>0</v>
      </c>
      <c r="CZ115">
        <f t="shared" si="813"/>
        <v>0</v>
      </c>
      <c r="DA115">
        <f t="shared" si="814"/>
        <v>0</v>
      </c>
      <c r="DB115">
        <f t="shared" si="815"/>
        <v>0</v>
      </c>
      <c r="DC115">
        <f t="shared" si="816"/>
        <v>0</v>
      </c>
      <c r="DD115">
        <f t="shared" si="817"/>
        <v>0</v>
      </c>
      <c r="DF115" s="79">
        <f t="shared" si="818"/>
        <v>0</v>
      </c>
      <c r="DG115" s="79">
        <f t="shared" si="819"/>
        <v>0</v>
      </c>
      <c r="DH115">
        <f t="shared" si="820"/>
        <v>0</v>
      </c>
      <c r="DI115">
        <f t="shared" si="821"/>
        <v>1</v>
      </c>
      <c r="DK115" s="79">
        <f t="shared" si="822"/>
        <v>0</v>
      </c>
      <c r="DL115" s="79">
        <f t="shared" si="823"/>
        <v>0</v>
      </c>
      <c r="DM115">
        <f t="shared" si="824"/>
        <v>1</v>
      </c>
      <c r="DN115">
        <f t="shared" si="825"/>
        <v>0</v>
      </c>
      <c r="DP115" s="79">
        <f t="shared" si="826"/>
        <v>0</v>
      </c>
      <c r="DQ115" s="79">
        <f t="shared" si="827"/>
        <v>0</v>
      </c>
      <c r="DR115">
        <f t="shared" si="828"/>
        <v>0</v>
      </c>
      <c r="DS115">
        <f t="shared" si="829"/>
        <v>1</v>
      </c>
      <c r="DU115" s="79">
        <f t="shared" si="830"/>
        <v>0</v>
      </c>
      <c r="DV115" s="79">
        <f t="shared" si="831"/>
        <v>0</v>
      </c>
      <c r="DW115">
        <f t="shared" si="832"/>
        <v>0</v>
      </c>
      <c r="DX115">
        <f t="shared" si="833"/>
        <v>1</v>
      </c>
      <c r="DZ115" s="79">
        <f t="shared" si="834"/>
        <v>0</v>
      </c>
      <c r="EA115" s="79">
        <f t="shared" si="835"/>
        <v>0</v>
      </c>
      <c r="EB115">
        <f t="shared" si="836"/>
        <v>0</v>
      </c>
      <c r="EC115">
        <f t="shared" si="837"/>
        <v>1</v>
      </c>
    </row>
    <row r="116" spans="1:133">
      <c r="A116" s="164"/>
      <c r="B116" s="164"/>
      <c r="C116" s="164"/>
      <c r="D116" s="164"/>
      <c r="E116" s="164"/>
      <c r="F116" s="163"/>
      <c r="G116" s="164"/>
      <c r="H116" s="164"/>
      <c r="I116" s="164"/>
      <c r="J116" s="164"/>
      <c r="AH116" s="72">
        <f t="shared" si="748"/>
        <v>0</v>
      </c>
      <c r="AI116" s="72">
        <f t="shared" si="749"/>
        <v>0</v>
      </c>
      <c r="AJ116" s="72">
        <f t="shared" si="750"/>
        <v>0</v>
      </c>
      <c r="AK116" s="72">
        <f t="shared" si="751"/>
        <v>0</v>
      </c>
      <c r="AL116" s="72">
        <f t="shared" si="752"/>
        <v>0</v>
      </c>
      <c r="AM116" s="72">
        <f t="shared" si="753"/>
        <v>0</v>
      </c>
      <c r="AN116" s="72">
        <f t="shared" si="754"/>
        <v>0</v>
      </c>
      <c r="AO116" s="72">
        <f t="shared" si="755"/>
        <v>0</v>
      </c>
      <c r="AP116" s="72">
        <f t="shared" si="756"/>
        <v>0</v>
      </c>
      <c r="AQ116" s="72">
        <f t="shared" si="757"/>
        <v>0</v>
      </c>
      <c r="AR116" s="72">
        <f t="shared" si="758"/>
        <v>0</v>
      </c>
      <c r="AS116" s="72">
        <f t="shared" si="759"/>
        <v>0</v>
      </c>
      <c r="AT116" s="72">
        <f t="shared" si="760"/>
        <v>0</v>
      </c>
      <c r="AU116" s="72">
        <f t="shared" si="761"/>
        <v>0</v>
      </c>
      <c r="AV116" s="72">
        <f t="shared" si="762"/>
        <v>0</v>
      </c>
      <c r="AW116" s="72">
        <f t="shared" si="763"/>
        <v>0</v>
      </c>
      <c r="AX116" s="72">
        <f t="shared" si="764"/>
        <v>0</v>
      </c>
      <c r="AY116" s="72">
        <f t="shared" si="765"/>
        <v>0</v>
      </c>
      <c r="AZ116" s="72">
        <f t="shared" si="766"/>
        <v>0</v>
      </c>
      <c r="BA116" s="72">
        <f t="shared" si="767"/>
        <v>0</v>
      </c>
      <c r="BB116" s="72">
        <f t="shared" si="768"/>
        <v>0</v>
      </c>
      <c r="BC116" s="72">
        <f t="shared" si="769"/>
        <v>0</v>
      </c>
      <c r="BD116" s="72">
        <f t="shared" si="770"/>
        <v>0</v>
      </c>
      <c r="BE116" s="72">
        <f t="shared" si="771"/>
        <v>0</v>
      </c>
      <c r="BF116" s="72">
        <f t="shared" si="772"/>
        <v>0</v>
      </c>
      <c r="BG116" s="72">
        <f t="shared" si="773"/>
        <v>0</v>
      </c>
      <c r="BH116" s="72">
        <f t="shared" si="774"/>
        <v>0</v>
      </c>
      <c r="BI116" s="72">
        <f t="shared" si="775"/>
        <v>0</v>
      </c>
      <c r="BJ116" s="72">
        <f t="shared" si="776"/>
        <v>0</v>
      </c>
      <c r="BK116" s="72">
        <f t="shared" si="777"/>
        <v>0</v>
      </c>
      <c r="BL116" s="72">
        <f t="shared" si="778"/>
        <v>0</v>
      </c>
      <c r="BM116" s="72">
        <f t="shared" si="779"/>
        <v>0</v>
      </c>
      <c r="BN116" s="72">
        <f t="shared" si="780"/>
        <v>0</v>
      </c>
      <c r="BO116" s="72">
        <f t="shared" si="781"/>
        <v>0</v>
      </c>
      <c r="BP116" s="72">
        <f t="shared" si="782"/>
        <v>0</v>
      </c>
      <c r="BQ116" s="72">
        <f t="shared" si="783"/>
        <v>0</v>
      </c>
      <c r="BR116" s="72">
        <f t="shared" si="784"/>
        <v>0</v>
      </c>
      <c r="BS116" s="72">
        <f t="shared" si="785"/>
        <v>0</v>
      </c>
      <c r="BT116" s="72">
        <f t="shared" si="786"/>
        <v>0</v>
      </c>
      <c r="BU116" s="72">
        <f t="shared" si="787"/>
        <v>0</v>
      </c>
      <c r="BW116">
        <f t="shared" si="788"/>
        <v>0</v>
      </c>
      <c r="BX116">
        <f t="shared" si="789"/>
        <v>0</v>
      </c>
      <c r="BY116">
        <f t="shared" si="790"/>
        <v>0</v>
      </c>
      <c r="BZ116">
        <f t="shared" si="791"/>
        <v>0</v>
      </c>
      <c r="CA116">
        <f t="shared" si="792"/>
        <v>0</v>
      </c>
      <c r="CB116">
        <f t="shared" si="793"/>
        <v>0</v>
      </c>
      <c r="CD116">
        <f t="shared" si="794"/>
        <v>0</v>
      </c>
      <c r="CE116">
        <f t="shared" si="795"/>
        <v>0</v>
      </c>
      <c r="CF116">
        <f t="shared" si="796"/>
        <v>0</v>
      </c>
      <c r="CG116">
        <f t="shared" si="797"/>
        <v>0</v>
      </c>
      <c r="CH116">
        <f t="shared" si="798"/>
        <v>0</v>
      </c>
      <c r="CI116">
        <f t="shared" si="799"/>
        <v>0</v>
      </c>
      <c r="CK116">
        <f t="shared" si="800"/>
        <v>0</v>
      </c>
      <c r="CL116">
        <f t="shared" si="801"/>
        <v>0</v>
      </c>
      <c r="CM116">
        <f t="shared" si="802"/>
        <v>0</v>
      </c>
      <c r="CN116">
        <f t="shared" si="803"/>
        <v>0</v>
      </c>
      <c r="CO116">
        <f t="shared" si="804"/>
        <v>0</v>
      </c>
      <c r="CP116">
        <f t="shared" si="805"/>
        <v>0</v>
      </c>
      <c r="CR116">
        <f t="shared" si="806"/>
        <v>0</v>
      </c>
      <c r="CS116">
        <f t="shared" si="807"/>
        <v>0</v>
      </c>
      <c r="CT116">
        <f t="shared" si="808"/>
        <v>0</v>
      </c>
      <c r="CU116">
        <f t="shared" si="809"/>
        <v>0</v>
      </c>
      <c r="CV116">
        <f t="shared" si="810"/>
        <v>0</v>
      </c>
      <c r="CW116">
        <f t="shared" si="811"/>
        <v>0</v>
      </c>
      <c r="CY116">
        <f t="shared" si="812"/>
        <v>0</v>
      </c>
      <c r="CZ116">
        <f t="shared" si="813"/>
        <v>0</v>
      </c>
      <c r="DA116">
        <f t="shared" si="814"/>
        <v>0</v>
      </c>
      <c r="DB116">
        <f t="shared" si="815"/>
        <v>0</v>
      </c>
      <c r="DC116">
        <f t="shared" si="816"/>
        <v>0</v>
      </c>
      <c r="DD116">
        <f t="shared" si="817"/>
        <v>0</v>
      </c>
      <c r="DF116" s="79">
        <f t="shared" si="818"/>
        <v>0</v>
      </c>
      <c r="DG116" s="79">
        <f t="shared" si="819"/>
        <v>0</v>
      </c>
      <c r="DH116">
        <f t="shared" si="820"/>
        <v>0</v>
      </c>
      <c r="DI116">
        <f t="shared" si="821"/>
        <v>1</v>
      </c>
      <c r="DK116" s="79">
        <f t="shared" si="822"/>
        <v>0</v>
      </c>
      <c r="DL116" s="79">
        <f t="shared" si="823"/>
        <v>0</v>
      </c>
      <c r="DM116">
        <f t="shared" si="824"/>
        <v>1</v>
      </c>
      <c r="DN116">
        <f t="shared" si="825"/>
        <v>0</v>
      </c>
      <c r="DP116" s="79">
        <f t="shared" si="826"/>
        <v>0</v>
      </c>
      <c r="DQ116" s="79">
        <f t="shared" si="827"/>
        <v>0</v>
      </c>
      <c r="DR116">
        <f t="shared" si="828"/>
        <v>0</v>
      </c>
      <c r="DS116">
        <f t="shared" si="829"/>
        <v>1</v>
      </c>
      <c r="DU116" s="79">
        <f t="shared" si="830"/>
        <v>0</v>
      </c>
      <c r="DV116" s="79">
        <f t="shared" si="831"/>
        <v>0</v>
      </c>
      <c r="DW116">
        <f t="shared" si="832"/>
        <v>0</v>
      </c>
      <c r="DX116">
        <f t="shared" si="833"/>
        <v>1</v>
      </c>
      <c r="DZ116" s="79">
        <f t="shared" si="834"/>
        <v>0</v>
      </c>
      <c r="EA116" s="79">
        <f t="shared" si="835"/>
        <v>0</v>
      </c>
      <c r="EB116">
        <f t="shared" si="836"/>
        <v>0</v>
      </c>
      <c r="EC116">
        <f t="shared" si="837"/>
        <v>1</v>
      </c>
    </row>
    <row r="117" spans="1:133">
      <c r="A117" s="164"/>
      <c r="B117" s="164"/>
      <c r="C117" s="164"/>
      <c r="D117" s="164"/>
      <c r="E117" s="164"/>
      <c r="F117" s="163"/>
      <c r="G117" s="164"/>
      <c r="H117" s="164"/>
      <c r="I117" s="164"/>
      <c r="J117" s="164"/>
      <c r="AH117" s="72">
        <f t="shared" si="748"/>
        <v>0</v>
      </c>
      <c r="AI117" s="72">
        <f t="shared" si="749"/>
        <v>0</v>
      </c>
      <c r="AJ117" s="72">
        <f t="shared" si="750"/>
        <v>0</v>
      </c>
      <c r="AK117" s="72">
        <f t="shared" si="751"/>
        <v>0</v>
      </c>
      <c r="AL117" s="72">
        <f t="shared" si="752"/>
        <v>0</v>
      </c>
      <c r="AM117" s="72">
        <f t="shared" si="753"/>
        <v>0</v>
      </c>
      <c r="AN117" s="72">
        <f t="shared" si="754"/>
        <v>0</v>
      </c>
      <c r="AO117" s="72">
        <f t="shared" si="755"/>
        <v>0</v>
      </c>
      <c r="AP117" s="72">
        <f t="shared" si="756"/>
        <v>0</v>
      </c>
      <c r="AQ117" s="72">
        <f t="shared" si="757"/>
        <v>0</v>
      </c>
      <c r="AR117" s="72">
        <f t="shared" si="758"/>
        <v>0</v>
      </c>
      <c r="AS117" s="72">
        <f t="shared" si="759"/>
        <v>0</v>
      </c>
      <c r="AT117" s="72">
        <f t="shared" si="760"/>
        <v>0</v>
      </c>
      <c r="AU117" s="72">
        <f t="shared" si="761"/>
        <v>0</v>
      </c>
      <c r="AV117" s="72">
        <f t="shared" si="762"/>
        <v>0</v>
      </c>
      <c r="AW117" s="72">
        <f t="shared" si="763"/>
        <v>0</v>
      </c>
      <c r="AX117" s="72">
        <f t="shared" si="764"/>
        <v>0</v>
      </c>
      <c r="AY117" s="72">
        <f t="shared" si="765"/>
        <v>0</v>
      </c>
      <c r="AZ117" s="72">
        <f t="shared" si="766"/>
        <v>0</v>
      </c>
      <c r="BA117" s="72">
        <f t="shared" si="767"/>
        <v>0</v>
      </c>
      <c r="BB117" s="72">
        <f t="shared" si="768"/>
        <v>0</v>
      </c>
      <c r="BC117" s="72">
        <f t="shared" si="769"/>
        <v>0</v>
      </c>
      <c r="BD117" s="72">
        <f t="shared" si="770"/>
        <v>0</v>
      </c>
      <c r="BE117" s="72">
        <f t="shared" si="771"/>
        <v>0</v>
      </c>
      <c r="BF117" s="72">
        <f t="shared" si="772"/>
        <v>0</v>
      </c>
      <c r="BG117" s="72">
        <f t="shared" si="773"/>
        <v>0</v>
      </c>
      <c r="BH117" s="72">
        <f t="shared" si="774"/>
        <v>0</v>
      </c>
      <c r="BI117" s="72">
        <f t="shared" si="775"/>
        <v>0</v>
      </c>
      <c r="BJ117" s="72">
        <f t="shared" si="776"/>
        <v>0</v>
      </c>
      <c r="BK117" s="72">
        <f t="shared" si="777"/>
        <v>0</v>
      </c>
      <c r="BL117" s="72">
        <f t="shared" si="778"/>
        <v>0</v>
      </c>
      <c r="BM117" s="72">
        <f t="shared" si="779"/>
        <v>0</v>
      </c>
      <c r="BN117" s="72">
        <f t="shared" si="780"/>
        <v>0</v>
      </c>
      <c r="BO117" s="72">
        <f t="shared" si="781"/>
        <v>0</v>
      </c>
      <c r="BP117" s="72">
        <f t="shared" si="782"/>
        <v>0</v>
      </c>
      <c r="BQ117" s="72">
        <f t="shared" si="783"/>
        <v>0</v>
      </c>
      <c r="BR117" s="72">
        <f t="shared" si="784"/>
        <v>0</v>
      </c>
      <c r="BS117" s="72">
        <f t="shared" si="785"/>
        <v>0</v>
      </c>
      <c r="BT117" s="72">
        <f t="shared" si="786"/>
        <v>0</v>
      </c>
      <c r="BU117" s="72">
        <f t="shared" si="787"/>
        <v>0</v>
      </c>
      <c r="BW117">
        <f t="shared" si="788"/>
        <v>0</v>
      </c>
      <c r="BX117">
        <f t="shared" si="789"/>
        <v>0</v>
      </c>
      <c r="BY117">
        <f t="shared" si="790"/>
        <v>0</v>
      </c>
      <c r="BZ117">
        <f t="shared" si="791"/>
        <v>0</v>
      </c>
      <c r="CA117">
        <f t="shared" si="792"/>
        <v>0</v>
      </c>
      <c r="CB117">
        <f t="shared" si="793"/>
        <v>0</v>
      </c>
      <c r="CD117">
        <f t="shared" si="794"/>
        <v>0</v>
      </c>
      <c r="CE117">
        <f t="shared" si="795"/>
        <v>0</v>
      </c>
      <c r="CF117">
        <f t="shared" si="796"/>
        <v>0</v>
      </c>
      <c r="CG117">
        <f t="shared" si="797"/>
        <v>0</v>
      </c>
      <c r="CH117">
        <f t="shared" si="798"/>
        <v>0</v>
      </c>
      <c r="CI117">
        <f t="shared" si="799"/>
        <v>0</v>
      </c>
      <c r="CK117">
        <f t="shared" si="800"/>
        <v>0</v>
      </c>
      <c r="CL117">
        <f t="shared" si="801"/>
        <v>0</v>
      </c>
      <c r="CM117">
        <f t="shared" si="802"/>
        <v>0</v>
      </c>
      <c r="CN117">
        <f t="shared" si="803"/>
        <v>0</v>
      </c>
      <c r="CO117">
        <f t="shared" si="804"/>
        <v>0</v>
      </c>
      <c r="CP117">
        <f t="shared" si="805"/>
        <v>0</v>
      </c>
      <c r="CR117">
        <f t="shared" si="806"/>
        <v>0</v>
      </c>
      <c r="CS117">
        <f t="shared" si="807"/>
        <v>0</v>
      </c>
      <c r="CT117">
        <f t="shared" si="808"/>
        <v>0</v>
      </c>
      <c r="CU117">
        <f t="shared" si="809"/>
        <v>0</v>
      </c>
      <c r="CV117">
        <f t="shared" si="810"/>
        <v>0</v>
      </c>
      <c r="CW117">
        <f t="shared" si="811"/>
        <v>0</v>
      </c>
      <c r="CY117">
        <f t="shared" si="812"/>
        <v>0</v>
      </c>
      <c r="CZ117">
        <f t="shared" si="813"/>
        <v>0</v>
      </c>
      <c r="DA117">
        <f t="shared" si="814"/>
        <v>0</v>
      </c>
      <c r="DB117">
        <f t="shared" si="815"/>
        <v>0</v>
      </c>
      <c r="DC117">
        <f t="shared" si="816"/>
        <v>0</v>
      </c>
      <c r="DD117">
        <f t="shared" si="817"/>
        <v>0</v>
      </c>
      <c r="DF117" s="79">
        <f t="shared" si="818"/>
        <v>0</v>
      </c>
      <c r="DG117" s="79">
        <f t="shared" si="819"/>
        <v>0</v>
      </c>
      <c r="DH117">
        <f t="shared" si="820"/>
        <v>0</v>
      </c>
      <c r="DI117">
        <f t="shared" si="821"/>
        <v>1</v>
      </c>
      <c r="DK117" s="79">
        <f t="shared" si="822"/>
        <v>0</v>
      </c>
      <c r="DL117" s="79">
        <f t="shared" si="823"/>
        <v>0</v>
      </c>
      <c r="DM117">
        <f t="shared" si="824"/>
        <v>1</v>
      </c>
      <c r="DN117">
        <f t="shared" si="825"/>
        <v>0</v>
      </c>
      <c r="DP117" s="79">
        <f t="shared" si="826"/>
        <v>0</v>
      </c>
      <c r="DQ117" s="79">
        <f t="shared" si="827"/>
        <v>0</v>
      </c>
      <c r="DR117">
        <f t="shared" si="828"/>
        <v>0</v>
      </c>
      <c r="DS117">
        <f t="shared" si="829"/>
        <v>1</v>
      </c>
      <c r="DU117" s="79">
        <f t="shared" si="830"/>
        <v>0</v>
      </c>
      <c r="DV117" s="79">
        <f t="shared" si="831"/>
        <v>0</v>
      </c>
      <c r="DW117">
        <f t="shared" si="832"/>
        <v>0</v>
      </c>
      <c r="DX117">
        <f t="shared" si="833"/>
        <v>1</v>
      </c>
      <c r="DZ117" s="79">
        <f t="shared" si="834"/>
        <v>0</v>
      </c>
      <c r="EA117" s="79">
        <f t="shared" si="835"/>
        <v>0</v>
      </c>
      <c r="EB117">
        <f t="shared" si="836"/>
        <v>0</v>
      </c>
      <c r="EC117">
        <f t="shared" si="837"/>
        <v>1</v>
      </c>
    </row>
    <row r="118" spans="1:133">
      <c r="A118" s="164"/>
      <c r="B118" s="164"/>
      <c r="C118" s="164"/>
      <c r="D118" s="164"/>
      <c r="E118" s="164"/>
      <c r="F118" s="163"/>
      <c r="G118" s="164"/>
      <c r="H118" s="164"/>
      <c r="I118" s="164"/>
      <c r="J118" s="164"/>
      <c r="AH118" s="72">
        <f t="shared" si="748"/>
        <v>0</v>
      </c>
      <c r="AI118" s="72">
        <f t="shared" si="749"/>
        <v>0</v>
      </c>
      <c r="AJ118" s="72">
        <f t="shared" si="750"/>
        <v>0</v>
      </c>
      <c r="AK118" s="72">
        <f t="shared" si="751"/>
        <v>0</v>
      </c>
      <c r="AL118" s="72">
        <f t="shared" si="752"/>
        <v>0</v>
      </c>
      <c r="AM118" s="72">
        <f t="shared" si="753"/>
        <v>0</v>
      </c>
      <c r="AN118" s="72">
        <f t="shared" si="754"/>
        <v>0</v>
      </c>
      <c r="AO118" s="72">
        <f t="shared" si="755"/>
        <v>0</v>
      </c>
      <c r="AP118" s="72">
        <f t="shared" si="756"/>
        <v>0</v>
      </c>
      <c r="AQ118" s="72">
        <f t="shared" si="757"/>
        <v>0</v>
      </c>
      <c r="AR118" s="72">
        <f t="shared" si="758"/>
        <v>0</v>
      </c>
      <c r="AS118" s="72">
        <f t="shared" si="759"/>
        <v>0</v>
      </c>
      <c r="AT118" s="72">
        <f t="shared" si="760"/>
        <v>0</v>
      </c>
      <c r="AU118" s="72">
        <f t="shared" si="761"/>
        <v>0</v>
      </c>
      <c r="AV118" s="72">
        <f t="shared" si="762"/>
        <v>0</v>
      </c>
      <c r="AW118" s="72">
        <f t="shared" si="763"/>
        <v>0</v>
      </c>
      <c r="AX118" s="72">
        <f t="shared" si="764"/>
        <v>0</v>
      </c>
      <c r="AY118" s="72">
        <f t="shared" si="765"/>
        <v>0</v>
      </c>
      <c r="AZ118" s="72">
        <f t="shared" si="766"/>
        <v>0</v>
      </c>
      <c r="BA118" s="72">
        <f t="shared" si="767"/>
        <v>0</v>
      </c>
      <c r="BB118" s="72">
        <f t="shared" si="768"/>
        <v>0</v>
      </c>
      <c r="BC118" s="72">
        <f t="shared" si="769"/>
        <v>0</v>
      </c>
      <c r="BD118" s="72">
        <f t="shared" si="770"/>
        <v>0</v>
      </c>
      <c r="BE118" s="72">
        <f t="shared" si="771"/>
        <v>0</v>
      </c>
      <c r="BF118" s="72">
        <f t="shared" si="772"/>
        <v>0</v>
      </c>
      <c r="BG118" s="72">
        <f t="shared" si="773"/>
        <v>0</v>
      </c>
      <c r="BH118" s="72">
        <f t="shared" si="774"/>
        <v>0</v>
      </c>
      <c r="BI118" s="72">
        <f t="shared" si="775"/>
        <v>0</v>
      </c>
      <c r="BJ118" s="72">
        <f t="shared" si="776"/>
        <v>0</v>
      </c>
      <c r="BK118" s="72">
        <f t="shared" si="777"/>
        <v>0</v>
      </c>
      <c r="BL118" s="72">
        <f t="shared" si="778"/>
        <v>0</v>
      </c>
      <c r="BM118" s="72">
        <f t="shared" si="779"/>
        <v>0</v>
      </c>
      <c r="BN118" s="72">
        <f t="shared" si="780"/>
        <v>0</v>
      </c>
      <c r="BO118" s="72">
        <f t="shared" si="781"/>
        <v>0</v>
      </c>
      <c r="BP118" s="72">
        <f t="shared" si="782"/>
        <v>0</v>
      </c>
      <c r="BQ118" s="72">
        <f t="shared" si="783"/>
        <v>0</v>
      </c>
      <c r="BR118" s="72">
        <f t="shared" si="784"/>
        <v>0</v>
      </c>
      <c r="BS118" s="72">
        <f t="shared" si="785"/>
        <v>0</v>
      </c>
      <c r="BT118" s="72">
        <f t="shared" si="786"/>
        <v>0</v>
      </c>
      <c r="BU118" s="72">
        <f t="shared" si="787"/>
        <v>0</v>
      </c>
      <c r="BW118">
        <f t="shared" si="788"/>
        <v>0</v>
      </c>
      <c r="BX118">
        <f t="shared" si="789"/>
        <v>0</v>
      </c>
      <c r="BY118">
        <f t="shared" si="790"/>
        <v>0</v>
      </c>
      <c r="BZ118">
        <f t="shared" si="791"/>
        <v>0</v>
      </c>
      <c r="CA118">
        <f t="shared" si="792"/>
        <v>0</v>
      </c>
      <c r="CB118">
        <f t="shared" si="793"/>
        <v>0</v>
      </c>
      <c r="CD118">
        <f t="shared" si="794"/>
        <v>0</v>
      </c>
      <c r="CE118">
        <f t="shared" si="795"/>
        <v>0</v>
      </c>
      <c r="CF118">
        <f t="shared" si="796"/>
        <v>0</v>
      </c>
      <c r="CG118">
        <f t="shared" si="797"/>
        <v>0</v>
      </c>
      <c r="CH118">
        <f t="shared" si="798"/>
        <v>0</v>
      </c>
      <c r="CI118">
        <f t="shared" si="799"/>
        <v>0</v>
      </c>
      <c r="CK118">
        <f t="shared" si="800"/>
        <v>0</v>
      </c>
      <c r="CL118">
        <f t="shared" si="801"/>
        <v>0</v>
      </c>
      <c r="CM118">
        <f t="shared" si="802"/>
        <v>0</v>
      </c>
      <c r="CN118">
        <f t="shared" si="803"/>
        <v>0</v>
      </c>
      <c r="CO118">
        <f t="shared" si="804"/>
        <v>0</v>
      </c>
      <c r="CP118">
        <f t="shared" si="805"/>
        <v>0</v>
      </c>
      <c r="CR118">
        <f t="shared" si="806"/>
        <v>0</v>
      </c>
      <c r="CS118">
        <f t="shared" si="807"/>
        <v>0</v>
      </c>
      <c r="CT118">
        <f t="shared" si="808"/>
        <v>0</v>
      </c>
      <c r="CU118">
        <f t="shared" si="809"/>
        <v>0</v>
      </c>
      <c r="CV118">
        <f t="shared" si="810"/>
        <v>0</v>
      </c>
      <c r="CW118">
        <f t="shared" si="811"/>
        <v>0</v>
      </c>
      <c r="CY118">
        <f t="shared" si="812"/>
        <v>0</v>
      </c>
      <c r="CZ118">
        <f t="shared" si="813"/>
        <v>0</v>
      </c>
      <c r="DA118">
        <f t="shared" si="814"/>
        <v>0</v>
      </c>
      <c r="DB118">
        <f t="shared" si="815"/>
        <v>0</v>
      </c>
      <c r="DC118">
        <f t="shared" si="816"/>
        <v>0</v>
      </c>
      <c r="DD118">
        <f t="shared" si="817"/>
        <v>0</v>
      </c>
      <c r="DF118" s="79">
        <f t="shared" si="818"/>
        <v>0</v>
      </c>
      <c r="DG118" s="79">
        <f t="shared" si="819"/>
        <v>0</v>
      </c>
      <c r="DH118">
        <f t="shared" si="820"/>
        <v>0</v>
      </c>
      <c r="DI118">
        <f t="shared" si="821"/>
        <v>1</v>
      </c>
      <c r="DK118" s="79">
        <f t="shared" si="822"/>
        <v>0</v>
      </c>
      <c r="DL118" s="79">
        <f t="shared" si="823"/>
        <v>0</v>
      </c>
      <c r="DM118">
        <f t="shared" si="824"/>
        <v>1</v>
      </c>
      <c r="DN118">
        <f t="shared" si="825"/>
        <v>0</v>
      </c>
      <c r="DP118" s="79">
        <f t="shared" si="826"/>
        <v>0</v>
      </c>
      <c r="DQ118" s="79">
        <f t="shared" si="827"/>
        <v>0</v>
      </c>
      <c r="DR118">
        <f t="shared" si="828"/>
        <v>0</v>
      </c>
      <c r="DS118">
        <f t="shared" si="829"/>
        <v>1</v>
      </c>
      <c r="DU118" s="79">
        <f t="shared" si="830"/>
        <v>0</v>
      </c>
      <c r="DV118" s="79">
        <f t="shared" si="831"/>
        <v>0</v>
      </c>
      <c r="DW118">
        <f t="shared" si="832"/>
        <v>0</v>
      </c>
      <c r="DX118">
        <f t="shared" si="833"/>
        <v>1</v>
      </c>
      <c r="DZ118" s="79">
        <f t="shared" si="834"/>
        <v>0</v>
      </c>
      <c r="EA118" s="79">
        <f t="shared" si="835"/>
        <v>0</v>
      </c>
      <c r="EB118">
        <f t="shared" si="836"/>
        <v>0</v>
      </c>
      <c r="EC118">
        <f t="shared" si="837"/>
        <v>1</v>
      </c>
    </row>
    <row r="119" spans="1:133">
      <c r="A119" s="164"/>
      <c r="B119" s="164"/>
      <c r="C119" s="164"/>
      <c r="D119" s="164"/>
      <c r="E119" s="164"/>
      <c r="F119" s="163"/>
      <c r="G119" s="164"/>
      <c r="H119" s="164"/>
      <c r="I119" s="164"/>
      <c r="J119" s="164"/>
      <c r="AH119" s="72">
        <f t="shared" si="748"/>
        <v>0</v>
      </c>
      <c r="AI119" s="72">
        <f t="shared" si="749"/>
        <v>0</v>
      </c>
      <c r="AJ119" s="72">
        <f t="shared" si="750"/>
        <v>0</v>
      </c>
      <c r="AK119" s="72">
        <f t="shared" si="751"/>
        <v>0</v>
      </c>
      <c r="AL119" s="72">
        <f t="shared" si="752"/>
        <v>0</v>
      </c>
      <c r="AM119" s="72">
        <f t="shared" si="753"/>
        <v>0</v>
      </c>
      <c r="AN119" s="72">
        <f t="shared" si="754"/>
        <v>0</v>
      </c>
      <c r="AO119" s="72">
        <f t="shared" si="755"/>
        <v>0</v>
      </c>
      <c r="AP119" s="72">
        <f t="shared" si="756"/>
        <v>0</v>
      </c>
      <c r="AQ119" s="72">
        <f t="shared" si="757"/>
        <v>0</v>
      </c>
      <c r="AR119" s="72">
        <f t="shared" si="758"/>
        <v>0</v>
      </c>
      <c r="AS119" s="72">
        <f t="shared" si="759"/>
        <v>0</v>
      </c>
      <c r="AT119" s="72">
        <f t="shared" si="760"/>
        <v>0</v>
      </c>
      <c r="AU119" s="72">
        <f t="shared" si="761"/>
        <v>0</v>
      </c>
      <c r="AV119" s="72">
        <f t="shared" si="762"/>
        <v>0</v>
      </c>
      <c r="AW119" s="72">
        <f t="shared" si="763"/>
        <v>0</v>
      </c>
      <c r="AX119" s="72">
        <f t="shared" si="764"/>
        <v>0</v>
      </c>
      <c r="AY119" s="72">
        <f t="shared" si="765"/>
        <v>0</v>
      </c>
      <c r="AZ119" s="72">
        <f t="shared" si="766"/>
        <v>0</v>
      </c>
      <c r="BA119" s="72">
        <f t="shared" si="767"/>
        <v>0</v>
      </c>
      <c r="BB119" s="72">
        <f t="shared" si="768"/>
        <v>0</v>
      </c>
      <c r="BC119" s="72">
        <f t="shared" si="769"/>
        <v>0</v>
      </c>
      <c r="BD119" s="72">
        <f t="shared" si="770"/>
        <v>0</v>
      </c>
      <c r="BE119" s="72">
        <f t="shared" si="771"/>
        <v>0</v>
      </c>
      <c r="BF119" s="72">
        <f t="shared" si="772"/>
        <v>0</v>
      </c>
      <c r="BG119" s="72">
        <f t="shared" si="773"/>
        <v>0</v>
      </c>
      <c r="BH119" s="72">
        <f t="shared" si="774"/>
        <v>0</v>
      </c>
      <c r="BI119" s="72">
        <f t="shared" si="775"/>
        <v>0</v>
      </c>
      <c r="BJ119" s="72">
        <f t="shared" si="776"/>
        <v>0</v>
      </c>
      <c r="BK119" s="72">
        <f t="shared" si="777"/>
        <v>0</v>
      </c>
      <c r="BL119" s="72">
        <f t="shared" si="778"/>
        <v>0</v>
      </c>
      <c r="BM119" s="72">
        <f t="shared" si="779"/>
        <v>0</v>
      </c>
      <c r="BN119" s="72">
        <f t="shared" si="780"/>
        <v>0</v>
      </c>
      <c r="BO119" s="72">
        <f t="shared" si="781"/>
        <v>0</v>
      </c>
      <c r="BP119" s="72">
        <f t="shared" si="782"/>
        <v>0</v>
      </c>
      <c r="BQ119" s="72">
        <f t="shared" si="783"/>
        <v>0</v>
      </c>
      <c r="BR119" s="72">
        <f t="shared" si="784"/>
        <v>0</v>
      </c>
      <c r="BS119" s="72">
        <f t="shared" si="785"/>
        <v>0</v>
      </c>
      <c r="BT119" s="72">
        <f t="shared" si="786"/>
        <v>0</v>
      </c>
      <c r="BU119" s="72">
        <f t="shared" si="787"/>
        <v>0</v>
      </c>
      <c r="BW119">
        <f t="shared" si="788"/>
        <v>0</v>
      </c>
      <c r="BX119">
        <f t="shared" si="789"/>
        <v>0</v>
      </c>
      <c r="BY119">
        <f t="shared" si="790"/>
        <v>0</v>
      </c>
      <c r="BZ119">
        <f t="shared" si="791"/>
        <v>0</v>
      </c>
      <c r="CA119">
        <f t="shared" si="792"/>
        <v>0</v>
      </c>
      <c r="CB119">
        <f t="shared" si="793"/>
        <v>0</v>
      </c>
      <c r="CD119">
        <f t="shared" si="794"/>
        <v>0</v>
      </c>
      <c r="CE119">
        <f t="shared" si="795"/>
        <v>0</v>
      </c>
      <c r="CF119">
        <f t="shared" si="796"/>
        <v>0</v>
      </c>
      <c r="CG119">
        <f t="shared" si="797"/>
        <v>0</v>
      </c>
      <c r="CH119">
        <f t="shared" si="798"/>
        <v>0</v>
      </c>
      <c r="CI119">
        <f t="shared" si="799"/>
        <v>0</v>
      </c>
      <c r="CK119">
        <f t="shared" si="800"/>
        <v>0</v>
      </c>
      <c r="CL119">
        <f t="shared" si="801"/>
        <v>0</v>
      </c>
      <c r="CM119">
        <f t="shared" si="802"/>
        <v>0</v>
      </c>
      <c r="CN119">
        <f t="shared" si="803"/>
        <v>0</v>
      </c>
      <c r="CO119">
        <f t="shared" si="804"/>
        <v>0</v>
      </c>
      <c r="CP119">
        <f t="shared" si="805"/>
        <v>0</v>
      </c>
      <c r="CR119">
        <f t="shared" si="806"/>
        <v>0</v>
      </c>
      <c r="CS119">
        <f t="shared" si="807"/>
        <v>0</v>
      </c>
      <c r="CT119">
        <f t="shared" si="808"/>
        <v>0</v>
      </c>
      <c r="CU119">
        <f t="shared" si="809"/>
        <v>0</v>
      </c>
      <c r="CV119">
        <f t="shared" si="810"/>
        <v>0</v>
      </c>
      <c r="CW119">
        <f t="shared" si="811"/>
        <v>0</v>
      </c>
      <c r="CY119">
        <f t="shared" si="812"/>
        <v>0</v>
      </c>
      <c r="CZ119">
        <f t="shared" si="813"/>
        <v>0</v>
      </c>
      <c r="DA119">
        <f t="shared" si="814"/>
        <v>0</v>
      </c>
      <c r="DB119">
        <f t="shared" si="815"/>
        <v>0</v>
      </c>
      <c r="DC119">
        <f t="shared" si="816"/>
        <v>0</v>
      </c>
      <c r="DD119">
        <f t="shared" si="817"/>
        <v>0</v>
      </c>
      <c r="DF119" s="79">
        <f t="shared" si="818"/>
        <v>0</v>
      </c>
      <c r="DG119" s="79">
        <f t="shared" si="819"/>
        <v>0</v>
      </c>
      <c r="DH119">
        <f t="shared" si="820"/>
        <v>0</v>
      </c>
      <c r="DI119">
        <f t="shared" si="821"/>
        <v>1</v>
      </c>
      <c r="DK119" s="79">
        <f t="shared" si="822"/>
        <v>0</v>
      </c>
      <c r="DL119" s="79">
        <f t="shared" si="823"/>
        <v>0</v>
      </c>
      <c r="DM119">
        <f t="shared" si="824"/>
        <v>1</v>
      </c>
      <c r="DN119">
        <f t="shared" si="825"/>
        <v>0</v>
      </c>
      <c r="DP119" s="79">
        <f t="shared" si="826"/>
        <v>0</v>
      </c>
      <c r="DQ119" s="79">
        <f t="shared" si="827"/>
        <v>0</v>
      </c>
      <c r="DR119">
        <f t="shared" si="828"/>
        <v>0</v>
      </c>
      <c r="DS119">
        <f t="shared" si="829"/>
        <v>1</v>
      </c>
      <c r="DU119" s="79">
        <f t="shared" si="830"/>
        <v>0</v>
      </c>
      <c r="DV119" s="79">
        <f t="shared" si="831"/>
        <v>0</v>
      </c>
      <c r="DW119">
        <f t="shared" si="832"/>
        <v>0</v>
      </c>
      <c r="DX119">
        <f t="shared" si="833"/>
        <v>1</v>
      </c>
      <c r="DZ119" s="79">
        <f t="shared" si="834"/>
        <v>0</v>
      </c>
      <c r="EA119" s="79">
        <f t="shared" si="835"/>
        <v>0</v>
      </c>
      <c r="EB119">
        <f t="shared" si="836"/>
        <v>0</v>
      </c>
      <c r="EC119">
        <f t="shared" si="837"/>
        <v>1</v>
      </c>
    </row>
    <row r="120" spans="1:133">
      <c r="A120" s="164"/>
      <c r="B120" s="164"/>
      <c r="C120" s="164"/>
      <c r="D120" s="164"/>
      <c r="E120" s="164"/>
      <c r="F120" s="163"/>
      <c r="G120" s="164"/>
      <c r="H120" s="164"/>
      <c r="I120" s="164"/>
      <c r="J120" s="164"/>
      <c r="AH120" s="72">
        <f t="shared" si="748"/>
        <v>0</v>
      </c>
      <c r="AI120" s="72">
        <f t="shared" si="749"/>
        <v>0</v>
      </c>
      <c r="AJ120" s="72">
        <f t="shared" si="750"/>
        <v>0</v>
      </c>
      <c r="AK120" s="72">
        <f t="shared" si="751"/>
        <v>0</v>
      </c>
      <c r="AL120" s="72">
        <f t="shared" si="752"/>
        <v>0</v>
      </c>
      <c r="AM120" s="72">
        <f t="shared" si="753"/>
        <v>0</v>
      </c>
      <c r="AN120" s="72">
        <f t="shared" si="754"/>
        <v>0</v>
      </c>
      <c r="AO120" s="72">
        <f t="shared" si="755"/>
        <v>0</v>
      </c>
      <c r="AP120" s="72">
        <f t="shared" si="756"/>
        <v>0</v>
      </c>
      <c r="AQ120" s="72">
        <f t="shared" si="757"/>
        <v>0</v>
      </c>
      <c r="AR120" s="72">
        <f t="shared" si="758"/>
        <v>0</v>
      </c>
      <c r="AS120" s="72">
        <f t="shared" si="759"/>
        <v>0</v>
      </c>
      <c r="AT120" s="72">
        <f t="shared" si="760"/>
        <v>0</v>
      </c>
      <c r="AU120" s="72">
        <f t="shared" si="761"/>
        <v>0</v>
      </c>
      <c r="AV120" s="72">
        <f t="shared" si="762"/>
        <v>0</v>
      </c>
      <c r="AW120" s="72">
        <f t="shared" si="763"/>
        <v>0</v>
      </c>
      <c r="AX120" s="72">
        <f t="shared" si="764"/>
        <v>0</v>
      </c>
      <c r="AY120" s="72">
        <f t="shared" si="765"/>
        <v>0</v>
      </c>
      <c r="AZ120" s="72">
        <f t="shared" si="766"/>
        <v>0</v>
      </c>
      <c r="BA120" s="72">
        <f t="shared" si="767"/>
        <v>0</v>
      </c>
      <c r="BB120" s="72">
        <f t="shared" si="768"/>
        <v>0</v>
      </c>
      <c r="BC120" s="72">
        <f t="shared" si="769"/>
        <v>0</v>
      </c>
      <c r="BD120" s="72">
        <f t="shared" si="770"/>
        <v>0</v>
      </c>
      <c r="BE120" s="72">
        <f t="shared" si="771"/>
        <v>0</v>
      </c>
      <c r="BF120" s="72">
        <f t="shared" si="772"/>
        <v>0</v>
      </c>
      <c r="BG120" s="72">
        <f t="shared" si="773"/>
        <v>0</v>
      </c>
      <c r="BH120" s="72">
        <f t="shared" si="774"/>
        <v>0</v>
      </c>
      <c r="BI120" s="72">
        <f t="shared" si="775"/>
        <v>0</v>
      </c>
      <c r="BJ120" s="72">
        <f t="shared" si="776"/>
        <v>0</v>
      </c>
      <c r="BK120" s="72">
        <f t="shared" si="777"/>
        <v>0</v>
      </c>
      <c r="BL120" s="72">
        <f t="shared" si="778"/>
        <v>0</v>
      </c>
      <c r="BM120" s="72">
        <f t="shared" si="779"/>
        <v>0</v>
      </c>
      <c r="BN120" s="72">
        <f t="shared" si="780"/>
        <v>0</v>
      </c>
      <c r="BO120" s="72">
        <f t="shared" si="781"/>
        <v>0</v>
      </c>
      <c r="BP120" s="72">
        <f t="shared" si="782"/>
        <v>0</v>
      </c>
      <c r="BQ120" s="72">
        <f t="shared" si="783"/>
        <v>0</v>
      </c>
      <c r="BR120" s="72">
        <f t="shared" si="784"/>
        <v>0</v>
      </c>
      <c r="BS120" s="72">
        <f t="shared" si="785"/>
        <v>0</v>
      </c>
      <c r="BT120" s="72">
        <f t="shared" si="786"/>
        <v>0</v>
      </c>
      <c r="BU120" s="72">
        <f t="shared" si="787"/>
        <v>0</v>
      </c>
      <c r="BW120">
        <f t="shared" si="788"/>
        <v>0</v>
      </c>
      <c r="BX120">
        <f t="shared" si="789"/>
        <v>0</v>
      </c>
      <c r="BY120">
        <f t="shared" si="790"/>
        <v>0</v>
      </c>
      <c r="BZ120">
        <f t="shared" si="791"/>
        <v>0</v>
      </c>
      <c r="CA120">
        <f t="shared" si="792"/>
        <v>0</v>
      </c>
      <c r="CB120">
        <f t="shared" si="793"/>
        <v>0</v>
      </c>
      <c r="CD120">
        <f t="shared" si="794"/>
        <v>0</v>
      </c>
      <c r="CE120">
        <f t="shared" si="795"/>
        <v>0</v>
      </c>
      <c r="CF120">
        <f t="shared" si="796"/>
        <v>0</v>
      </c>
      <c r="CG120">
        <f t="shared" si="797"/>
        <v>0</v>
      </c>
      <c r="CH120">
        <f t="shared" si="798"/>
        <v>0</v>
      </c>
      <c r="CI120">
        <f t="shared" si="799"/>
        <v>0</v>
      </c>
      <c r="CK120">
        <f t="shared" si="800"/>
        <v>0</v>
      </c>
      <c r="CL120">
        <f t="shared" si="801"/>
        <v>0</v>
      </c>
      <c r="CM120">
        <f t="shared" si="802"/>
        <v>0</v>
      </c>
      <c r="CN120">
        <f t="shared" si="803"/>
        <v>0</v>
      </c>
      <c r="CO120">
        <f t="shared" si="804"/>
        <v>0</v>
      </c>
      <c r="CP120">
        <f t="shared" si="805"/>
        <v>0</v>
      </c>
      <c r="CR120">
        <f t="shared" si="806"/>
        <v>0</v>
      </c>
      <c r="CS120">
        <f t="shared" si="807"/>
        <v>0</v>
      </c>
      <c r="CT120">
        <f t="shared" si="808"/>
        <v>0</v>
      </c>
      <c r="CU120">
        <f t="shared" si="809"/>
        <v>0</v>
      </c>
      <c r="CV120">
        <f t="shared" si="810"/>
        <v>0</v>
      </c>
      <c r="CW120">
        <f t="shared" si="811"/>
        <v>0</v>
      </c>
      <c r="CY120">
        <f t="shared" si="812"/>
        <v>0</v>
      </c>
      <c r="CZ120">
        <f t="shared" si="813"/>
        <v>0</v>
      </c>
      <c r="DA120">
        <f t="shared" si="814"/>
        <v>0</v>
      </c>
      <c r="DB120">
        <f t="shared" si="815"/>
        <v>0</v>
      </c>
      <c r="DC120">
        <f t="shared" si="816"/>
        <v>0</v>
      </c>
      <c r="DD120">
        <f t="shared" si="817"/>
        <v>0</v>
      </c>
      <c r="DF120" s="79">
        <f t="shared" si="818"/>
        <v>0</v>
      </c>
      <c r="DG120" s="79">
        <f t="shared" si="819"/>
        <v>0</v>
      </c>
      <c r="DH120">
        <f t="shared" si="820"/>
        <v>0</v>
      </c>
      <c r="DI120">
        <f t="shared" si="821"/>
        <v>1</v>
      </c>
      <c r="DK120" s="79">
        <f t="shared" si="822"/>
        <v>0</v>
      </c>
      <c r="DL120" s="79">
        <f t="shared" si="823"/>
        <v>0</v>
      </c>
      <c r="DM120">
        <f t="shared" si="824"/>
        <v>1</v>
      </c>
      <c r="DN120">
        <f t="shared" si="825"/>
        <v>0</v>
      </c>
      <c r="DP120" s="79">
        <f t="shared" si="826"/>
        <v>0</v>
      </c>
      <c r="DQ120" s="79">
        <f t="shared" si="827"/>
        <v>0</v>
      </c>
      <c r="DR120">
        <f t="shared" si="828"/>
        <v>0</v>
      </c>
      <c r="DS120">
        <f t="shared" si="829"/>
        <v>1</v>
      </c>
      <c r="DU120" s="79">
        <f t="shared" si="830"/>
        <v>0</v>
      </c>
      <c r="DV120" s="79">
        <f t="shared" si="831"/>
        <v>0</v>
      </c>
      <c r="DW120">
        <f t="shared" si="832"/>
        <v>0</v>
      </c>
      <c r="DX120">
        <f t="shared" si="833"/>
        <v>1</v>
      </c>
      <c r="DZ120" s="79">
        <f t="shared" si="834"/>
        <v>0</v>
      </c>
      <c r="EA120" s="79">
        <f t="shared" si="835"/>
        <v>0</v>
      </c>
      <c r="EB120">
        <f t="shared" si="836"/>
        <v>0</v>
      </c>
      <c r="EC120">
        <f t="shared" si="837"/>
        <v>1</v>
      </c>
    </row>
    <row r="121" spans="1:133">
      <c r="A121" s="164"/>
      <c r="B121" s="164"/>
      <c r="C121" s="164"/>
      <c r="D121" s="164"/>
      <c r="E121" s="164"/>
      <c r="F121" s="163"/>
      <c r="G121" s="164"/>
      <c r="H121" s="164"/>
      <c r="I121" s="164"/>
      <c r="J121" s="164"/>
      <c r="AH121" s="72">
        <f t="shared" si="748"/>
        <v>0</v>
      </c>
      <c r="AI121" s="72">
        <f t="shared" si="749"/>
        <v>0</v>
      </c>
      <c r="AJ121" s="72">
        <f t="shared" si="750"/>
        <v>0</v>
      </c>
      <c r="AK121" s="72">
        <f t="shared" si="751"/>
        <v>0</v>
      </c>
      <c r="AL121" s="72">
        <f t="shared" si="752"/>
        <v>0</v>
      </c>
      <c r="AM121" s="72">
        <f t="shared" si="753"/>
        <v>0</v>
      </c>
      <c r="AN121" s="72">
        <f t="shared" si="754"/>
        <v>0</v>
      </c>
      <c r="AO121" s="72">
        <f t="shared" si="755"/>
        <v>0</v>
      </c>
      <c r="AP121" s="72">
        <f t="shared" si="756"/>
        <v>0</v>
      </c>
      <c r="AQ121" s="72">
        <f t="shared" si="757"/>
        <v>0</v>
      </c>
      <c r="AR121" s="72">
        <f t="shared" si="758"/>
        <v>0</v>
      </c>
      <c r="AS121" s="72">
        <f t="shared" si="759"/>
        <v>0</v>
      </c>
      <c r="AT121" s="72">
        <f t="shared" si="760"/>
        <v>0</v>
      </c>
      <c r="AU121" s="72">
        <f t="shared" si="761"/>
        <v>0</v>
      </c>
      <c r="AV121" s="72">
        <f t="shared" si="762"/>
        <v>0</v>
      </c>
      <c r="AW121" s="72">
        <f t="shared" si="763"/>
        <v>0</v>
      </c>
      <c r="AX121" s="72">
        <f t="shared" si="764"/>
        <v>0</v>
      </c>
      <c r="AY121" s="72">
        <f t="shared" si="765"/>
        <v>0</v>
      </c>
      <c r="AZ121" s="72">
        <f t="shared" si="766"/>
        <v>0</v>
      </c>
      <c r="BA121" s="72">
        <f t="shared" si="767"/>
        <v>0</v>
      </c>
      <c r="BB121" s="72">
        <f t="shared" si="768"/>
        <v>0</v>
      </c>
      <c r="BC121" s="72">
        <f t="shared" si="769"/>
        <v>0</v>
      </c>
      <c r="BD121" s="72">
        <f t="shared" si="770"/>
        <v>0</v>
      </c>
      <c r="BE121" s="72">
        <f t="shared" si="771"/>
        <v>0</v>
      </c>
      <c r="BF121" s="72">
        <f t="shared" si="772"/>
        <v>0</v>
      </c>
      <c r="BG121" s="72">
        <f t="shared" si="773"/>
        <v>0</v>
      </c>
      <c r="BH121" s="72">
        <f t="shared" si="774"/>
        <v>0</v>
      </c>
      <c r="BI121" s="72">
        <f t="shared" si="775"/>
        <v>0</v>
      </c>
      <c r="BJ121" s="72">
        <f t="shared" si="776"/>
        <v>0</v>
      </c>
      <c r="BK121" s="72">
        <f t="shared" si="777"/>
        <v>0</v>
      </c>
      <c r="BL121" s="72">
        <f t="shared" si="778"/>
        <v>0</v>
      </c>
      <c r="BM121" s="72">
        <f t="shared" si="779"/>
        <v>0</v>
      </c>
      <c r="BN121" s="72">
        <f t="shared" si="780"/>
        <v>0</v>
      </c>
      <c r="BO121" s="72">
        <f t="shared" si="781"/>
        <v>0</v>
      </c>
      <c r="BP121" s="72">
        <f t="shared" si="782"/>
        <v>0</v>
      </c>
      <c r="BQ121" s="72">
        <f t="shared" si="783"/>
        <v>0</v>
      </c>
      <c r="BR121" s="72">
        <f t="shared" si="784"/>
        <v>0</v>
      </c>
      <c r="BS121" s="72">
        <f t="shared" si="785"/>
        <v>0</v>
      </c>
      <c r="BT121" s="72">
        <f t="shared" si="786"/>
        <v>0</v>
      </c>
      <c r="BU121" s="72">
        <f t="shared" si="787"/>
        <v>0</v>
      </c>
      <c r="BW121">
        <f t="shared" si="788"/>
        <v>0</v>
      </c>
      <c r="BX121">
        <f t="shared" si="789"/>
        <v>0</v>
      </c>
      <c r="BY121">
        <f t="shared" si="790"/>
        <v>0</v>
      </c>
      <c r="BZ121">
        <f t="shared" si="791"/>
        <v>0</v>
      </c>
      <c r="CA121">
        <f t="shared" si="792"/>
        <v>0</v>
      </c>
      <c r="CB121">
        <f t="shared" si="793"/>
        <v>0</v>
      </c>
      <c r="CD121">
        <f t="shared" si="794"/>
        <v>0</v>
      </c>
      <c r="CE121">
        <f t="shared" si="795"/>
        <v>0</v>
      </c>
      <c r="CF121">
        <f t="shared" si="796"/>
        <v>0</v>
      </c>
      <c r="CG121">
        <f t="shared" si="797"/>
        <v>0</v>
      </c>
      <c r="CH121">
        <f t="shared" si="798"/>
        <v>0</v>
      </c>
      <c r="CI121">
        <f t="shared" si="799"/>
        <v>0</v>
      </c>
      <c r="CK121">
        <f t="shared" si="800"/>
        <v>0</v>
      </c>
      <c r="CL121">
        <f t="shared" si="801"/>
        <v>0</v>
      </c>
      <c r="CM121">
        <f t="shared" si="802"/>
        <v>0</v>
      </c>
      <c r="CN121">
        <f t="shared" si="803"/>
        <v>0</v>
      </c>
      <c r="CO121">
        <f t="shared" si="804"/>
        <v>0</v>
      </c>
      <c r="CP121">
        <f t="shared" si="805"/>
        <v>0</v>
      </c>
      <c r="CR121">
        <f t="shared" si="806"/>
        <v>0</v>
      </c>
      <c r="CS121">
        <f t="shared" si="807"/>
        <v>0</v>
      </c>
      <c r="CT121">
        <f t="shared" si="808"/>
        <v>0</v>
      </c>
      <c r="CU121">
        <f t="shared" si="809"/>
        <v>0</v>
      </c>
      <c r="CV121">
        <f t="shared" si="810"/>
        <v>0</v>
      </c>
      <c r="CW121">
        <f t="shared" si="811"/>
        <v>0</v>
      </c>
      <c r="CY121">
        <f t="shared" si="812"/>
        <v>0</v>
      </c>
      <c r="CZ121">
        <f t="shared" si="813"/>
        <v>0</v>
      </c>
      <c r="DA121">
        <f t="shared" si="814"/>
        <v>0</v>
      </c>
      <c r="DB121">
        <f t="shared" si="815"/>
        <v>0</v>
      </c>
      <c r="DC121">
        <f t="shared" si="816"/>
        <v>0</v>
      </c>
      <c r="DD121">
        <f t="shared" si="817"/>
        <v>0</v>
      </c>
      <c r="DF121" s="79">
        <f t="shared" si="818"/>
        <v>0</v>
      </c>
      <c r="DG121" s="79">
        <f t="shared" si="819"/>
        <v>0</v>
      </c>
      <c r="DH121">
        <f t="shared" si="820"/>
        <v>0</v>
      </c>
      <c r="DI121">
        <f t="shared" si="821"/>
        <v>1</v>
      </c>
      <c r="DK121" s="79">
        <f t="shared" si="822"/>
        <v>0</v>
      </c>
      <c r="DL121" s="79">
        <f t="shared" si="823"/>
        <v>0</v>
      </c>
      <c r="DM121">
        <f t="shared" si="824"/>
        <v>1</v>
      </c>
      <c r="DN121">
        <f t="shared" si="825"/>
        <v>0</v>
      </c>
      <c r="DP121" s="79">
        <f t="shared" si="826"/>
        <v>0</v>
      </c>
      <c r="DQ121" s="79">
        <f t="shared" si="827"/>
        <v>0</v>
      </c>
      <c r="DR121">
        <f t="shared" si="828"/>
        <v>0</v>
      </c>
      <c r="DS121">
        <f t="shared" si="829"/>
        <v>1</v>
      </c>
      <c r="DU121" s="79">
        <f t="shared" si="830"/>
        <v>0</v>
      </c>
      <c r="DV121" s="79">
        <f t="shared" si="831"/>
        <v>0</v>
      </c>
      <c r="DW121">
        <f t="shared" si="832"/>
        <v>0</v>
      </c>
      <c r="DX121">
        <f t="shared" si="833"/>
        <v>1</v>
      </c>
      <c r="DZ121" s="79">
        <f t="shared" si="834"/>
        <v>0</v>
      </c>
      <c r="EA121" s="79">
        <f t="shared" si="835"/>
        <v>0</v>
      </c>
      <c r="EB121">
        <f t="shared" si="836"/>
        <v>0</v>
      </c>
      <c r="EC121">
        <f t="shared" si="837"/>
        <v>1</v>
      </c>
    </row>
    <row r="122" spans="1:133">
      <c r="A122" s="164"/>
      <c r="B122" s="164"/>
      <c r="C122" s="164"/>
      <c r="D122" s="164"/>
      <c r="E122" s="164"/>
      <c r="F122" s="163"/>
      <c r="G122" s="164"/>
      <c r="H122" s="164"/>
      <c r="I122" s="164"/>
      <c r="J122" s="164"/>
      <c r="AH122" s="72">
        <f t="shared" si="748"/>
        <v>0</v>
      </c>
      <c r="AI122" s="72">
        <f t="shared" si="749"/>
        <v>0</v>
      </c>
      <c r="AJ122" s="72">
        <f t="shared" si="750"/>
        <v>0</v>
      </c>
      <c r="AK122" s="72">
        <f t="shared" si="751"/>
        <v>0</v>
      </c>
      <c r="AL122" s="72">
        <f t="shared" si="752"/>
        <v>0</v>
      </c>
      <c r="AM122" s="72">
        <f t="shared" si="753"/>
        <v>0</v>
      </c>
      <c r="AN122" s="72">
        <f t="shared" si="754"/>
        <v>0</v>
      </c>
      <c r="AO122" s="72">
        <f t="shared" si="755"/>
        <v>0</v>
      </c>
      <c r="AP122" s="72">
        <f t="shared" si="756"/>
        <v>0</v>
      </c>
      <c r="AQ122" s="72">
        <f t="shared" si="757"/>
        <v>0</v>
      </c>
      <c r="AR122" s="72">
        <f t="shared" si="758"/>
        <v>0</v>
      </c>
      <c r="AS122" s="72">
        <f t="shared" si="759"/>
        <v>0</v>
      </c>
      <c r="AT122" s="72">
        <f t="shared" si="760"/>
        <v>0</v>
      </c>
      <c r="AU122" s="72">
        <f t="shared" si="761"/>
        <v>0</v>
      </c>
      <c r="AV122" s="72">
        <f t="shared" si="762"/>
        <v>0</v>
      </c>
      <c r="AW122" s="72">
        <f t="shared" si="763"/>
        <v>0</v>
      </c>
      <c r="AX122" s="72">
        <f t="shared" si="764"/>
        <v>0</v>
      </c>
      <c r="AY122" s="72">
        <f t="shared" si="765"/>
        <v>0</v>
      </c>
      <c r="AZ122" s="72">
        <f t="shared" si="766"/>
        <v>0</v>
      </c>
      <c r="BA122" s="72">
        <f t="shared" si="767"/>
        <v>0</v>
      </c>
      <c r="BB122" s="72">
        <f t="shared" si="768"/>
        <v>0</v>
      </c>
      <c r="BC122" s="72">
        <f t="shared" si="769"/>
        <v>0</v>
      </c>
      <c r="BD122" s="72">
        <f t="shared" si="770"/>
        <v>0</v>
      </c>
      <c r="BE122" s="72">
        <f t="shared" si="771"/>
        <v>0</v>
      </c>
      <c r="BF122" s="72">
        <f t="shared" si="772"/>
        <v>0</v>
      </c>
      <c r="BG122" s="72">
        <f t="shared" si="773"/>
        <v>0</v>
      </c>
      <c r="BH122" s="72">
        <f t="shared" si="774"/>
        <v>0</v>
      </c>
      <c r="BI122" s="72">
        <f t="shared" si="775"/>
        <v>0</v>
      </c>
      <c r="BJ122" s="72">
        <f t="shared" si="776"/>
        <v>0</v>
      </c>
      <c r="BK122" s="72">
        <f t="shared" si="777"/>
        <v>0</v>
      </c>
      <c r="BL122" s="72">
        <f t="shared" si="778"/>
        <v>0</v>
      </c>
      <c r="BM122" s="72">
        <f t="shared" si="779"/>
        <v>0</v>
      </c>
      <c r="BN122" s="72">
        <f t="shared" si="780"/>
        <v>0</v>
      </c>
      <c r="BO122" s="72">
        <f t="shared" si="781"/>
        <v>0</v>
      </c>
      <c r="BP122" s="72">
        <f t="shared" si="782"/>
        <v>0</v>
      </c>
      <c r="BQ122" s="72">
        <f t="shared" si="783"/>
        <v>0</v>
      </c>
      <c r="BR122" s="72">
        <f t="shared" si="784"/>
        <v>0</v>
      </c>
      <c r="BS122" s="72">
        <f t="shared" si="785"/>
        <v>0</v>
      </c>
      <c r="BT122" s="72">
        <f t="shared" si="786"/>
        <v>0</v>
      </c>
      <c r="BU122" s="72">
        <f t="shared" si="787"/>
        <v>0</v>
      </c>
      <c r="BW122">
        <f t="shared" si="788"/>
        <v>0</v>
      </c>
      <c r="BX122">
        <f t="shared" si="789"/>
        <v>0</v>
      </c>
      <c r="BY122">
        <f t="shared" si="790"/>
        <v>0</v>
      </c>
      <c r="BZ122">
        <f t="shared" si="791"/>
        <v>0</v>
      </c>
      <c r="CA122">
        <f t="shared" si="792"/>
        <v>0</v>
      </c>
      <c r="CB122">
        <f t="shared" si="793"/>
        <v>0</v>
      </c>
      <c r="CD122">
        <f t="shared" si="794"/>
        <v>0</v>
      </c>
      <c r="CE122">
        <f t="shared" si="795"/>
        <v>0</v>
      </c>
      <c r="CF122">
        <f t="shared" si="796"/>
        <v>0</v>
      </c>
      <c r="CG122">
        <f t="shared" si="797"/>
        <v>0</v>
      </c>
      <c r="CH122">
        <f t="shared" si="798"/>
        <v>0</v>
      </c>
      <c r="CI122">
        <f t="shared" si="799"/>
        <v>0</v>
      </c>
      <c r="CK122">
        <f t="shared" si="800"/>
        <v>0</v>
      </c>
      <c r="CL122">
        <f t="shared" si="801"/>
        <v>0</v>
      </c>
      <c r="CM122">
        <f t="shared" si="802"/>
        <v>0</v>
      </c>
      <c r="CN122">
        <f t="shared" si="803"/>
        <v>0</v>
      </c>
      <c r="CO122">
        <f t="shared" si="804"/>
        <v>0</v>
      </c>
      <c r="CP122">
        <f t="shared" si="805"/>
        <v>0</v>
      </c>
      <c r="CR122">
        <f t="shared" si="806"/>
        <v>0</v>
      </c>
      <c r="CS122">
        <f t="shared" si="807"/>
        <v>0</v>
      </c>
      <c r="CT122">
        <f t="shared" si="808"/>
        <v>0</v>
      </c>
      <c r="CU122">
        <f t="shared" si="809"/>
        <v>0</v>
      </c>
      <c r="CV122">
        <f t="shared" si="810"/>
        <v>0</v>
      </c>
      <c r="CW122">
        <f t="shared" si="811"/>
        <v>0</v>
      </c>
      <c r="CY122">
        <f t="shared" si="812"/>
        <v>0</v>
      </c>
      <c r="CZ122">
        <f t="shared" si="813"/>
        <v>0</v>
      </c>
      <c r="DA122">
        <f t="shared" si="814"/>
        <v>0</v>
      </c>
      <c r="DB122">
        <f t="shared" si="815"/>
        <v>0</v>
      </c>
      <c r="DC122">
        <f t="shared" si="816"/>
        <v>0</v>
      </c>
      <c r="DD122">
        <f t="shared" si="817"/>
        <v>0</v>
      </c>
      <c r="DF122" s="79">
        <f t="shared" si="818"/>
        <v>0</v>
      </c>
      <c r="DG122" s="79">
        <f t="shared" si="819"/>
        <v>0</v>
      </c>
      <c r="DH122">
        <f t="shared" si="820"/>
        <v>0</v>
      </c>
      <c r="DI122">
        <f t="shared" si="821"/>
        <v>1</v>
      </c>
      <c r="DK122" s="79">
        <f t="shared" si="822"/>
        <v>0</v>
      </c>
      <c r="DL122" s="79">
        <f t="shared" si="823"/>
        <v>0</v>
      </c>
      <c r="DM122">
        <f t="shared" si="824"/>
        <v>1</v>
      </c>
      <c r="DN122">
        <f t="shared" si="825"/>
        <v>0</v>
      </c>
      <c r="DP122" s="79">
        <f t="shared" si="826"/>
        <v>0</v>
      </c>
      <c r="DQ122" s="79">
        <f t="shared" si="827"/>
        <v>0</v>
      </c>
      <c r="DR122">
        <f t="shared" si="828"/>
        <v>0</v>
      </c>
      <c r="DS122">
        <f t="shared" si="829"/>
        <v>1</v>
      </c>
      <c r="DU122" s="79">
        <f t="shared" si="830"/>
        <v>0</v>
      </c>
      <c r="DV122" s="79">
        <f t="shared" si="831"/>
        <v>0</v>
      </c>
      <c r="DW122">
        <f t="shared" si="832"/>
        <v>0</v>
      </c>
      <c r="DX122">
        <f t="shared" si="833"/>
        <v>1</v>
      </c>
      <c r="DZ122" s="79">
        <f t="shared" si="834"/>
        <v>0</v>
      </c>
      <c r="EA122" s="79">
        <f t="shared" si="835"/>
        <v>0</v>
      </c>
      <c r="EB122">
        <f t="shared" si="836"/>
        <v>0</v>
      </c>
      <c r="EC122">
        <f t="shared" si="837"/>
        <v>1</v>
      </c>
    </row>
    <row r="123" spans="1:133">
      <c r="A123" s="164"/>
      <c r="B123" s="164"/>
      <c r="C123" s="164"/>
      <c r="D123" s="164"/>
      <c r="E123" s="164"/>
      <c r="F123" s="163"/>
      <c r="G123" s="164"/>
      <c r="H123" s="164"/>
      <c r="I123" s="164"/>
      <c r="J123" s="164"/>
      <c r="AH123" s="72">
        <f t="shared" si="748"/>
        <v>0</v>
      </c>
      <c r="AI123" s="72">
        <f t="shared" si="749"/>
        <v>0</v>
      </c>
      <c r="AJ123" s="72">
        <f t="shared" si="750"/>
        <v>0</v>
      </c>
      <c r="AK123" s="72">
        <f t="shared" si="751"/>
        <v>0</v>
      </c>
      <c r="AL123" s="72">
        <f t="shared" si="752"/>
        <v>0</v>
      </c>
      <c r="AM123" s="72">
        <f t="shared" si="753"/>
        <v>0</v>
      </c>
      <c r="AN123" s="72">
        <f t="shared" si="754"/>
        <v>0</v>
      </c>
      <c r="AO123" s="72">
        <f t="shared" si="755"/>
        <v>0</v>
      </c>
      <c r="AP123" s="72">
        <f t="shared" si="756"/>
        <v>0</v>
      </c>
      <c r="AQ123" s="72">
        <f t="shared" si="757"/>
        <v>0</v>
      </c>
      <c r="AR123" s="72">
        <f t="shared" si="758"/>
        <v>0</v>
      </c>
      <c r="AS123" s="72">
        <f t="shared" si="759"/>
        <v>0</v>
      </c>
      <c r="AT123" s="72">
        <f t="shared" si="760"/>
        <v>0</v>
      </c>
      <c r="AU123" s="72">
        <f t="shared" si="761"/>
        <v>0</v>
      </c>
      <c r="AV123" s="72">
        <f t="shared" si="762"/>
        <v>0</v>
      </c>
      <c r="AW123" s="72">
        <f t="shared" si="763"/>
        <v>0</v>
      </c>
      <c r="AX123" s="72">
        <f t="shared" si="764"/>
        <v>0</v>
      </c>
      <c r="AY123" s="72">
        <f t="shared" si="765"/>
        <v>0</v>
      </c>
      <c r="AZ123" s="72">
        <f t="shared" si="766"/>
        <v>0</v>
      </c>
      <c r="BA123" s="72">
        <f t="shared" si="767"/>
        <v>0</v>
      </c>
      <c r="BB123" s="72">
        <f t="shared" si="768"/>
        <v>0</v>
      </c>
      <c r="BC123" s="72">
        <f t="shared" si="769"/>
        <v>0</v>
      </c>
      <c r="BD123" s="72">
        <f t="shared" si="770"/>
        <v>0</v>
      </c>
      <c r="BE123" s="72">
        <f t="shared" si="771"/>
        <v>0</v>
      </c>
      <c r="BF123" s="72">
        <f t="shared" si="772"/>
        <v>0</v>
      </c>
      <c r="BG123" s="72">
        <f t="shared" si="773"/>
        <v>0</v>
      </c>
      <c r="BH123" s="72">
        <f t="shared" si="774"/>
        <v>0</v>
      </c>
      <c r="BI123" s="72">
        <f t="shared" si="775"/>
        <v>0</v>
      </c>
      <c r="BJ123" s="72">
        <f t="shared" si="776"/>
        <v>0</v>
      </c>
      <c r="BK123" s="72">
        <f t="shared" si="777"/>
        <v>0</v>
      </c>
      <c r="BL123" s="72">
        <f t="shared" si="778"/>
        <v>0</v>
      </c>
      <c r="BM123" s="72">
        <f t="shared" si="779"/>
        <v>0</v>
      </c>
      <c r="BN123" s="72">
        <f t="shared" si="780"/>
        <v>0</v>
      </c>
      <c r="BO123" s="72">
        <f t="shared" si="781"/>
        <v>0</v>
      </c>
      <c r="BP123" s="72">
        <f t="shared" si="782"/>
        <v>0</v>
      </c>
      <c r="BQ123" s="72">
        <f t="shared" si="783"/>
        <v>0</v>
      </c>
      <c r="BR123" s="72">
        <f t="shared" si="784"/>
        <v>0</v>
      </c>
      <c r="BS123" s="72">
        <f t="shared" si="785"/>
        <v>0</v>
      </c>
      <c r="BT123" s="72">
        <f t="shared" si="786"/>
        <v>0</v>
      </c>
      <c r="BU123" s="72">
        <f t="shared" si="787"/>
        <v>0</v>
      </c>
      <c r="BW123">
        <f t="shared" si="788"/>
        <v>0</v>
      </c>
      <c r="BX123">
        <f t="shared" si="789"/>
        <v>0</v>
      </c>
      <c r="BY123">
        <f t="shared" si="790"/>
        <v>0</v>
      </c>
      <c r="BZ123">
        <f t="shared" si="791"/>
        <v>0</v>
      </c>
      <c r="CA123">
        <f t="shared" si="792"/>
        <v>0</v>
      </c>
      <c r="CB123">
        <f t="shared" si="793"/>
        <v>0</v>
      </c>
      <c r="CD123">
        <f t="shared" si="794"/>
        <v>0</v>
      </c>
      <c r="CE123">
        <f t="shared" si="795"/>
        <v>0</v>
      </c>
      <c r="CF123">
        <f t="shared" si="796"/>
        <v>0</v>
      </c>
      <c r="CG123">
        <f t="shared" si="797"/>
        <v>0</v>
      </c>
      <c r="CH123">
        <f t="shared" si="798"/>
        <v>0</v>
      </c>
      <c r="CI123">
        <f t="shared" si="799"/>
        <v>0</v>
      </c>
      <c r="CK123">
        <f t="shared" si="800"/>
        <v>0</v>
      </c>
      <c r="CL123">
        <f t="shared" si="801"/>
        <v>0</v>
      </c>
      <c r="CM123">
        <f t="shared" si="802"/>
        <v>0</v>
      </c>
      <c r="CN123">
        <f t="shared" si="803"/>
        <v>0</v>
      </c>
      <c r="CO123">
        <f t="shared" si="804"/>
        <v>0</v>
      </c>
      <c r="CP123">
        <f t="shared" si="805"/>
        <v>0</v>
      </c>
      <c r="CR123">
        <f t="shared" si="806"/>
        <v>0</v>
      </c>
      <c r="CS123">
        <f t="shared" si="807"/>
        <v>0</v>
      </c>
      <c r="CT123">
        <f t="shared" si="808"/>
        <v>0</v>
      </c>
      <c r="CU123">
        <f t="shared" si="809"/>
        <v>0</v>
      </c>
      <c r="CV123">
        <f t="shared" si="810"/>
        <v>0</v>
      </c>
      <c r="CW123">
        <f t="shared" si="811"/>
        <v>0</v>
      </c>
      <c r="CY123">
        <f t="shared" si="812"/>
        <v>0</v>
      </c>
      <c r="CZ123">
        <f t="shared" si="813"/>
        <v>0</v>
      </c>
      <c r="DA123">
        <f t="shared" si="814"/>
        <v>0</v>
      </c>
      <c r="DB123">
        <f t="shared" si="815"/>
        <v>0</v>
      </c>
      <c r="DC123">
        <f t="shared" si="816"/>
        <v>0</v>
      </c>
      <c r="DD123">
        <f t="shared" si="817"/>
        <v>0</v>
      </c>
      <c r="DF123" s="79">
        <f t="shared" si="818"/>
        <v>0</v>
      </c>
      <c r="DG123" s="79">
        <f t="shared" si="819"/>
        <v>0</v>
      </c>
      <c r="DH123">
        <f t="shared" si="820"/>
        <v>0</v>
      </c>
      <c r="DI123">
        <f t="shared" si="821"/>
        <v>1</v>
      </c>
      <c r="DK123" s="79">
        <f t="shared" si="822"/>
        <v>0</v>
      </c>
      <c r="DL123" s="79">
        <f t="shared" si="823"/>
        <v>0</v>
      </c>
      <c r="DM123">
        <f t="shared" si="824"/>
        <v>1</v>
      </c>
      <c r="DN123">
        <f t="shared" si="825"/>
        <v>0</v>
      </c>
      <c r="DP123" s="79">
        <f t="shared" si="826"/>
        <v>0</v>
      </c>
      <c r="DQ123" s="79">
        <f t="shared" si="827"/>
        <v>0</v>
      </c>
      <c r="DR123">
        <f t="shared" si="828"/>
        <v>0</v>
      </c>
      <c r="DS123">
        <f t="shared" si="829"/>
        <v>1</v>
      </c>
      <c r="DU123" s="79">
        <f t="shared" si="830"/>
        <v>0</v>
      </c>
      <c r="DV123" s="79">
        <f t="shared" si="831"/>
        <v>0</v>
      </c>
      <c r="DW123">
        <f t="shared" si="832"/>
        <v>0</v>
      </c>
      <c r="DX123">
        <f t="shared" si="833"/>
        <v>1</v>
      </c>
      <c r="DZ123" s="79">
        <f t="shared" si="834"/>
        <v>0</v>
      </c>
      <c r="EA123" s="79">
        <f t="shared" si="835"/>
        <v>0</v>
      </c>
      <c r="EB123">
        <f t="shared" si="836"/>
        <v>0</v>
      </c>
      <c r="EC123">
        <f t="shared" si="837"/>
        <v>1</v>
      </c>
    </row>
    <row r="124" spans="1:133">
      <c r="A124" s="164"/>
      <c r="B124" s="164"/>
      <c r="C124" s="164"/>
      <c r="D124" s="164"/>
      <c r="E124" s="164"/>
      <c r="F124" s="163"/>
      <c r="G124" s="164"/>
      <c r="H124" s="164"/>
      <c r="I124" s="164"/>
      <c r="J124" s="164"/>
      <c r="AH124" s="72">
        <f t="shared" si="748"/>
        <v>0</v>
      </c>
      <c r="AI124" s="72">
        <f t="shared" si="749"/>
        <v>0</v>
      </c>
      <c r="AJ124" s="72">
        <f t="shared" si="750"/>
        <v>0</v>
      </c>
      <c r="AK124" s="72">
        <f t="shared" si="751"/>
        <v>0</v>
      </c>
      <c r="AL124" s="72">
        <f t="shared" si="752"/>
        <v>0</v>
      </c>
      <c r="AM124" s="72">
        <f t="shared" si="753"/>
        <v>0</v>
      </c>
      <c r="AN124" s="72">
        <f t="shared" si="754"/>
        <v>0</v>
      </c>
      <c r="AO124" s="72">
        <f t="shared" si="755"/>
        <v>0</v>
      </c>
      <c r="AP124" s="72">
        <f t="shared" si="756"/>
        <v>0</v>
      </c>
      <c r="AQ124" s="72">
        <f t="shared" si="757"/>
        <v>0</v>
      </c>
      <c r="AR124" s="72">
        <f t="shared" si="758"/>
        <v>0</v>
      </c>
      <c r="AS124" s="72">
        <f t="shared" si="759"/>
        <v>0</v>
      </c>
      <c r="AT124" s="72">
        <f t="shared" si="760"/>
        <v>0</v>
      </c>
      <c r="AU124" s="72">
        <f t="shared" si="761"/>
        <v>0</v>
      </c>
      <c r="AV124" s="72">
        <f t="shared" si="762"/>
        <v>0</v>
      </c>
      <c r="AW124" s="72">
        <f t="shared" si="763"/>
        <v>0</v>
      </c>
      <c r="AX124" s="72">
        <f t="shared" si="764"/>
        <v>0</v>
      </c>
      <c r="AY124" s="72">
        <f t="shared" si="765"/>
        <v>0</v>
      </c>
      <c r="AZ124" s="72">
        <f t="shared" si="766"/>
        <v>0</v>
      </c>
      <c r="BA124" s="72">
        <f t="shared" si="767"/>
        <v>0</v>
      </c>
      <c r="BB124" s="72">
        <f t="shared" si="768"/>
        <v>0</v>
      </c>
      <c r="BC124" s="72">
        <f t="shared" si="769"/>
        <v>0</v>
      </c>
      <c r="BD124" s="72">
        <f t="shared" si="770"/>
        <v>0</v>
      </c>
      <c r="BE124" s="72">
        <f t="shared" si="771"/>
        <v>0</v>
      </c>
      <c r="BF124" s="72">
        <f t="shared" si="772"/>
        <v>0</v>
      </c>
      <c r="BG124" s="72">
        <f t="shared" si="773"/>
        <v>0</v>
      </c>
      <c r="BH124" s="72">
        <f t="shared" si="774"/>
        <v>0</v>
      </c>
      <c r="BI124" s="72">
        <f t="shared" si="775"/>
        <v>0</v>
      </c>
      <c r="BJ124" s="72">
        <f t="shared" si="776"/>
        <v>0</v>
      </c>
      <c r="BK124" s="72">
        <f t="shared" si="777"/>
        <v>0</v>
      </c>
      <c r="BL124" s="72">
        <f t="shared" si="778"/>
        <v>0</v>
      </c>
      <c r="BM124" s="72">
        <f t="shared" si="779"/>
        <v>0</v>
      </c>
      <c r="BN124" s="72">
        <f t="shared" si="780"/>
        <v>0</v>
      </c>
      <c r="BO124" s="72">
        <f t="shared" si="781"/>
        <v>0</v>
      </c>
      <c r="BP124" s="72">
        <f t="shared" si="782"/>
        <v>0</v>
      </c>
      <c r="BQ124" s="72">
        <f t="shared" si="783"/>
        <v>0</v>
      </c>
      <c r="BR124" s="72">
        <f t="shared" si="784"/>
        <v>0</v>
      </c>
      <c r="BS124" s="72">
        <f t="shared" si="785"/>
        <v>0</v>
      </c>
      <c r="BT124" s="72">
        <f t="shared" si="786"/>
        <v>0</v>
      </c>
      <c r="BU124" s="72">
        <f t="shared" si="787"/>
        <v>0</v>
      </c>
      <c r="BW124">
        <f t="shared" si="788"/>
        <v>0</v>
      </c>
      <c r="BX124">
        <f t="shared" si="789"/>
        <v>0</v>
      </c>
      <c r="BY124">
        <f t="shared" si="790"/>
        <v>0</v>
      </c>
      <c r="BZ124">
        <f t="shared" si="791"/>
        <v>0</v>
      </c>
      <c r="CA124">
        <f t="shared" si="792"/>
        <v>0</v>
      </c>
      <c r="CB124">
        <f t="shared" si="793"/>
        <v>0</v>
      </c>
      <c r="CD124">
        <f t="shared" si="794"/>
        <v>0</v>
      </c>
      <c r="CE124">
        <f t="shared" si="795"/>
        <v>0</v>
      </c>
      <c r="CF124">
        <f t="shared" si="796"/>
        <v>0</v>
      </c>
      <c r="CG124">
        <f t="shared" si="797"/>
        <v>0</v>
      </c>
      <c r="CH124">
        <f t="shared" si="798"/>
        <v>0</v>
      </c>
      <c r="CI124">
        <f t="shared" si="799"/>
        <v>0</v>
      </c>
      <c r="CK124">
        <f t="shared" si="800"/>
        <v>0</v>
      </c>
      <c r="CL124">
        <f t="shared" si="801"/>
        <v>0</v>
      </c>
      <c r="CM124">
        <f t="shared" si="802"/>
        <v>0</v>
      </c>
      <c r="CN124">
        <f t="shared" si="803"/>
        <v>0</v>
      </c>
      <c r="CO124">
        <f t="shared" si="804"/>
        <v>0</v>
      </c>
      <c r="CP124">
        <f t="shared" si="805"/>
        <v>0</v>
      </c>
      <c r="CR124">
        <f t="shared" si="806"/>
        <v>0</v>
      </c>
      <c r="CS124">
        <f t="shared" si="807"/>
        <v>0</v>
      </c>
      <c r="CT124">
        <f t="shared" si="808"/>
        <v>0</v>
      </c>
      <c r="CU124">
        <f t="shared" si="809"/>
        <v>0</v>
      </c>
      <c r="CV124">
        <f t="shared" si="810"/>
        <v>0</v>
      </c>
      <c r="CW124">
        <f t="shared" si="811"/>
        <v>0</v>
      </c>
      <c r="CY124">
        <f t="shared" si="812"/>
        <v>0</v>
      </c>
      <c r="CZ124">
        <f t="shared" si="813"/>
        <v>0</v>
      </c>
      <c r="DA124">
        <f t="shared" si="814"/>
        <v>0</v>
      </c>
      <c r="DB124">
        <f t="shared" si="815"/>
        <v>0</v>
      </c>
      <c r="DC124">
        <f t="shared" si="816"/>
        <v>0</v>
      </c>
      <c r="DD124">
        <f t="shared" si="817"/>
        <v>0</v>
      </c>
      <c r="DF124" s="79">
        <f t="shared" si="818"/>
        <v>0</v>
      </c>
      <c r="DG124" s="79">
        <f t="shared" si="819"/>
        <v>0</v>
      </c>
      <c r="DH124">
        <f t="shared" si="820"/>
        <v>0</v>
      </c>
      <c r="DI124">
        <f t="shared" si="821"/>
        <v>1</v>
      </c>
      <c r="DK124" s="79">
        <f t="shared" si="822"/>
        <v>0</v>
      </c>
      <c r="DL124" s="79">
        <f t="shared" si="823"/>
        <v>0</v>
      </c>
      <c r="DM124">
        <f t="shared" si="824"/>
        <v>1</v>
      </c>
      <c r="DN124">
        <f t="shared" si="825"/>
        <v>0</v>
      </c>
      <c r="DP124" s="79">
        <f t="shared" si="826"/>
        <v>0</v>
      </c>
      <c r="DQ124" s="79">
        <f t="shared" si="827"/>
        <v>0</v>
      </c>
      <c r="DR124">
        <f t="shared" si="828"/>
        <v>0</v>
      </c>
      <c r="DS124">
        <f t="shared" si="829"/>
        <v>1</v>
      </c>
      <c r="DU124" s="79">
        <f t="shared" si="830"/>
        <v>0</v>
      </c>
      <c r="DV124" s="79">
        <f t="shared" si="831"/>
        <v>0</v>
      </c>
      <c r="DW124">
        <f t="shared" si="832"/>
        <v>0</v>
      </c>
      <c r="DX124">
        <f t="shared" si="833"/>
        <v>1</v>
      </c>
      <c r="DZ124" s="79">
        <f t="shared" si="834"/>
        <v>0</v>
      </c>
      <c r="EA124" s="79">
        <f t="shared" si="835"/>
        <v>0</v>
      </c>
      <c r="EB124">
        <f t="shared" si="836"/>
        <v>0</v>
      </c>
      <c r="EC124">
        <f t="shared" si="837"/>
        <v>1</v>
      </c>
    </row>
    <row r="125" spans="1:133">
      <c r="A125" s="164"/>
      <c r="B125" s="164"/>
      <c r="C125" s="164"/>
      <c r="D125" s="164"/>
      <c r="E125" s="164"/>
      <c r="F125" s="163"/>
      <c r="G125" s="164"/>
      <c r="H125" s="164"/>
      <c r="I125" s="164"/>
      <c r="J125" s="164"/>
      <c r="AH125" s="72">
        <f t="shared" si="748"/>
        <v>0</v>
      </c>
      <c r="AI125" s="72">
        <f t="shared" si="749"/>
        <v>0</v>
      </c>
      <c r="AJ125" s="72">
        <f t="shared" si="750"/>
        <v>0</v>
      </c>
      <c r="AK125" s="72">
        <f t="shared" si="751"/>
        <v>0</v>
      </c>
      <c r="AL125" s="72">
        <f t="shared" si="752"/>
        <v>0</v>
      </c>
      <c r="AM125" s="72">
        <f t="shared" si="753"/>
        <v>0</v>
      </c>
      <c r="AN125" s="72">
        <f t="shared" si="754"/>
        <v>0</v>
      </c>
      <c r="AO125" s="72">
        <f t="shared" si="755"/>
        <v>0</v>
      </c>
      <c r="AP125" s="72">
        <f t="shared" si="756"/>
        <v>0</v>
      </c>
      <c r="AQ125" s="72">
        <f t="shared" si="757"/>
        <v>0</v>
      </c>
      <c r="AR125" s="72">
        <f t="shared" si="758"/>
        <v>0</v>
      </c>
      <c r="AS125" s="72">
        <f t="shared" si="759"/>
        <v>0</v>
      </c>
      <c r="AT125" s="72">
        <f t="shared" si="760"/>
        <v>0</v>
      </c>
      <c r="AU125" s="72">
        <f t="shared" si="761"/>
        <v>0</v>
      </c>
      <c r="AV125" s="72">
        <f t="shared" si="762"/>
        <v>0</v>
      </c>
      <c r="AW125" s="72">
        <f t="shared" si="763"/>
        <v>0</v>
      </c>
      <c r="AX125" s="72">
        <f t="shared" si="764"/>
        <v>0</v>
      </c>
      <c r="AY125" s="72">
        <f t="shared" si="765"/>
        <v>0</v>
      </c>
      <c r="AZ125" s="72">
        <f t="shared" si="766"/>
        <v>0</v>
      </c>
      <c r="BA125" s="72">
        <f t="shared" si="767"/>
        <v>0</v>
      </c>
      <c r="BB125" s="72">
        <f t="shared" si="768"/>
        <v>0</v>
      </c>
      <c r="BC125" s="72">
        <f t="shared" si="769"/>
        <v>0</v>
      </c>
      <c r="BD125" s="72">
        <f t="shared" si="770"/>
        <v>0</v>
      </c>
      <c r="BE125" s="72">
        <f t="shared" si="771"/>
        <v>0</v>
      </c>
      <c r="BF125" s="72">
        <f t="shared" si="772"/>
        <v>0</v>
      </c>
      <c r="BG125" s="72">
        <f t="shared" si="773"/>
        <v>0</v>
      </c>
      <c r="BH125" s="72">
        <f t="shared" si="774"/>
        <v>0</v>
      </c>
      <c r="BI125" s="72">
        <f t="shared" si="775"/>
        <v>0</v>
      </c>
      <c r="BJ125" s="72">
        <f t="shared" si="776"/>
        <v>0</v>
      </c>
      <c r="BK125" s="72">
        <f t="shared" si="777"/>
        <v>0</v>
      </c>
      <c r="BL125" s="72">
        <f t="shared" si="778"/>
        <v>0</v>
      </c>
      <c r="BM125" s="72">
        <f t="shared" si="779"/>
        <v>0</v>
      </c>
      <c r="BN125" s="72">
        <f t="shared" si="780"/>
        <v>0</v>
      </c>
      <c r="BO125" s="72">
        <f t="shared" si="781"/>
        <v>0</v>
      </c>
      <c r="BP125" s="72">
        <f t="shared" si="782"/>
        <v>0</v>
      </c>
      <c r="BQ125" s="72">
        <f t="shared" si="783"/>
        <v>0</v>
      </c>
      <c r="BR125" s="72">
        <f t="shared" si="784"/>
        <v>0</v>
      </c>
      <c r="BS125" s="72">
        <f t="shared" si="785"/>
        <v>0</v>
      </c>
      <c r="BT125" s="72">
        <f t="shared" si="786"/>
        <v>0</v>
      </c>
      <c r="BU125" s="72">
        <f t="shared" si="787"/>
        <v>0</v>
      </c>
      <c r="BW125">
        <f t="shared" si="788"/>
        <v>0</v>
      </c>
      <c r="BX125">
        <f t="shared" si="789"/>
        <v>0</v>
      </c>
      <c r="BY125">
        <f t="shared" si="790"/>
        <v>0</v>
      </c>
      <c r="BZ125">
        <f t="shared" si="791"/>
        <v>0</v>
      </c>
      <c r="CA125">
        <f t="shared" si="792"/>
        <v>0</v>
      </c>
      <c r="CB125">
        <f t="shared" si="793"/>
        <v>0</v>
      </c>
      <c r="CD125">
        <f t="shared" si="794"/>
        <v>0</v>
      </c>
      <c r="CE125">
        <f t="shared" si="795"/>
        <v>0</v>
      </c>
      <c r="CF125">
        <f t="shared" si="796"/>
        <v>0</v>
      </c>
      <c r="CG125">
        <f t="shared" si="797"/>
        <v>0</v>
      </c>
      <c r="CH125">
        <f t="shared" si="798"/>
        <v>0</v>
      </c>
      <c r="CI125">
        <f t="shared" si="799"/>
        <v>0</v>
      </c>
      <c r="CK125">
        <f t="shared" si="800"/>
        <v>0</v>
      </c>
      <c r="CL125">
        <f t="shared" si="801"/>
        <v>0</v>
      </c>
      <c r="CM125">
        <f t="shared" si="802"/>
        <v>0</v>
      </c>
      <c r="CN125">
        <f t="shared" si="803"/>
        <v>0</v>
      </c>
      <c r="CO125">
        <f t="shared" si="804"/>
        <v>0</v>
      </c>
      <c r="CP125">
        <f t="shared" si="805"/>
        <v>0</v>
      </c>
      <c r="CR125">
        <f t="shared" si="806"/>
        <v>0</v>
      </c>
      <c r="CS125">
        <f t="shared" si="807"/>
        <v>0</v>
      </c>
      <c r="CT125">
        <f t="shared" si="808"/>
        <v>0</v>
      </c>
      <c r="CU125">
        <f t="shared" si="809"/>
        <v>0</v>
      </c>
      <c r="CV125">
        <f t="shared" si="810"/>
        <v>0</v>
      </c>
      <c r="CW125">
        <f t="shared" si="811"/>
        <v>0</v>
      </c>
      <c r="CY125">
        <f t="shared" si="812"/>
        <v>0</v>
      </c>
      <c r="CZ125">
        <f t="shared" si="813"/>
        <v>0</v>
      </c>
      <c r="DA125">
        <f t="shared" si="814"/>
        <v>0</v>
      </c>
      <c r="DB125">
        <f t="shared" si="815"/>
        <v>0</v>
      </c>
      <c r="DC125">
        <f t="shared" si="816"/>
        <v>0</v>
      </c>
      <c r="DD125">
        <f t="shared" si="817"/>
        <v>0</v>
      </c>
      <c r="DF125" s="79">
        <f t="shared" si="818"/>
        <v>0</v>
      </c>
      <c r="DG125" s="79">
        <f t="shared" si="819"/>
        <v>0</v>
      </c>
      <c r="DH125">
        <f t="shared" si="820"/>
        <v>0</v>
      </c>
      <c r="DI125">
        <f t="shared" si="821"/>
        <v>1</v>
      </c>
      <c r="DK125" s="79">
        <f t="shared" si="822"/>
        <v>0</v>
      </c>
      <c r="DL125" s="79">
        <f t="shared" si="823"/>
        <v>0</v>
      </c>
      <c r="DM125">
        <f t="shared" si="824"/>
        <v>1</v>
      </c>
      <c r="DN125">
        <f t="shared" si="825"/>
        <v>0</v>
      </c>
      <c r="DP125" s="79">
        <f t="shared" si="826"/>
        <v>0</v>
      </c>
      <c r="DQ125" s="79">
        <f t="shared" si="827"/>
        <v>0</v>
      </c>
      <c r="DR125">
        <f t="shared" si="828"/>
        <v>0</v>
      </c>
      <c r="DS125">
        <f t="shared" si="829"/>
        <v>1</v>
      </c>
      <c r="DU125" s="79">
        <f t="shared" si="830"/>
        <v>0</v>
      </c>
      <c r="DV125" s="79">
        <f t="shared" si="831"/>
        <v>0</v>
      </c>
      <c r="DW125">
        <f t="shared" si="832"/>
        <v>0</v>
      </c>
      <c r="DX125">
        <f t="shared" si="833"/>
        <v>1</v>
      </c>
      <c r="DZ125" s="79">
        <f t="shared" si="834"/>
        <v>0</v>
      </c>
      <c r="EA125" s="79">
        <f t="shared" si="835"/>
        <v>0</v>
      </c>
      <c r="EB125">
        <f t="shared" si="836"/>
        <v>0</v>
      </c>
      <c r="EC125">
        <f t="shared" si="837"/>
        <v>1</v>
      </c>
    </row>
    <row r="126" spans="1:133">
      <c r="A126" s="164"/>
      <c r="B126" s="164"/>
      <c r="C126" s="164"/>
      <c r="D126" s="164"/>
      <c r="E126" s="164"/>
      <c r="F126" s="163"/>
      <c r="G126" s="164"/>
      <c r="H126" s="164"/>
      <c r="I126" s="164"/>
      <c r="J126" s="164"/>
      <c r="AH126" s="72">
        <f t="shared" si="748"/>
        <v>0</v>
      </c>
      <c r="AI126" s="72">
        <f t="shared" si="749"/>
        <v>0</v>
      </c>
      <c r="AJ126" s="72">
        <f t="shared" si="750"/>
        <v>0</v>
      </c>
      <c r="AK126" s="72">
        <f t="shared" si="751"/>
        <v>0</v>
      </c>
      <c r="AL126" s="72">
        <f t="shared" si="752"/>
        <v>0</v>
      </c>
      <c r="AM126" s="72">
        <f t="shared" si="753"/>
        <v>0</v>
      </c>
      <c r="AN126" s="72">
        <f t="shared" si="754"/>
        <v>0</v>
      </c>
      <c r="AO126" s="72">
        <f t="shared" si="755"/>
        <v>0</v>
      </c>
      <c r="AP126" s="72">
        <f t="shared" si="756"/>
        <v>0</v>
      </c>
      <c r="AQ126" s="72">
        <f t="shared" si="757"/>
        <v>0</v>
      </c>
      <c r="AR126" s="72">
        <f t="shared" si="758"/>
        <v>0</v>
      </c>
      <c r="AS126" s="72">
        <f t="shared" si="759"/>
        <v>0</v>
      </c>
      <c r="AT126" s="72">
        <f t="shared" si="760"/>
        <v>0</v>
      </c>
      <c r="AU126" s="72">
        <f t="shared" si="761"/>
        <v>0</v>
      </c>
      <c r="AV126" s="72">
        <f t="shared" si="762"/>
        <v>0</v>
      </c>
      <c r="AW126" s="72">
        <f t="shared" si="763"/>
        <v>0</v>
      </c>
      <c r="AX126" s="72">
        <f t="shared" si="764"/>
        <v>0</v>
      </c>
      <c r="AY126" s="72">
        <f t="shared" si="765"/>
        <v>0</v>
      </c>
      <c r="AZ126" s="72">
        <f t="shared" si="766"/>
        <v>0</v>
      </c>
      <c r="BA126" s="72">
        <f t="shared" si="767"/>
        <v>0</v>
      </c>
      <c r="BB126" s="72">
        <f t="shared" si="768"/>
        <v>0</v>
      </c>
      <c r="BC126" s="72">
        <f t="shared" si="769"/>
        <v>0</v>
      </c>
      <c r="BD126" s="72">
        <f t="shared" si="770"/>
        <v>0</v>
      </c>
      <c r="BE126" s="72">
        <f t="shared" si="771"/>
        <v>0</v>
      </c>
      <c r="BF126" s="72">
        <f t="shared" si="772"/>
        <v>0</v>
      </c>
      <c r="BG126" s="72">
        <f t="shared" si="773"/>
        <v>0</v>
      </c>
      <c r="BH126" s="72">
        <f t="shared" si="774"/>
        <v>0</v>
      </c>
      <c r="BI126" s="72">
        <f t="shared" si="775"/>
        <v>0</v>
      </c>
      <c r="BJ126" s="72">
        <f t="shared" si="776"/>
        <v>0</v>
      </c>
      <c r="BK126" s="72">
        <f t="shared" si="777"/>
        <v>0</v>
      </c>
      <c r="BL126" s="72">
        <f t="shared" si="778"/>
        <v>0</v>
      </c>
      <c r="BM126" s="72">
        <f t="shared" si="779"/>
        <v>0</v>
      </c>
      <c r="BN126" s="72">
        <f t="shared" si="780"/>
        <v>0</v>
      </c>
      <c r="BO126" s="72">
        <f t="shared" si="781"/>
        <v>0</v>
      </c>
      <c r="BP126" s="72">
        <f t="shared" si="782"/>
        <v>0</v>
      </c>
      <c r="BQ126" s="72">
        <f t="shared" si="783"/>
        <v>0</v>
      </c>
      <c r="BR126" s="72">
        <f t="shared" si="784"/>
        <v>0</v>
      </c>
      <c r="BS126" s="72">
        <f t="shared" si="785"/>
        <v>0</v>
      </c>
      <c r="BT126" s="72">
        <f t="shared" si="786"/>
        <v>0</v>
      </c>
      <c r="BU126" s="72">
        <f t="shared" si="787"/>
        <v>0</v>
      </c>
      <c r="BW126">
        <f t="shared" si="788"/>
        <v>0</v>
      </c>
      <c r="BX126">
        <f t="shared" si="789"/>
        <v>0</v>
      </c>
      <c r="BY126">
        <f t="shared" si="790"/>
        <v>0</v>
      </c>
      <c r="BZ126">
        <f t="shared" si="791"/>
        <v>0</v>
      </c>
      <c r="CA126">
        <f t="shared" si="792"/>
        <v>0</v>
      </c>
      <c r="CB126">
        <f t="shared" si="793"/>
        <v>0</v>
      </c>
      <c r="CD126">
        <f t="shared" si="794"/>
        <v>0</v>
      </c>
      <c r="CE126">
        <f t="shared" si="795"/>
        <v>0</v>
      </c>
      <c r="CF126">
        <f t="shared" si="796"/>
        <v>0</v>
      </c>
      <c r="CG126">
        <f t="shared" si="797"/>
        <v>0</v>
      </c>
      <c r="CH126">
        <f t="shared" si="798"/>
        <v>0</v>
      </c>
      <c r="CI126">
        <f t="shared" si="799"/>
        <v>0</v>
      </c>
      <c r="CK126">
        <f t="shared" si="800"/>
        <v>0</v>
      </c>
      <c r="CL126">
        <f t="shared" si="801"/>
        <v>0</v>
      </c>
      <c r="CM126">
        <f t="shared" si="802"/>
        <v>0</v>
      </c>
      <c r="CN126">
        <f t="shared" si="803"/>
        <v>0</v>
      </c>
      <c r="CO126">
        <f t="shared" si="804"/>
        <v>0</v>
      </c>
      <c r="CP126">
        <f t="shared" si="805"/>
        <v>0</v>
      </c>
      <c r="CR126">
        <f t="shared" si="806"/>
        <v>0</v>
      </c>
      <c r="CS126">
        <f t="shared" si="807"/>
        <v>0</v>
      </c>
      <c r="CT126">
        <f t="shared" si="808"/>
        <v>0</v>
      </c>
      <c r="CU126">
        <f t="shared" si="809"/>
        <v>0</v>
      </c>
      <c r="CV126">
        <f t="shared" si="810"/>
        <v>0</v>
      </c>
      <c r="CW126">
        <f t="shared" si="811"/>
        <v>0</v>
      </c>
      <c r="CY126">
        <f t="shared" si="812"/>
        <v>0</v>
      </c>
      <c r="CZ126">
        <f t="shared" si="813"/>
        <v>0</v>
      </c>
      <c r="DA126">
        <f t="shared" si="814"/>
        <v>0</v>
      </c>
      <c r="DB126">
        <f t="shared" si="815"/>
        <v>0</v>
      </c>
      <c r="DC126">
        <f t="shared" si="816"/>
        <v>0</v>
      </c>
      <c r="DD126">
        <f t="shared" si="817"/>
        <v>0</v>
      </c>
      <c r="DF126" s="79">
        <f t="shared" si="818"/>
        <v>0</v>
      </c>
      <c r="DG126" s="79">
        <f t="shared" si="819"/>
        <v>0</v>
      </c>
      <c r="DH126">
        <f t="shared" si="820"/>
        <v>0</v>
      </c>
      <c r="DI126">
        <f t="shared" si="821"/>
        <v>1</v>
      </c>
      <c r="DK126" s="79">
        <f t="shared" si="822"/>
        <v>0</v>
      </c>
      <c r="DL126" s="79">
        <f t="shared" si="823"/>
        <v>0</v>
      </c>
      <c r="DM126">
        <f t="shared" si="824"/>
        <v>1</v>
      </c>
      <c r="DN126">
        <f t="shared" si="825"/>
        <v>0</v>
      </c>
      <c r="DP126" s="79">
        <f t="shared" si="826"/>
        <v>0</v>
      </c>
      <c r="DQ126" s="79">
        <f t="shared" si="827"/>
        <v>0</v>
      </c>
      <c r="DR126">
        <f t="shared" si="828"/>
        <v>0</v>
      </c>
      <c r="DS126">
        <f t="shared" si="829"/>
        <v>1</v>
      </c>
      <c r="DU126" s="79">
        <f t="shared" si="830"/>
        <v>0</v>
      </c>
      <c r="DV126" s="79">
        <f t="shared" si="831"/>
        <v>0</v>
      </c>
      <c r="DW126">
        <f t="shared" si="832"/>
        <v>0</v>
      </c>
      <c r="DX126">
        <f t="shared" si="833"/>
        <v>1</v>
      </c>
      <c r="DZ126" s="79">
        <f t="shared" si="834"/>
        <v>0</v>
      </c>
      <c r="EA126" s="79">
        <f t="shared" si="835"/>
        <v>0</v>
      </c>
      <c r="EB126">
        <f t="shared" si="836"/>
        <v>0</v>
      </c>
      <c r="EC126">
        <f t="shared" si="837"/>
        <v>1</v>
      </c>
    </row>
    <row r="127" spans="1:133">
      <c r="A127" s="164"/>
      <c r="B127" s="164"/>
      <c r="C127" s="164"/>
      <c r="D127" s="164"/>
      <c r="E127" s="164"/>
      <c r="F127" s="163"/>
      <c r="G127" s="164"/>
      <c r="H127" s="164"/>
      <c r="I127" s="164"/>
      <c r="J127" s="164"/>
      <c r="AH127" s="72">
        <f t="shared" si="748"/>
        <v>0</v>
      </c>
      <c r="AI127" s="72">
        <f t="shared" si="749"/>
        <v>0</v>
      </c>
      <c r="AJ127" s="72">
        <f t="shared" si="750"/>
        <v>0</v>
      </c>
      <c r="AK127" s="72">
        <f t="shared" si="751"/>
        <v>0</v>
      </c>
      <c r="AL127" s="72">
        <f t="shared" si="752"/>
        <v>0</v>
      </c>
      <c r="AM127" s="72">
        <f t="shared" si="753"/>
        <v>0</v>
      </c>
      <c r="AN127" s="72">
        <f t="shared" si="754"/>
        <v>0</v>
      </c>
      <c r="AO127" s="72">
        <f t="shared" si="755"/>
        <v>0</v>
      </c>
      <c r="AP127" s="72">
        <f t="shared" si="756"/>
        <v>0</v>
      </c>
      <c r="AQ127" s="72">
        <f t="shared" si="757"/>
        <v>0</v>
      </c>
      <c r="AR127" s="72">
        <f t="shared" si="758"/>
        <v>0</v>
      </c>
      <c r="AS127" s="72">
        <f t="shared" si="759"/>
        <v>0</v>
      </c>
      <c r="AT127" s="72">
        <f t="shared" si="760"/>
        <v>0</v>
      </c>
      <c r="AU127" s="72">
        <f t="shared" si="761"/>
        <v>0</v>
      </c>
      <c r="AV127" s="72">
        <f t="shared" si="762"/>
        <v>0</v>
      </c>
      <c r="AW127" s="72">
        <f t="shared" si="763"/>
        <v>0</v>
      </c>
      <c r="AX127" s="72">
        <f t="shared" si="764"/>
        <v>0</v>
      </c>
      <c r="AY127" s="72">
        <f t="shared" si="765"/>
        <v>0</v>
      </c>
      <c r="AZ127" s="72">
        <f t="shared" si="766"/>
        <v>0</v>
      </c>
      <c r="BA127" s="72">
        <f t="shared" si="767"/>
        <v>0</v>
      </c>
      <c r="BB127" s="72">
        <f t="shared" si="768"/>
        <v>0</v>
      </c>
      <c r="BC127" s="72">
        <f t="shared" si="769"/>
        <v>0</v>
      </c>
      <c r="BD127" s="72">
        <f t="shared" si="770"/>
        <v>0</v>
      </c>
      <c r="BE127" s="72">
        <f t="shared" si="771"/>
        <v>0</v>
      </c>
      <c r="BF127" s="72">
        <f t="shared" si="772"/>
        <v>0</v>
      </c>
      <c r="BG127" s="72">
        <f t="shared" si="773"/>
        <v>0</v>
      </c>
      <c r="BH127" s="72">
        <f t="shared" si="774"/>
        <v>0</v>
      </c>
      <c r="BI127" s="72">
        <f t="shared" si="775"/>
        <v>0</v>
      </c>
      <c r="BJ127" s="72">
        <f t="shared" si="776"/>
        <v>0</v>
      </c>
      <c r="BK127" s="72">
        <f t="shared" si="777"/>
        <v>0</v>
      </c>
      <c r="BL127" s="72">
        <f t="shared" si="778"/>
        <v>0</v>
      </c>
      <c r="BM127" s="72">
        <f t="shared" si="779"/>
        <v>0</v>
      </c>
      <c r="BN127" s="72">
        <f t="shared" si="780"/>
        <v>0</v>
      </c>
      <c r="BO127" s="72">
        <f t="shared" si="781"/>
        <v>0</v>
      </c>
      <c r="BP127" s="72">
        <f t="shared" si="782"/>
        <v>0</v>
      </c>
      <c r="BQ127" s="72">
        <f t="shared" si="783"/>
        <v>0</v>
      </c>
      <c r="BR127" s="72">
        <f t="shared" si="784"/>
        <v>0</v>
      </c>
      <c r="BS127" s="72">
        <f t="shared" si="785"/>
        <v>0</v>
      </c>
      <c r="BT127" s="72">
        <f t="shared" si="786"/>
        <v>0</v>
      </c>
      <c r="BU127" s="72">
        <f t="shared" si="787"/>
        <v>0</v>
      </c>
      <c r="BW127">
        <f t="shared" si="788"/>
        <v>0</v>
      </c>
      <c r="BX127">
        <f t="shared" si="789"/>
        <v>0</v>
      </c>
      <c r="BY127">
        <f t="shared" si="790"/>
        <v>0</v>
      </c>
      <c r="BZ127">
        <f t="shared" si="791"/>
        <v>0</v>
      </c>
      <c r="CA127">
        <f t="shared" si="792"/>
        <v>0</v>
      </c>
      <c r="CB127">
        <f t="shared" si="793"/>
        <v>0</v>
      </c>
      <c r="CD127">
        <f t="shared" si="794"/>
        <v>0</v>
      </c>
      <c r="CE127">
        <f t="shared" si="795"/>
        <v>0</v>
      </c>
      <c r="CF127">
        <f t="shared" si="796"/>
        <v>0</v>
      </c>
      <c r="CG127">
        <f t="shared" si="797"/>
        <v>0</v>
      </c>
      <c r="CH127">
        <f t="shared" si="798"/>
        <v>0</v>
      </c>
      <c r="CI127">
        <f t="shared" si="799"/>
        <v>0</v>
      </c>
      <c r="CK127">
        <f t="shared" si="800"/>
        <v>0</v>
      </c>
      <c r="CL127">
        <f t="shared" si="801"/>
        <v>0</v>
      </c>
      <c r="CM127">
        <f t="shared" si="802"/>
        <v>0</v>
      </c>
      <c r="CN127">
        <f t="shared" si="803"/>
        <v>0</v>
      </c>
      <c r="CO127">
        <f t="shared" si="804"/>
        <v>0</v>
      </c>
      <c r="CP127">
        <f t="shared" si="805"/>
        <v>0</v>
      </c>
      <c r="CR127">
        <f t="shared" si="806"/>
        <v>0</v>
      </c>
      <c r="CS127">
        <f t="shared" si="807"/>
        <v>0</v>
      </c>
      <c r="CT127">
        <f t="shared" si="808"/>
        <v>0</v>
      </c>
      <c r="CU127">
        <f t="shared" si="809"/>
        <v>0</v>
      </c>
      <c r="CV127">
        <f t="shared" si="810"/>
        <v>0</v>
      </c>
      <c r="CW127">
        <f t="shared" si="811"/>
        <v>0</v>
      </c>
      <c r="CY127">
        <f t="shared" si="812"/>
        <v>0</v>
      </c>
      <c r="CZ127">
        <f t="shared" si="813"/>
        <v>0</v>
      </c>
      <c r="DA127">
        <f t="shared" si="814"/>
        <v>0</v>
      </c>
      <c r="DB127">
        <f t="shared" si="815"/>
        <v>0</v>
      </c>
      <c r="DC127">
        <f t="shared" si="816"/>
        <v>0</v>
      </c>
      <c r="DD127">
        <f t="shared" si="817"/>
        <v>0</v>
      </c>
      <c r="DF127" s="79">
        <f t="shared" si="818"/>
        <v>0</v>
      </c>
      <c r="DG127" s="79">
        <f t="shared" si="819"/>
        <v>0</v>
      </c>
      <c r="DH127">
        <f t="shared" si="820"/>
        <v>0</v>
      </c>
      <c r="DI127">
        <f t="shared" si="821"/>
        <v>1</v>
      </c>
      <c r="DK127" s="79">
        <f t="shared" si="822"/>
        <v>0</v>
      </c>
      <c r="DL127" s="79">
        <f t="shared" si="823"/>
        <v>0</v>
      </c>
      <c r="DM127">
        <f t="shared" si="824"/>
        <v>1</v>
      </c>
      <c r="DN127">
        <f t="shared" si="825"/>
        <v>0</v>
      </c>
      <c r="DP127" s="79">
        <f t="shared" si="826"/>
        <v>0</v>
      </c>
      <c r="DQ127" s="79">
        <f t="shared" si="827"/>
        <v>0</v>
      </c>
      <c r="DR127">
        <f t="shared" si="828"/>
        <v>0</v>
      </c>
      <c r="DS127">
        <f t="shared" si="829"/>
        <v>1</v>
      </c>
      <c r="DU127" s="79">
        <f t="shared" si="830"/>
        <v>0</v>
      </c>
      <c r="DV127" s="79">
        <f t="shared" si="831"/>
        <v>0</v>
      </c>
      <c r="DW127">
        <f t="shared" si="832"/>
        <v>0</v>
      </c>
      <c r="DX127">
        <f t="shared" si="833"/>
        <v>1</v>
      </c>
      <c r="DZ127" s="79">
        <f t="shared" si="834"/>
        <v>0</v>
      </c>
      <c r="EA127" s="79">
        <f t="shared" si="835"/>
        <v>0</v>
      </c>
      <c r="EB127">
        <f t="shared" si="836"/>
        <v>0</v>
      </c>
      <c r="EC127">
        <f t="shared" si="837"/>
        <v>1</v>
      </c>
    </row>
    <row r="128" spans="1:133">
      <c r="A128" s="164"/>
      <c r="B128" s="164"/>
      <c r="C128" s="164"/>
      <c r="D128" s="164"/>
      <c r="E128" s="164"/>
      <c r="F128" s="163"/>
      <c r="G128" s="164"/>
      <c r="H128" s="164"/>
      <c r="I128" s="164"/>
      <c r="J128" s="164"/>
      <c r="AH128" s="72">
        <f t="shared" si="748"/>
        <v>0</v>
      </c>
      <c r="AI128" s="72">
        <f t="shared" si="749"/>
        <v>0</v>
      </c>
      <c r="AJ128" s="72">
        <f t="shared" si="750"/>
        <v>0</v>
      </c>
      <c r="AK128" s="72">
        <f t="shared" si="751"/>
        <v>0</v>
      </c>
      <c r="AL128" s="72">
        <f t="shared" si="752"/>
        <v>0</v>
      </c>
      <c r="AM128" s="72">
        <f t="shared" si="753"/>
        <v>0</v>
      </c>
      <c r="AN128" s="72">
        <f t="shared" si="754"/>
        <v>0</v>
      </c>
      <c r="AO128" s="72">
        <f t="shared" si="755"/>
        <v>0</v>
      </c>
      <c r="AP128" s="72">
        <f t="shared" si="756"/>
        <v>0</v>
      </c>
      <c r="AQ128" s="72">
        <f t="shared" si="757"/>
        <v>0</v>
      </c>
      <c r="AR128" s="72">
        <f t="shared" si="758"/>
        <v>0</v>
      </c>
      <c r="AS128" s="72">
        <f t="shared" si="759"/>
        <v>0</v>
      </c>
      <c r="AT128" s="72">
        <f t="shared" si="760"/>
        <v>0</v>
      </c>
      <c r="AU128" s="72">
        <f t="shared" si="761"/>
        <v>0</v>
      </c>
      <c r="AV128" s="72">
        <f t="shared" si="762"/>
        <v>0</v>
      </c>
      <c r="AW128" s="72">
        <f t="shared" si="763"/>
        <v>0</v>
      </c>
      <c r="AX128" s="72">
        <f t="shared" si="764"/>
        <v>0</v>
      </c>
      <c r="AY128" s="72">
        <f t="shared" si="765"/>
        <v>0</v>
      </c>
      <c r="AZ128" s="72">
        <f t="shared" si="766"/>
        <v>0</v>
      </c>
      <c r="BA128" s="72">
        <f t="shared" si="767"/>
        <v>0</v>
      </c>
      <c r="BB128" s="72">
        <f t="shared" si="768"/>
        <v>0</v>
      </c>
      <c r="BC128" s="72">
        <f t="shared" si="769"/>
        <v>0</v>
      </c>
      <c r="BD128" s="72">
        <f t="shared" si="770"/>
        <v>0</v>
      </c>
      <c r="BE128" s="72">
        <f t="shared" si="771"/>
        <v>0</v>
      </c>
      <c r="BF128" s="72">
        <f t="shared" si="772"/>
        <v>0</v>
      </c>
      <c r="BG128" s="72">
        <f t="shared" si="773"/>
        <v>0</v>
      </c>
      <c r="BH128" s="72">
        <f t="shared" si="774"/>
        <v>0</v>
      </c>
      <c r="BI128" s="72">
        <f t="shared" si="775"/>
        <v>0</v>
      </c>
      <c r="BJ128" s="72">
        <f t="shared" si="776"/>
        <v>0</v>
      </c>
      <c r="BK128" s="72">
        <f t="shared" si="777"/>
        <v>0</v>
      </c>
      <c r="BL128" s="72">
        <f t="shared" si="778"/>
        <v>0</v>
      </c>
      <c r="BM128" s="72">
        <f t="shared" si="779"/>
        <v>0</v>
      </c>
      <c r="BN128" s="72">
        <f t="shared" si="780"/>
        <v>0</v>
      </c>
      <c r="BO128" s="72">
        <f t="shared" si="781"/>
        <v>0</v>
      </c>
      <c r="BP128" s="72">
        <f t="shared" si="782"/>
        <v>0</v>
      </c>
      <c r="BQ128" s="72">
        <f t="shared" si="783"/>
        <v>0</v>
      </c>
      <c r="BR128" s="72">
        <f t="shared" si="784"/>
        <v>0</v>
      </c>
      <c r="BS128" s="72">
        <f t="shared" si="785"/>
        <v>0</v>
      </c>
      <c r="BT128" s="72">
        <f t="shared" si="786"/>
        <v>0</v>
      </c>
      <c r="BU128" s="72">
        <f t="shared" si="787"/>
        <v>0</v>
      </c>
      <c r="BW128">
        <f t="shared" si="788"/>
        <v>0</v>
      </c>
      <c r="BX128">
        <f t="shared" si="789"/>
        <v>0</v>
      </c>
      <c r="BY128">
        <f t="shared" si="790"/>
        <v>0</v>
      </c>
      <c r="BZ128">
        <f t="shared" si="791"/>
        <v>0</v>
      </c>
      <c r="CA128">
        <f t="shared" si="792"/>
        <v>0</v>
      </c>
      <c r="CB128">
        <f t="shared" si="793"/>
        <v>0</v>
      </c>
      <c r="CD128">
        <f t="shared" si="794"/>
        <v>0</v>
      </c>
      <c r="CE128">
        <f t="shared" si="795"/>
        <v>0</v>
      </c>
      <c r="CF128">
        <f t="shared" si="796"/>
        <v>0</v>
      </c>
      <c r="CG128">
        <f t="shared" si="797"/>
        <v>0</v>
      </c>
      <c r="CH128">
        <f t="shared" si="798"/>
        <v>0</v>
      </c>
      <c r="CI128">
        <f t="shared" si="799"/>
        <v>0</v>
      </c>
      <c r="CK128">
        <f t="shared" si="800"/>
        <v>0</v>
      </c>
      <c r="CL128">
        <f t="shared" si="801"/>
        <v>0</v>
      </c>
      <c r="CM128">
        <f t="shared" si="802"/>
        <v>0</v>
      </c>
      <c r="CN128">
        <f t="shared" si="803"/>
        <v>0</v>
      </c>
      <c r="CO128">
        <f t="shared" si="804"/>
        <v>0</v>
      </c>
      <c r="CP128">
        <f t="shared" si="805"/>
        <v>0</v>
      </c>
      <c r="CR128">
        <f t="shared" si="806"/>
        <v>0</v>
      </c>
      <c r="CS128">
        <f t="shared" si="807"/>
        <v>0</v>
      </c>
      <c r="CT128">
        <f t="shared" si="808"/>
        <v>0</v>
      </c>
      <c r="CU128">
        <f t="shared" si="809"/>
        <v>0</v>
      </c>
      <c r="CV128">
        <f t="shared" si="810"/>
        <v>0</v>
      </c>
      <c r="CW128">
        <f t="shared" si="811"/>
        <v>0</v>
      </c>
      <c r="CY128">
        <f t="shared" si="812"/>
        <v>0</v>
      </c>
      <c r="CZ128">
        <f t="shared" si="813"/>
        <v>0</v>
      </c>
      <c r="DA128">
        <f t="shared" si="814"/>
        <v>0</v>
      </c>
      <c r="DB128">
        <f t="shared" si="815"/>
        <v>0</v>
      </c>
      <c r="DC128">
        <f t="shared" si="816"/>
        <v>0</v>
      </c>
      <c r="DD128">
        <f t="shared" si="817"/>
        <v>0</v>
      </c>
      <c r="DF128" s="79">
        <f t="shared" si="818"/>
        <v>0</v>
      </c>
      <c r="DG128" s="79">
        <f t="shared" si="819"/>
        <v>0</v>
      </c>
      <c r="DH128">
        <f t="shared" si="820"/>
        <v>0</v>
      </c>
      <c r="DI128">
        <f t="shared" si="821"/>
        <v>1</v>
      </c>
      <c r="DK128" s="79">
        <f t="shared" si="822"/>
        <v>0</v>
      </c>
      <c r="DL128" s="79">
        <f t="shared" si="823"/>
        <v>0</v>
      </c>
      <c r="DM128">
        <f t="shared" si="824"/>
        <v>1</v>
      </c>
      <c r="DN128">
        <f t="shared" si="825"/>
        <v>0</v>
      </c>
      <c r="DP128" s="79">
        <f t="shared" si="826"/>
        <v>0</v>
      </c>
      <c r="DQ128" s="79">
        <f t="shared" si="827"/>
        <v>0</v>
      </c>
      <c r="DR128">
        <f t="shared" si="828"/>
        <v>0</v>
      </c>
      <c r="DS128">
        <f t="shared" si="829"/>
        <v>1</v>
      </c>
      <c r="DU128" s="79">
        <f t="shared" si="830"/>
        <v>0</v>
      </c>
      <c r="DV128" s="79">
        <f t="shared" si="831"/>
        <v>0</v>
      </c>
      <c r="DW128">
        <f t="shared" si="832"/>
        <v>0</v>
      </c>
      <c r="DX128">
        <f t="shared" si="833"/>
        <v>1</v>
      </c>
      <c r="DZ128" s="79">
        <f t="shared" si="834"/>
        <v>0</v>
      </c>
      <c r="EA128" s="79">
        <f t="shared" si="835"/>
        <v>0</v>
      </c>
      <c r="EB128">
        <f t="shared" si="836"/>
        <v>0</v>
      </c>
      <c r="EC128">
        <f t="shared" si="837"/>
        <v>1</v>
      </c>
    </row>
    <row r="129" spans="1:133">
      <c r="A129" s="164"/>
      <c r="B129" s="164"/>
      <c r="C129" s="164"/>
      <c r="D129" s="164"/>
      <c r="E129" s="164"/>
      <c r="F129" s="163"/>
      <c r="G129" s="164"/>
      <c r="H129" s="164"/>
      <c r="I129" s="164"/>
      <c r="J129" s="164"/>
      <c r="AH129" s="72">
        <f t="shared" si="748"/>
        <v>0</v>
      </c>
      <c r="AI129" s="72">
        <f t="shared" si="749"/>
        <v>0</v>
      </c>
      <c r="AJ129" s="72">
        <f t="shared" si="750"/>
        <v>0</v>
      </c>
      <c r="AK129" s="72">
        <f t="shared" si="751"/>
        <v>0</v>
      </c>
      <c r="AL129" s="72">
        <f t="shared" si="752"/>
        <v>0</v>
      </c>
      <c r="AM129" s="72">
        <f t="shared" si="753"/>
        <v>0</v>
      </c>
      <c r="AN129" s="72">
        <f t="shared" si="754"/>
        <v>0</v>
      </c>
      <c r="AO129" s="72">
        <f t="shared" si="755"/>
        <v>0</v>
      </c>
      <c r="AP129" s="72">
        <f t="shared" si="756"/>
        <v>0</v>
      </c>
      <c r="AQ129" s="72">
        <f t="shared" si="757"/>
        <v>0</v>
      </c>
      <c r="AR129" s="72">
        <f t="shared" si="758"/>
        <v>0</v>
      </c>
      <c r="AS129" s="72">
        <f t="shared" si="759"/>
        <v>0</v>
      </c>
      <c r="AT129" s="72">
        <f t="shared" si="760"/>
        <v>0</v>
      </c>
      <c r="AU129" s="72">
        <f t="shared" si="761"/>
        <v>0</v>
      </c>
      <c r="AV129" s="72">
        <f t="shared" si="762"/>
        <v>0</v>
      </c>
      <c r="AW129" s="72">
        <f t="shared" si="763"/>
        <v>0</v>
      </c>
      <c r="AX129" s="72">
        <f t="shared" si="764"/>
        <v>0</v>
      </c>
      <c r="AY129" s="72">
        <f t="shared" si="765"/>
        <v>0</v>
      </c>
      <c r="AZ129" s="72">
        <f t="shared" si="766"/>
        <v>0</v>
      </c>
      <c r="BA129" s="72">
        <f t="shared" si="767"/>
        <v>0</v>
      </c>
      <c r="BB129" s="72">
        <f t="shared" si="768"/>
        <v>0</v>
      </c>
      <c r="BC129" s="72">
        <f t="shared" si="769"/>
        <v>0</v>
      </c>
      <c r="BD129" s="72">
        <f t="shared" si="770"/>
        <v>0</v>
      </c>
      <c r="BE129" s="72">
        <f t="shared" si="771"/>
        <v>0</v>
      </c>
      <c r="BF129" s="72">
        <f t="shared" si="772"/>
        <v>0</v>
      </c>
      <c r="BG129" s="72">
        <f t="shared" si="773"/>
        <v>0</v>
      </c>
      <c r="BH129" s="72">
        <f t="shared" si="774"/>
        <v>0</v>
      </c>
      <c r="BI129" s="72">
        <f t="shared" si="775"/>
        <v>0</v>
      </c>
      <c r="BJ129" s="72">
        <f t="shared" si="776"/>
        <v>0</v>
      </c>
      <c r="BK129" s="72">
        <f t="shared" si="777"/>
        <v>0</v>
      </c>
      <c r="BL129" s="72">
        <f t="shared" si="778"/>
        <v>0</v>
      </c>
      <c r="BM129" s="72">
        <f t="shared" si="779"/>
        <v>0</v>
      </c>
      <c r="BN129" s="72">
        <f t="shared" si="780"/>
        <v>0</v>
      </c>
      <c r="BO129" s="72">
        <f t="shared" si="781"/>
        <v>0</v>
      </c>
      <c r="BP129" s="72">
        <f t="shared" si="782"/>
        <v>0</v>
      </c>
      <c r="BQ129" s="72">
        <f t="shared" si="783"/>
        <v>0</v>
      </c>
      <c r="BR129" s="72">
        <f t="shared" si="784"/>
        <v>0</v>
      </c>
      <c r="BS129" s="72">
        <f t="shared" si="785"/>
        <v>0</v>
      </c>
      <c r="BT129" s="72">
        <f t="shared" si="786"/>
        <v>0</v>
      </c>
      <c r="BU129" s="72">
        <f t="shared" si="787"/>
        <v>0</v>
      </c>
      <c r="BW129">
        <f t="shared" si="788"/>
        <v>0</v>
      </c>
      <c r="BX129">
        <f t="shared" si="789"/>
        <v>0</v>
      </c>
      <c r="BY129">
        <f t="shared" si="790"/>
        <v>0</v>
      </c>
      <c r="BZ129">
        <f t="shared" si="791"/>
        <v>0</v>
      </c>
      <c r="CA129">
        <f t="shared" si="792"/>
        <v>0</v>
      </c>
      <c r="CB129">
        <f t="shared" si="793"/>
        <v>0</v>
      </c>
      <c r="CD129">
        <f t="shared" si="794"/>
        <v>0</v>
      </c>
      <c r="CE129">
        <f t="shared" si="795"/>
        <v>0</v>
      </c>
      <c r="CF129">
        <f t="shared" si="796"/>
        <v>0</v>
      </c>
      <c r="CG129">
        <f t="shared" si="797"/>
        <v>0</v>
      </c>
      <c r="CH129">
        <f t="shared" si="798"/>
        <v>0</v>
      </c>
      <c r="CI129">
        <f t="shared" si="799"/>
        <v>0</v>
      </c>
      <c r="CK129">
        <f t="shared" si="800"/>
        <v>0</v>
      </c>
      <c r="CL129">
        <f t="shared" si="801"/>
        <v>0</v>
      </c>
      <c r="CM129">
        <f t="shared" si="802"/>
        <v>0</v>
      </c>
      <c r="CN129">
        <f t="shared" si="803"/>
        <v>0</v>
      </c>
      <c r="CO129">
        <f t="shared" si="804"/>
        <v>0</v>
      </c>
      <c r="CP129">
        <f t="shared" si="805"/>
        <v>0</v>
      </c>
      <c r="CR129">
        <f t="shared" si="806"/>
        <v>0</v>
      </c>
      <c r="CS129">
        <f t="shared" si="807"/>
        <v>0</v>
      </c>
      <c r="CT129">
        <f t="shared" si="808"/>
        <v>0</v>
      </c>
      <c r="CU129">
        <f t="shared" si="809"/>
        <v>0</v>
      </c>
      <c r="CV129">
        <f t="shared" si="810"/>
        <v>0</v>
      </c>
      <c r="CW129">
        <f t="shared" si="811"/>
        <v>0</v>
      </c>
      <c r="CY129">
        <f t="shared" si="812"/>
        <v>0</v>
      </c>
      <c r="CZ129">
        <f t="shared" si="813"/>
        <v>0</v>
      </c>
      <c r="DA129">
        <f t="shared" si="814"/>
        <v>0</v>
      </c>
      <c r="DB129">
        <f t="shared" si="815"/>
        <v>0</v>
      </c>
      <c r="DC129">
        <f t="shared" si="816"/>
        <v>0</v>
      </c>
      <c r="DD129">
        <f t="shared" si="817"/>
        <v>0</v>
      </c>
      <c r="DF129" s="79">
        <f t="shared" si="818"/>
        <v>0</v>
      </c>
      <c r="DG129" s="79">
        <f t="shared" si="819"/>
        <v>0</v>
      </c>
      <c r="DH129">
        <f t="shared" si="820"/>
        <v>0</v>
      </c>
      <c r="DI129">
        <f t="shared" si="821"/>
        <v>1</v>
      </c>
      <c r="DK129" s="79">
        <f t="shared" si="822"/>
        <v>0</v>
      </c>
      <c r="DL129" s="79">
        <f t="shared" si="823"/>
        <v>0</v>
      </c>
      <c r="DM129">
        <f t="shared" si="824"/>
        <v>1</v>
      </c>
      <c r="DN129">
        <f t="shared" si="825"/>
        <v>0</v>
      </c>
      <c r="DP129" s="79">
        <f t="shared" si="826"/>
        <v>0</v>
      </c>
      <c r="DQ129" s="79">
        <f t="shared" si="827"/>
        <v>0</v>
      </c>
      <c r="DR129">
        <f t="shared" si="828"/>
        <v>0</v>
      </c>
      <c r="DS129">
        <f t="shared" si="829"/>
        <v>1</v>
      </c>
      <c r="DU129" s="79">
        <f t="shared" si="830"/>
        <v>0</v>
      </c>
      <c r="DV129" s="79">
        <f t="shared" si="831"/>
        <v>0</v>
      </c>
      <c r="DW129">
        <f t="shared" si="832"/>
        <v>0</v>
      </c>
      <c r="DX129">
        <f t="shared" si="833"/>
        <v>1</v>
      </c>
      <c r="DZ129" s="79">
        <f t="shared" si="834"/>
        <v>0</v>
      </c>
      <c r="EA129" s="79">
        <f t="shared" si="835"/>
        <v>0</v>
      </c>
      <c r="EB129">
        <f t="shared" si="836"/>
        <v>0</v>
      </c>
      <c r="EC129">
        <f t="shared" si="837"/>
        <v>1</v>
      </c>
    </row>
    <row r="130" spans="1:133">
      <c r="A130" s="164"/>
      <c r="B130" s="164"/>
      <c r="C130" s="164"/>
      <c r="D130" s="164"/>
      <c r="E130" s="164"/>
      <c r="F130" s="163"/>
      <c r="G130" s="164"/>
      <c r="H130" s="164"/>
      <c r="I130" s="164"/>
      <c r="J130" s="164"/>
      <c r="AH130" s="72">
        <f t="shared" si="748"/>
        <v>0</v>
      </c>
      <c r="AI130" s="72">
        <f t="shared" si="749"/>
        <v>0</v>
      </c>
      <c r="AJ130" s="72">
        <f t="shared" si="750"/>
        <v>0</v>
      </c>
      <c r="AK130" s="72">
        <f t="shared" si="751"/>
        <v>0</v>
      </c>
      <c r="AL130" s="72">
        <f t="shared" si="752"/>
        <v>0</v>
      </c>
      <c r="AM130" s="72">
        <f t="shared" si="753"/>
        <v>0</v>
      </c>
      <c r="AN130" s="72">
        <f t="shared" si="754"/>
        <v>0</v>
      </c>
      <c r="AO130" s="72">
        <f t="shared" si="755"/>
        <v>0</v>
      </c>
      <c r="AP130" s="72">
        <f t="shared" si="756"/>
        <v>0</v>
      </c>
      <c r="AQ130" s="72">
        <f t="shared" si="757"/>
        <v>0</v>
      </c>
      <c r="AR130" s="72">
        <f t="shared" si="758"/>
        <v>0</v>
      </c>
      <c r="AS130" s="72">
        <f t="shared" si="759"/>
        <v>0</v>
      </c>
      <c r="AT130" s="72">
        <f t="shared" si="760"/>
        <v>0</v>
      </c>
      <c r="AU130" s="72">
        <f t="shared" si="761"/>
        <v>0</v>
      </c>
      <c r="AV130" s="72">
        <f t="shared" si="762"/>
        <v>0</v>
      </c>
      <c r="AW130" s="72">
        <f t="shared" si="763"/>
        <v>0</v>
      </c>
      <c r="AX130" s="72">
        <f t="shared" si="764"/>
        <v>0</v>
      </c>
      <c r="AY130" s="72">
        <f t="shared" si="765"/>
        <v>0</v>
      </c>
      <c r="AZ130" s="72">
        <f t="shared" si="766"/>
        <v>0</v>
      </c>
      <c r="BA130" s="72">
        <f t="shared" si="767"/>
        <v>0</v>
      </c>
      <c r="BB130" s="72">
        <f t="shared" si="768"/>
        <v>0</v>
      </c>
      <c r="BC130" s="72">
        <f t="shared" si="769"/>
        <v>0</v>
      </c>
      <c r="BD130" s="72">
        <f t="shared" si="770"/>
        <v>0</v>
      </c>
      <c r="BE130" s="72">
        <f t="shared" si="771"/>
        <v>0</v>
      </c>
      <c r="BF130" s="72">
        <f t="shared" si="772"/>
        <v>0</v>
      </c>
      <c r="BG130" s="72">
        <f t="shared" si="773"/>
        <v>0</v>
      </c>
      <c r="BH130" s="72">
        <f t="shared" si="774"/>
        <v>0</v>
      </c>
      <c r="BI130" s="72">
        <f t="shared" si="775"/>
        <v>0</v>
      </c>
      <c r="BJ130" s="72">
        <f t="shared" si="776"/>
        <v>0</v>
      </c>
      <c r="BK130" s="72">
        <f t="shared" si="777"/>
        <v>0</v>
      </c>
      <c r="BL130" s="72">
        <f t="shared" si="778"/>
        <v>0</v>
      </c>
      <c r="BM130" s="72">
        <f t="shared" si="779"/>
        <v>0</v>
      </c>
      <c r="BN130" s="72">
        <f t="shared" si="780"/>
        <v>0</v>
      </c>
      <c r="BO130" s="72">
        <f t="shared" si="781"/>
        <v>0</v>
      </c>
      <c r="BP130" s="72">
        <f t="shared" si="782"/>
        <v>0</v>
      </c>
      <c r="BQ130" s="72">
        <f t="shared" si="783"/>
        <v>0</v>
      </c>
      <c r="BR130" s="72">
        <f t="shared" si="784"/>
        <v>0</v>
      </c>
      <c r="BS130" s="72">
        <f t="shared" si="785"/>
        <v>0</v>
      </c>
      <c r="BT130" s="72">
        <f t="shared" si="786"/>
        <v>0</v>
      </c>
      <c r="BU130" s="72">
        <f t="shared" si="787"/>
        <v>0</v>
      </c>
      <c r="BW130">
        <f t="shared" si="788"/>
        <v>0</v>
      </c>
      <c r="BX130">
        <f t="shared" si="789"/>
        <v>0</v>
      </c>
      <c r="BY130">
        <f t="shared" si="790"/>
        <v>0</v>
      </c>
      <c r="BZ130">
        <f t="shared" si="791"/>
        <v>0</v>
      </c>
      <c r="CA130">
        <f t="shared" si="792"/>
        <v>0</v>
      </c>
      <c r="CB130">
        <f t="shared" si="793"/>
        <v>0</v>
      </c>
      <c r="CD130">
        <f t="shared" si="794"/>
        <v>0</v>
      </c>
      <c r="CE130">
        <f t="shared" si="795"/>
        <v>0</v>
      </c>
      <c r="CF130">
        <f t="shared" si="796"/>
        <v>0</v>
      </c>
      <c r="CG130">
        <f t="shared" si="797"/>
        <v>0</v>
      </c>
      <c r="CH130">
        <f t="shared" si="798"/>
        <v>0</v>
      </c>
      <c r="CI130">
        <f t="shared" si="799"/>
        <v>0</v>
      </c>
      <c r="CK130">
        <f t="shared" si="800"/>
        <v>0</v>
      </c>
      <c r="CL130">
        <f t="shared" si="801"/>
        <v>0</v>
      </c>
      <c r="CM130">
        <f t="shared" si="802"/>
        <v>0</v>
      </c>
      <c r="CN130">
        <f t="shared" si="803"/>
        <v>0</v>
      </c>
      <c r="CO130">
        <f t="shared" si="804"/>
        <v>0</v>
      </c>
      <c r="CP130">
        <f t="shared" si="805"/>
        <v>0</v>
      </c>
      <c r="CR130">
        <f t="shared" si="806"/>
        <v>0</v>
      </c>
      <c r="CS130">
        <f t="shared" si="807"/>
        <v>0</v>
      </c>
      <c r="CT130">
        <f t="shared" si="808"/>
        <v>0</v>
      </c>
      <c r="CU130">
        <f t="shared" si="809"/>
        <v>0</v>
      </c>
      <c r="CV130">
        <f t="shared" si="810"/>
        <v>0</v>
      </c>
      <c r="CW130">
        <f t="shared" si="811"/>
        <v>0</v>
      </c>
      <c r="CY130">
        <f t="shared" si="812"/>
        <v>0</v>
      </c>
      <c r="CZ130">
        <f t="shared" si="813"/>
        <v>0</v>
      </c>
      <c r="DA130">
        <f t="shared" si="814"/>
        <v>0</v>
      </c>
      <c r="DB130">
        <f t="shared" si="815"/>
        <v>0</v>
      </c>
      <c r="DC130">
        <f t="shared" si="816"/>
        <v>0</v>
      </c>
      <c r="DD130">
        <f t="shared" si="817"/>
        <v>0</v>
      </c>
      <c r="DF130" s="79">
        <f t="shared" si="818"/>
        <v>0</v>
      </c>
      <c r="DG130" s="79">
        <f t="shared" si="819"/>
        <v>0</v>
      </c>
      <c r="DH130">
        <f t="shared" si="820"/>
        <v>0</v>
      </c>
      <c r="DI130">
        <f t="shared" si="821"/>
        <v>1</v>
      </c>
      <c r="DK130" s="79">
        <f t="shared" si="822"/>
        <v>0</v>
      </c>
      <c r="DL130" s="79">
        <f t="shared" si="823"/>
        <v>0</v>
      </c>
      <c r="DM130">
        <f t="shared" si="824"/>
        <v>1</v>
      </c>
      <c r="DN130">
        <f t="shared" si="825"/>
        <v>0</v>
      </c>
      <c r="DP130" s="79">
        <f t="shared" si="826"/>
        <v>0</v>
      </c>
      <c r="DQ130" s="79">
        <f t="shared" si="827"/>
        <v>0</v>
      </c>
      <c r="DR130">
        <f t="shared" si="828"/>
        <v>0</v>
      </c>
      <c r="DS130">
        <f t="shared" si="829"/>
        <v>1</v>
      </c>
      <c r="DU130" s="79">
        <f t="shared" si="830"/>
        <v>0</v>
      </c>
      <c r="DV130" s="79">
        <f t="shared" si="831"/>
        <v>0</v>
      </c>
      <c r="DW130">
        <f t="shared" si="832"/>
        <v>0</v>
      </c>
      <c r="DX130">
        <f t="shared" si="833"/>
        <v>1</v>
      </c>
      <c r="DZ130" s="79">
        <f t="shared" si="834"/>
        <v>0</v>
      </c>
      <c r="EA130" s="79">
        <f t="shared" si="835"/>
        <v>0</v>
      </c>
      <c r="EB130">
        <f t="shared" si="836"/>
        <v>0</v>
      </c>
      <c r="EC130">
        <f t="shared" si="837"/>
        <v>1</v>
      </c>
    </row>
    <row r="131" spans="1:133">
      <c r="A131" s="164"/>
      <c r="B131" s="164"/>
      <c r="C131" s="164"/>
      <c r="D131" s="164"/>
      <c r="E131" s="164"/>
      <c r="F131" s="163"/>
      <c r="G131" s="164"/>
      <c r="H131" s="164"/>
      <c r="I131" s="164"/>
      <c r="J131" s="164"/>
      <c r="AH131" s="72">
        <f t="shared" si="748"/>
        <v>0</v>
      </c>
      <c r="AI131" s="72">
        <f t="shared" si="749"/>
        <v>0</v>
      </c>
      <c r="AJ131" s="72">
        <f t="shared" si="750"/>
        <v>0</v>
      </c>
      <c r="AK131" s="72">
        <f t="shared" si="751"/>
        <v>0</v>
      </c>
      <c r="AL131" s="72">
        <f t="shared" si="752"/>
        <v>0</v>
      </c>
      <c r="AM131" s="72">
        <f t="shared" si="753"/>
        <v>0</v>
      </c>
      <c r="AN131" s="72">
        <f t="shared" si="754"/>
        <v>0</v>
      </c>
      <c r="AO131" s="72">
        <f t="shared" si="755"/>
        <v>0</v>
      </c>
      <c r="AP131" s="72">
        <f t="shared" si="756"/>
        <v>0</v>
      </c>
      <c r="AQ131" s="72">
        <f t="shared" si="757"/>
        <v>0</v>
      </c>
      <c r="AR131" s="72">
        <f t="shared" si="758"/>
        <v>0</v>
      </c>
      <c r="AS131" s="72">
        <f t="shared" si="759"/>
        <v>0</v>
      </c>
      <c r="AT131" s="72">
        <f t="shared" si="760"/>
        <v>0</v>
      </c>
      <c r="AU131" s="72">
        <f t="shared" si="761"/>
        <v>0</v>
      </c>
      <c r="AV131" s="72">
        <f t="shared" si="762"/>
        <v>0</v>
      </c>
      <c r="AW131" s="72">
        <f t="shared" si="763"/>
        <v>0</v>
      </c>
      <c r="AX131" s="72">
        <f t="shared" si="764"/>
        <v>0</v>
      </c>
      <c r="AY131" s="72">
        <f t="shared" si="765"/>
        <v>0</v>
      </c>
      <c r="AZ131" s="72">
        <f t="shared" si="766"/>
        <v>0</v>
      </c>
      <c r="BA131" s="72">
        <f t="shared" si="767"/>
        <v>0</v>
      </c>
      <c r="BB131" s="72">
        <f t="shared" si="768"/>
        <v>0</v>
      </c>
      <c r="BC131" s="72">
        <f t="shared" si="769"/>
        <v>0</v>
      </c>
      <c r="BD131" s="72">
        <f t="shared" si="770"/>
        <v>0</v>
      </c>
      <c r="BE131" s="72">
        <f t="shared" si="771"/>
        <v>0</v>
      </c>
      <c r="BF131" s="72">
        <f t="shared" si="772"/>
        <v>0</v>
      </c>
      <c r="BG131" s="72">
        <f t="shared" si="773"/>
        <v>0</v>
      </c>
      <c r="BH131" s="72">
        <f t="shared" si="774"/>
        <v>0</v>
      </c>
      <c r="BI131" s="72">
        <f t="shared" si="775"/>
        <v>0</v>
      </c>
      <c r="BJ131" s="72">
        <f t="shared" si="776"/>
        <v>0</v>
      </c>
      <c r="BK131" s="72">
        <f t="shared" si="777"/>
        <v>0</v>
      </c>
      <c r="BL131" s="72">
        <f t="shared" si="778"/>
        <v>0</v>
      </c>
      <c r="BM131" s="72">
        <f t="shared" si="779"/>
        <v>0</v>
      </c>
      <c r="BN131" s="72">
        <f t="shared" si="780"/>
        <v>0</v>
      </c>
      <c r="BO131" s="72">
        <f t="shared" si="781"/>
        <v>0</v>
      </c>
      <c r="BP131" s="72">
        <f t="shared" si="782"/>
        <v>0</v>
      </c>
      <c r="BQ131" s="72">
        <f t="shared" si="783"/>
        <v>0</v>
      </c>
      <c r="BR131" s="72">
        <f t="shared" si="784"/>
        <v>0</v>
      </c>
      <c r="BS131" s="72">
        <f t="shared" si="785"/>
        <v>0</v>
      </c>
      <c r="BT131" s="72">
        <f t="shared" si="786"/>
        <v>0</v>
      </c>
      <c r="BU131" s="72">
        <f t="shared" si="787"/>
        <v>0</v>
      </c>
      <c r="BW131">
        <f t="shared" si="788"/>
        <v>0</v>
      </c>
      <c r="BX131">
        <f t="shared" si="789"/>
        <v>0</v>
      </c>
      <c r="BY131">
        <f t="shared" si="790"/>
        <v>0</v>
      </c>
      <c r="BZ131">
        <f t="shared" si="791"/>
        <v>0</v>
      </c>
      <c r="CA131">
        <f t="shared" si="792"/>
        <v>0</v>
      </c>
      <c r="CB131">
        <f t="shared" si="793"/>
        <v>0</v>
      </c>
      <c r="CD131">
        <f t="shared" si="794"/>
        <v>0</v>
      </c>
      <c r="CE131">
        <f t="shared" si="795"/>
        <v>0</v>
      </c>
      <c r="CF131">
        <f t="shared" si="796"/>
        <v>0</v>
      </c>
      <c r="CG131">
        <f t="shared" si="797"/>
        <v>0</v>
      </c>
      <c r="CH131">
        <f t="shared" si="798"/>
        <v>0</v>
      </c>
      <c r="CI131">
        <f t="shared" si="799"/>
        <v>0</v>
      </c>
      <c r="CK131">
        <f t="shared" si="800"/>
        <v>0</v>
      </c>
      <c r="CL131">
        <f t="shared" si="801"/>
        <v>0</v>
      </c>
      <c r="CM131">
        <f t="shared" si="802"/>
        <v>0</v>
      </c>
      <c r="CN131">
        <f t="shared" si="803"/>
        <v>0</v>
      </c>
      <c r="CO131">
        <f t="shared" si="804"/>
        <v>0</v>
      </c>
      <c r="CP131">
        <f t="shared" si="805"/>
        <v>0</v>
      </c>
      <c r="CR131">
        <f t="shared" si="806"/>
        <v>0</v>
      </c>
      <c r="CS131">
        <f t="shared" si="807"/>
        <v>0</v>
      </c>
      <c r="CT131">
        <f t="shared" si="808"/>
        <v>0</v>
      </c>
      <c r="CU131">
        <f t="shared" si="809"/>
        <v>0</v>
      </c>
      <c r="CV131">
        <f t="shared" si="810"/>
        <v>0</v>
      </c>
      <c r="CW131">
        <f t="shared" si="811"/>
        <v>0</v>
      </c>
      <c r="CY131">
        <f t="shared" si="812"/>
        <v>0</v>
      </c>
      <c r="CZ131">
        <f t="shared" si="813"/>
        <v>0</v>
      </c>
      <c r="DA131">
        <f t="shared" si="814"/>
        <v>0</v>
      </c>
      <c r="DB131">
        <f t="shared" si="815"/>
        <v>0</v>
      </c>
      <c r="DC131">
        <f t="shared" si="816"/>
        <v>0</v>
      </c>
      <c r="DD131">
        <f t="shared" si="817"/>
        <v>0</v>
      </c>
      <c r="DF131" s="79">
        <f t="shared" si="818"/>
        <v>0</v>
      </c>
      <c r="DG131" s="79">
        <f t="shared" si="819"/>
        <v>0</v>
      </c>
      <c r="DH131">
        <f t="shared" si="820"/>
        <v>0</v>
      </c>
      <c r="DI131">
        <f t="shared" si="821"/>
        <v>1</v>
      </c>
      <c r="DK131" s="79">
        <f t="shared" si="822"/>
        <v>0</v>
      </c>
      <c r="DL131" s="79">
        <f t="shared" si="823"/>
        <v>0</v>
      </c>
      <c r="DM131">
        <f t="shared" si="824"/>
        <v>1</v>
      </c>
      <c r="DN131">
        <f t="shared" si="825"/>
        <v>0</v>
      </c>
      <c r="DP131" s="79">
        <f t="shared" si="826"/>
        <v>0</v>
      </c>
      <c r="DQ131" s="79">
        <f t="shared" si="827"/>
        <v>0</v>
      </c>
      <c r="DR131">
        <f t="shared" si="828"/>
        <v>0</v>
      </c>
      <c r="DS131">
        <f t="shared" si="829"/>
        <v>1</v>
      </c>
      <c r="DU131" s="79">
        <f t="shared" si="830"/>
        <v>0</v>
      </c>
      <c r="DV131" s="79">
        <f t="shared" si="831"/>
        <v>0</v>
      </c>
      <c r="DW131">
        <f t="shared" si="832"/>
        <v>0</v>
      </c>
      <c r="DX131">
        <f t="shared" si="833"/>
        <v>1</v>
      </c>
      <c r="DZ131" s="79">
        <f t="shared" si="834"/>
        <v>0</v>
      </c>
      <c r="EA131" s="79">
        <f t="shared" si="835"/>
        <v>0</v>
      </c>
      <c r="EB131">
        <f t="shared" si="836"/>
        <v>0</v>
      </c>
      <c r="EC131">
        <f t="shared" si="837"/>
        <v>1</v>
      </c>
    </row>
    <row r="132" spans="1:133">
      <c r="A132" s="164"/>
      <c r="B132" s="164"/>
      <c r="C132" s="164"/>
      <c r="D132" s="164"/>
      <c r="E132" s="164"/>
      <c r="F132" s="163"/>
      <c r="G132" s="164"/>
      <c r="H132" s="164"/>
      <c r="I132" s="164"/>
      <c r="J132" s="164"/>
      <c r="AH132" s="72">
        <f t="shared" si="748"/>
        <v>0</v>
      </c>
      <c r="AI132" s="72">
        <f t="shared" si="749"/>
        <v>0</v>
      </c>
      <c r="AJ132" s="72">
        <f t="shared" si="750"/>
        <v>0</v>
      </c>
      <c r="AK132" s="72">
        <f t="shared" si="751"/>
        <v>0</v>
      </c>
      <c r="AL132" s="72">
        <f t="shared" si="752"/>
        <v>0</v>
      </c>
      <c r="AM132" s="72">
        <f t="shared" si="753"/>
        <v>0</v>
      </c>
      <c r="AN132" s="72">
        <f t="shared" si="754"/>
        <v>0</v>
      </c>
      <c r="AO132" s="72">
        <f t="shared" si="755"/>
        <v>0</v>
      </c>
      <c r="AP132" s="72">
        <f t="shared" si="756"/>
        <v>0</v>
      </c>
      <c r="AQ132" s="72">
        <f t="shared" si="757"/>
        <v>0</v>
      </c>
      <c r="AR132" s="72">
        <f t="shared" si="758"/>
        <v>0</v>
      </c>
      <c r="AS132" s="72">
        <f t="shared" si="759"/>
        <v>0</v>
      </c>
      <c r="AT132" s="72">
        <f t="shared" si="760"/>
        <v>0</v>
      </c>
      <c r="AU132" s="72">
        <f t="shared" si="761"/>
        <v>0</v>
      </c>
      <c r="AV132" s="72">
        <f t="shared" si="762"/>
        <v>0</v>
      </c>
      <c r="AW132" s="72">
        <f t="shared" si="763"/>
        <v>0</v>
      </c>
      <c r="AX132" s="72">
        <f t="shared" si="764"/>
        <v>0</v>
      </c>
      <c r="AY132" s="72">
        <f t="shared" si="765"/>
        <v>0</v>
      </c>
      <c r="AZ132" s="72">
        <f t="shared" si="766"/>
        <v>0</v>
      </c>
      <c r="BA132" s="72">
        <f t="shared" si="767"/>
        <v>0</v>
      </c>
      <c r="BB132" s="72">
        <f t="shared" si="768"/>
        <v>0</v>
      </c>
      <c r="BC132" s="72">
        <f t="shared" si="769"/>
        <v>0</v>
      </c>
      <c r="BD132" s="72">
        <f t="shared" si="770"/>
        <v>0</v>
      </c>
      <c r="BE132" s="72">
        <f t="shared" si="771"/>
        <v>0</v>
      </c>
      <c r="BF132" s="72">
        <f t="shared" si="772"/>
        <v>0</v>
      </c>
      <c r="BG132" s="72">
        <f t="shared" si="773"/>
        <v>0</v>
      </c>
      <c r="BH132" s="72">
        <f t="shared" si="774"/>
        <v>0</v>
      </c>
      <c r="BI132" s="72">
        <f t="shared" si="775"/>
        <v>0</v>
      </c>
      <c r="BJ132" s="72">
        <f t="shared" si="776"/>
        <v>0</v>
      </c>
      <c r="BK132" s="72">
        <f t="shared" si="777"/>
        <v>0</v>
      </c>
      <c r="BL132" s="72">
        <f t="shared" si="778"/>
        <v>0</v>
      </c>
      <c r="BM132" s="72">
        <f t="shared" si="779"/>
        <v>0</v>
      </c>
      <c r="BN132" s="72">
        <f t="shared" si="780"/>
        <v>0</v>
      </c>
      <c r="BO132" s="72">
        <f t="shared" si="781"/>
        <v>0</v>
      </c>
      <c r="BP132" s="72">
        <f t="shared" si="782"/>
        <v>0</v>
      </c>
      <c r="BQ132" s="72">
        <f t="shared" si="783"/>
        <v>0</v>
      </c>
      <c r="BR132" s="72">
        <f t="shared" si="784"/>
        <v>0</v>
      </c>
      <c r="BS132" s="72">
        <f t="shared" si="785"/>
        <v>0</v>
      </c>
      <c r="BT132" s="72">
        <f t="shared" si="786"/>
        <v>0</v>
      </c>
      <c r="BU132" s="72">
        <f t="shared" si="787"/>
        <v>0</v>
      </c>
      <c r="BW132">
        <f t="shared" si="788"/>
        <v>0</v>
      </c>
      <c r="BX132">
        <f t="shared" si="789"/>
        <v>0</v>
      </c>
      <c r="BY132">
        <f t="shared" si="790"/>
        <v>0</v>
      </c>
      <c r="BZ132">
        <f t="shared" si="791"/>
        <v>0</v>
      </c>
      <c r="CA132">
        <f t="shared" si="792"/>
        <v>0</v>
      </c>
      <c r="CB132">
        <f t="shared" si="793"/>
        <v>0</v>
      </c>
      <c r="CD132">
        <f t="shared" si="794"/>
        <v>0</v>
      </c>
      <c r="CE132">
        <f t="shared" si="795"/>
        <v>0</v>
      </c>
      <c r="CF132">
        <f t="shared" si="796"/>
        <v>0</v>
      </c>
      <c r="CG132">
        <f t="shared" si="797"/>
        <v>0</v>
      </c>
      <c r="CH132">
        <f t="shared" si="798"/>
        <v>0</v>
      </c>
      <c r="CI132">
        <f t="shared" si="799"/>
        <v>0</v>
      </c>
      <c r="CK132">
        <f t="shared" si="800"/>
        <v>0</v>
      </c>
      <c r="CL132">
        <f t="shared" si="801"/>
        <v>0</v>
      </c>
      <c r="CM132">
        <f t="shared" si="802"/>
        <v>0</v>
      </c>
      <c r="CN132">
        <f t="shared" si="803"/>
        <v>0</v>
      </c>
      <c r="CO132">
        <f t="shared" si="804"/>
        <v>0</v>
      </c>
      <c r="CP132">
        <f t="shared" si="805"/>
        <v>0</v>
      </c>
      <c r="CR132">
        <f t="shared" si="806"/>
        <v>0</v>
      </c>
      <c r="CS132">
        <f t="shared" si="807"/>
        <v>0</v>
      </c>
      <c r="CT132">
        <f t="shared" si="808"/>
        <v>0</v>
      </c>
      <c r="CU132">
        <f t="shared" si="809"/>
        <v>0</v>
      </c>
      <c r="CV132">
        <f t="shared" si="810"/>
        <v>0</v>
      </c>
      <c r="CW132">
        <f t="shared" si="811"/>
        <v>0</v>
      </c>
      <c r="CY132">
        <f t="shared" si="812"/>
        <v>0</v>
      </c>
      <c r="CZ132">
        <f t="shared" si="813"/>
        <v>0</v>
      </c>
      <c r="DA132">
        <f t="shared" si="814"/>
        <v>0</v>
      </c>
      <c r="DB132">
        <f t="shared" si="815"/>
        <v>0</v>
      </c>
      <c r="DC132">
        <f t="shared" si="816"/>
        <v>0</v>
      </c>
      <c r="DD132">
        <f t="shared" si="817"/>
        <v>0</v>
      </c>
      <c r="DF132" s="79">
        <f t="shared" si="818"/>
        <v>0</v>
      </c>
      <c r="DG132" s="79">
        <f t="shared" si="819"/>
        <v>0</v>
      </c>
      <c r="DH132">
        <f t="shared" si="820"/>
        <v>0</v>
      </c>
      <c r="DI132">
        <f t="shared" si="821"/>
        <v>1</v>
      </c>
      <c r="DK132" s="79">
        <f t="shared" si="822"/>
        <v>0</v>
      </c>
      <c r="DL132" s="79">
        <f t="shared" si="823"/>
        <v>0</v>
      </c>
      <c r="DM132">
        <f t="shared" si="824"/>
        <v>1</v>
      </c>
      <c r="DN132">
        <f t="shared" si="825"/>
        <v>0</v>
      </c>
      <c r="DP132" s="79">
        <f t="shared" si="826"/>
        <v>0</v>
      </c>
      <c r="DQ132" s="79">
        <f t="shared" si="827"/>
        <v>0</v>
      </c>
      <c r="DR132">
        <f t="shared" si="828"/>
        <v>0</v>
      </c>
      <c r="DS132">
        <f t="shared" si="829"/>
        <v>1</v>
      </c>
      <c r="DU132" s="79">
        <f t="shared" si="830"/>
        <v>0</v>
      </c>
      <c r="DV132" s="79">
        <f t="shared" si="831"/>
        <v>0</v>
      </c>
      <c r="DW132">
        <f t="shared" si="832"/>
        <v>0</v>
      </c>
      <c r="DX132">
        <f t="shared" si="833"/>
        <v>1</v>
      </c>
      <c r="DZ132" s="79">
        <f t="shared" si="834"/>
        <v>0</v>
      </c>
      <c r="EA132" s="79">
        <f t="shared" si="835"/>
        <v>0</v>
      </c>
      <c r="EB132">
        <f t="shared" si="836"/>
        <v>0</v>
      </c>
      <c r="EC132">
        <f t="shared" si="837"/>
        <v>1</v>
      </c>
    </row>
    <row r="133" spans="1:133">
      <c r="A133" s="164"/>
      <c r="B133" s="164"/>
      <c r="C133" s="164"/>
      <c r="D133" s="164"/>
      <c r="E133" s="164"/>
      <c r="F133" s="163"/>
      <c r="G133" s="164"/>
      <c r="H133" s="164"/>
      <c r="I133" s="164"/>
      <c r="J133" s="164"/>
      <c r="AH133" s="72">
        <f t="shared" si="748"/>
        <v>0</v>
      </c>
      <c r="AI133" s="72">
        <f t="shared" si="749"/>
        <v>0</v>
      </c>
      <c r="AJ133" s="72">
        <f t="shared" si="750"/>
        <v>0</v>
      </c>
      <c r="AK133" s="72">
        <f t="shared" si="751"/>
        <v>0</v>
      </c>
      <c r="AL133" s="72">
        <f t="shared" si="752"/>
        <v>0</v>
      </c>
      <c r="AM133" s="72">
        <f t="shared" si="753"/>
        <v>0</v>
      </c>
      <c r="AN133" s="72">
        <f t="shared" si="754"/>
        <v>0</v>
      </c>
      <c r="AO133" s="72">
        <f t="shared" si="755"/>
        <v>0</v>
      </c>
      <c r="AP133" s="72">
        <f t="shared" si="756"/>
        <v>0</v>
      </c>
      <c r="AQ133" s="72">
        <f t="shared" si="757"/>
        <v>0</v>
      </c>
      <c r="AR133" s="72">
        <f t="shared" si="758"/>
        <v>0</v>
      </c>
      <c r="AS133" s="72">
        <f t="shared" si="759"/>
        <v>0</v>
      </c>
      <c r="AT133" s="72">
        <f t="shared" si="760"/>
        <v>0</v>
      </c>
      <c r="AU133" s="72">
        <f t="shared" si="761"/>
        <v>0</v>
      </c>
      <c r="AV133" s="72">
        <f t="shared" si="762"/>
        <v>0</v>
      </c>
      <c r="AW133" s="72">
        <f t="shared" si="763"/>
        <v>0</v>
      </c>
      <c r="AX133" s="72">
        <f t="shared" si="764"/>
        <v>0</v>
      </c>
      <c r="AY133" s="72">
        <f t="shared" si="765"/>
        <v>0</v>
      </c>
      <c r="AZ133" s="72">
        <f t="shared" si="766"/>
        <v>0</v>
      </c>
      <c r="BA133" s="72">
        <f t="shared" si="767"/>
        <v>0</v>
      </c>
      <c r="BB133" s="72">
        <f t="shared" si="768"/>
        <v>0</v>
      </c>
      <c r="BC133" s="72">
        <f t="shared" si="769"/>
        <v>0</v>
      </c>
      <c r="BD133" s="72">
        <f t="shared" si="770"/>
        <v>0</v>
      </c>
      <c r="BE133" s="72">
        <f t="shared" si="771"/>
        <v>0</v>
      </c>
      <c r="BF133" s="72">
        <f t="shared" si="772"/>
        <v>0</v>
      </c>
      <c r="BG133" s="72">
        <f t="shared" si="773"/>
        <v>0</v>
      </c>
      <c r="BH133" s="72">
        <f t="shared" si="774"/>
        <v>0</v>
      </c>
      <c r="BI133" s="72">
        <f t="shared" si="775"/>
        <v>0</v>
      </c>
      <c r="BJ133" s="72">
        <f t="shared" si="776"/>
        <v>0</v>
      </c>
      <c r="BK133" s="72">
        <f t="shared" si="777"/>
        <v>0</v>
      </c>
      <c r="BL133" s="72">
        <f t="shared" si="778"/>
        <v>0</v>
      </c>
      <c r="BM133" s="72">
        <f t="shared" si="779"/>
        <v>0</v>
      </c>
      <c r="BN133" s="72">
        <f t="shared" si="780"/>
        <v>0</v>
      </c>
      <c r="BO133" s="72">
        <f t="shared" si="781"/>
        <v>0</v>
      </c>
      <c r="BP133" s="72">
        <f t="shared" si="782"/>
        <v>0</v>
      </c>
      <c r="BQ133" s="72">
        <f t="shared" si="783"/>
        <v>0</v>
      </c>
      <c r="BR133" s="72">
        <f t="shared" si="784"/>
        <v>0</v>
      </c>
      <c r="BS133" s="72">
        <f t="shared" si="785"/>
        <v>0</v>
      </c>
      <c r="BT133" s="72">
        <f t="shared" si="786"/>
        <v>0</v>
      </c>
      <c r="BU133" s="72">
        <f t="shared" si="787"/>
        <v>0</v>
      </c>
      <c r="BW133">
        <f t="shared" si="788"/>
        <v>0</v>
      </c>
      <c r="BX133">
        <f t="shared" si="789"/>
        <v>0</v>
      </c>
      <c r="BY133">
        <f t="shared" si="790"/>
        <v>0</v>
      </c>
      <c r="BZ133">
        <f t="shared" si="791"/>
        <v>0</v>
      </c>
      <c r="CA133">
        <f t="shared" si="792"/>
        <v>0</v>
      </c>
      <c r="CB133">
        <f t="shared" si="793"/>
        <v>0</v>
      </c>
      <c r="CD133">
        <f t="shared" si="794"/>
        <v>0</v>
      </c>
      <c r="CE133">
        <f t="shared" si="795"/>
        <v>0</v>
      </c>
      <c r="CF133">
        <f t="shared" si="796"/>
        <v>0</v>
      </c>
      <c r="CG133">
        <f t="shared" si="797"/>
        <v>0</v>
      </c>
      <c r="CH133">
        <f t="shared" si="798"/>
        <v>0</v>
      </c>
      <c r="CI133">
        <f t="shared" si="799"/>
        <v>0</v>
      </c>
      <c r="CK133">
        <f t="shared" si="800"/>
        <v>0</v>
      </c>
      <c r="CL133">
        <f t="shared" si="801"/>
        <v>0</v>
      </c>
      <c r="CM133">
        <f t="shared" si="802"/>
        <v>0</v>
      </c>
      <c r="CN133">
        <f t="shared" si="803"/>
        <v>0</v>
      </c>
      <c r="CO133">
        <f t="shared" si="804"/>
        <v>0</v>
      </c>
      <c r="CP133">
        <f t="shared" si="805"/>
        <v>0</v>
      </c>
      <c r="CR133">
        <f t="shared" si="806"/>
        <v>0</v>
      </c>
      <c r="CS133">
        <f t="shared" si="807"/>
        <v>0</v>
      </c>
      <c r="CT133">
        <f t="shared" si="808"/>
        <v>0</v>
      </c>
      <c r="CU133">
        <f t="shared" si="809"/>
        <v>0</v>
      </c>
      <c r="CV133">
        <f t="shared" si="810"/>
        <v>0</v>
      </c>
      <c r="CW133">
        <f t="shared" si="811"/>
        <v>0</v>
      </c>
      <c r="CY133">
        <f t="shared" si="812"/>
        <v>0</v>
      </c>
      <c r="CZ133">
        <f t="shared" si="813"/>
        <v>0</v>
      </c>
      <c r="DA133">
        <f t="shared" si="814"/>
        <v>0</v>
      </c>
      <c r="DB133">
        <f t="shared" si="815"/>
        <v>0</v>
      </c>
      <c r="DC133">
        <f t="shared" si="816"/>
        <v>0</v>
      </c>
      <c r="DD133">
        <f t="shared" si="817"/>
        <v>0</v>
      </c>
      <c r="DF133" s="79">
        <f t="shared" si="818"/>
        <v>0</v>
      </c>
      <c r="DG133" s="79">
        <f t="shared" si="819"/>
        <v>0</v>
      </c>
      <c r="DH133">
        <f t="shared" si="820"/>
        <v>0</v>
      </c>
      <c r="DI133">
        <f t="shared" si="821"/>
        <v>1</v>
      </c>
      <c r="DK133" s="79">
        <f t="shared" si="822"/>
        <v>0</v>
      </c>
      <c r="DL133" s="79">
        <f t="shared" si="823"/>
        <v>0</v>
      </c>
      <c r="DM133">
        <f t="shared" si="824"/>
        <v>1</v>
      </c>
      <c r="DN133">
        <f t="shared" si="825"/>
        <v>0</v>
      </c>
      <c r="DP133" s="79">
        <f t="shared" si="826"/>
        <v>0</v>
      </c>
      <c r="DQ133" s="79">
        <f t="shared" si="827"/>
        <v>0</v>
      </c>
      <c r="DR133">
        <f t="shared" si="828"/>
        <v>0</v>
      </c>
      <c r="DS133">
        <f t="shared" si="829"/>
        <v>1</v>
      </c>
      <c r="DU133" s="79">
        <f t="shared" si="830"/>
        <v>0</v>
      </c>
      <c r="DV133" s="79">
        <f t="shared" si="831"/>
        <v>0</v>
      </c>
      <c r="DW133">
        <f t="shared" si="832"/>
        <v>0</v>
      </c>
      <c r="DX133">
        <f t="shared" si="833"/>
        <v>1</v>
      </c>
      <c r="DZ133" s="79">
        <f t="shared" si="834"/>
        <v>0</v>
      </c>
      <c r="EA133" s="79">
        <f t="shared" si="835"/>
        <v>0</v>
      </c>
      <c r="EB133">
        <f t="shared" si="836"/>
        <v>0</v>
      </c>
      <c r="EC133">
        <f t="shared" si="837"/>
        <v>1</v>
      </c>
    </row>
    <row r="134" spans="1:133">
      <c r="A134" s="164"/>
      <c r="B134" s="164"/>
      <c r="C134" s="164"/>
      <c r="D134" s="164"/>
      <c r="E134" s="164"/>
      <c r="F134" s="163"/>
      <c r="G134" s="164"/>
      <c r="H134" s="164"/>
      <c r="I134" s="164"/>
      <c r="J134" s="164"/>
      <c r="AH134" s="72">
        <f t="shared" si="748"/>
        <v>0</v>
      </c>
      <c r="AI134" s="72">
        <f t="shared" si="749"/>
        <v>0</v>
      </c>
      <c r="AJ134" s="72">
        <f t="shared" si="750"/>
        <v>0</v>
      </c>
      <c r="AK134" s="72">
        <f t="shared" si="751"/>
        <v>0</v>
      </c>
      <c r="AL134" s="72">
        <f t="shared" si="752"/>
        <v>0</v>
      </c>
      <c r="AM134" s="72">
        <f t="shared" si="753"/>
        <v>0</v>
      </c>
      <c r="AN134" s="72">
        <f t="shared" si="754"/>
        <v>0</v>
      </c>
      <c r="AO134" s="72">
        <f t="shared" si="755"/>
        <v>0</v>
      </c>
      <c r="AP134" s="72">
        <f t="shared" si="756"/>
        <v>0</v>
      </c>
      <c r="AQ134" s="72">
        <f t="shared" si="757"/>
        <v>0</v>
      </c>
      <c r="AR134" s="72">
        <f t="shared" si="758"/>
        <v>0</v>
      </c>
      <c r="AS134" s="72">
        <f t="shared" si="759"/>
        <v>0</v>
      </c>
      <c r="AT134" s="72">
        <f t="shared" si="760"/>
        <v>0</v>
      </c>
      <c r="AU134" s="72">
        <f t="shared" si="761"/>
        <v>0</v>
      </c>
      <c r="AV134" s="72">
        <f t="shared" si="762"/>
        <v>0</v>
      </c>
      <c r="AW134" s="72">
        <f t="shared" si="763"/>
        <v>0</v>
      </c>
      <c r="AX134" s="72">
        <f t="shared" si="764"/>
        <v>0</v>
      </c>
      <c r="AY134" s="72">
        <f t="shared" si="765"/>
        <v>0</v>
      </c>
      <c r="AZ134" s="72">
        <f t="shared" si="766"/>
        <v>0</v>
      </c>
      <c r="BA134" s="72">
        <f t="shared" si="767"/>
        <v>0</v>
      </c>
      <c r="BB134" s="72">
        <f t="shared" si="768"/>
        <v>0</v>
      </c>
      <c r="BC134" s="72">
        <f t="shared" si="769"/>
        <v>0</v>
      </c>
      <c r="BD134" s="72">
        <f t="shared" si="770"/>
        <v>0</v>
      </c>
      <c r="BE134" s="72">
        <f t="shared" si="771"/>
        <v>0</v>
      </c>
      <c r="BF134" s="72">
        <f t="shared" si="772"/>
        <v>0</v>
      </c>
      <c r="BG134" s="72">
        <f t="shared" si="773"/>
        <v>0</v>
      </c>
      <c r="BH134" s="72">
        <f t="shared" si="774"/>
        <v>0</v>
      </c>
      <c r="BI134" s="72">
        <f t="shared" si="775"/>
        <v>0</v>
      </c>
      <c r="BJ134" s="72">
        <f t="shared" si="776"/>
        <v>0</v>
      </c>
      <c r="BK134" s="72">
        <f t="shared" si="777"/>
        <v>0</v>
      </c>
      <c r="BL134" s="72">
        <f t="shared" si="778"/>
        <v>0</v>
      </c>
      <c r="BM134" s="72">
        <f t="shared" si="779"/>
        <v>0</v>
      </c>
      <c r="BN134" s="72">
        <f t="shared" si="780"/>
        <v>0</v>
      </c>
      <c r="BO134" s="72">
        <f t="shared" si="781"/>
        <v>0</v>
      </c>
      <c r="BP134" s="72">
        <f t="shared" si="782"/>
        <v>0</v>
      </c>
      <c r="BQ134" s="72">
        <f t="shared" si="783"/>
        <v>0</v>
      </c>
      <c r="BR134" s="72">
        <f t="shared" si="784"/>
        <v>0</v>
      </c>
      <c r="BS134" s="72">
        <f t="shared" si="785"/>
        <v>0</v>
      </c>
      <c r="BT134" s="72">
        <f t="shared" si="786"/>
        <v>0</v>
      </c>
      <c r="BU134" s="72">
        <f t="shared" si="787"/>
        <v>0</v>
      </c>
      <c r="BW134">
        <f t="shared" si="788"/>
        <v>0</v>
      </c>
      <c r="BX134">
        <f t="shared" si="789"/>
        <v>0</v>
      </c>
      <c r="BY134">
        <f t="shared" si="790"/>
        <v>0</v>
      </c>
      <c r="BZ134">
        <f t="shared" si="791"/>
        <v>0</v>
      </c>
      <c r="CA134">
        <f t="shared" si="792"/>
        <v>0</v>
      </c>
      <c r="CB134">
        <f t="shared" si="793"/>
        <v>0</v>
      </c>
      <c r="CD134">
        <f t="shared" si="794"/>
        <v>0</v>
      </c>
      <c r="CE134">
        <f t="shared" si="795"/>
        <v>0</v>
      </c>
      <c r="CF134">
        <f t="shared" si="796"/>
        <v>0</v>
      </c>
      <c r="CG134">
        <f t="shared" si="797"/>
        <v>0</v>
      </c>
      <c r="CH134">
        <f t="shared" si="798"/>
        <v>0</v>
      </c>
      <c r="CI134">
        <f t="shared" si="799"/>
        <v>0</v>
      </c>
      <c r="CK134">
        <f t="shared" si="800"/>
        <v>0</v>
      </c>
      <c r="CL134">
        <f t="shared" si="801"/>
        <v>0</v>
      </c>
      <c r="CM134">
        <f t="shared" si="802"/>
        <v>0</v>
      </c>
      <c r="CN134">
        <f t="shared" si="803"/>
        <v>0</v>
      </c>
      <c r="CO134">
        <f t="shared" si="804"/>
        <v>0</v>
      </c>
      <c r="CP134">
        <f t="shared" si="805"/>
        <v>0</v>
      </c>
      <c r="CR134">
        <f t="shared" si="806"/>
        <v>0</v>
      </c>
      <c r="CS134">
        <f t="shared" si="807"/>
        <v>0</v>
      </c>
      <c r="CT134">
        <f t="shared" si="808"/>
        <v>0</v>
      </c>
      <c r="CU134">
        <f t="shared" si="809"/>
        <v>0</v>
      </c>
      <c r="CV134">
        <f t="shared" si="810"/>
        <v>0</v>
      </c>
      <c r="CW134">
        <f t="shared" si="811"/>
        <v>0</v>
      </c>
      <c r="CY134">
        <f t="shared" si="812"/>
        <v>0</v>
      </c>
      <c r="CZ134">
        <f t="shared" si="813"/>
        <v>0</v>
      </c>
      <c r="DA134">
        <f t="shared" si="814"/>
        <v>0</v>
      </c>
      <c r="DB134">
        <f t="shared" si="815"/>
        <v>0</v>
      </c>
      <c r="DC134">
        <f t="shared" si="816"/>
        <v>0</v>
      </c>
      <c r="DD134">
        <f t="shared" si="817"/>
        <v>0</v>
      </c>
      <c r="DF134" s="79">
        <f t="shared" si="818"/>
        <v>0</v>
      </c>
      <c r="DG134" s="79">
        <f t="shared" si="819"/>
        <v>0</v>
      </c>
      <c r="DH134">
        <f t="shared" si="820"/>
        <v>0</v>
      </c>
      <c r="DI134">
        <f t="shared" si="821"/>
        <v>1</v>
      </c>
      <c r="DK134" s="79">
        <f t="shared" si="822"/>
        <v>0</v>
      </c>
      <c r="DL134" s="79">
        <f t="shared" si="823"/>
        <v>0</v>
      </c>
      <c r="DM134">
        <f t="shared" si="824"/>
        <v>1</v>
      </c>
      <c r="DN134">
        <f t="shared" si="825"/>
        <v>0</v>
      </c>
      <c r="DP134" s="79">
        <f t="shared" si="826"/>
        <v>0</v>
      </c>
      <c r="DQ134" s="79">
        <f t="shared" si="827"/>
        <v>0</v>
      </c>
      <c r="DR134">
        <f t="shared" si="828"/>
        <v>0</v>
      </c>
      <c r="DS134">
        <f t="shared" si="829"/>
        <v>1</v>
      </c>
      <c r="DU134" s="79">
        <f t="shared" si="830"/>
        <v>0</v>
      </c>
      <c r="DV134" s="79">
        <f t="shared" si="831"/>
        <v>0</v>
      </c>
      <c r="DW134">
        <f t="shared" si="832"/>
        <v>0</v>
      </c>
      <c r="DX134">
        <f t="shared" si="833"/>
        <v>1</v>
      </c>
      <c r="DZ134" s="79">
        <f t="shared" si="834"/>
        <v>0</v>
      </c>
      <c r="EA134" s="79">
        <f t="shared" si="835"/>
        <v>0</v>
      </c>
      <c r="EB134">
        <f t="shared" si="836"/>
        <v>0</v>
      </c>
      <c r="EC134">
        <f t="shared" si="837"/>
        <v>1</v>
      </c>
    </row>
    <row r="135" spans="1:133">
      <c r="A135" s="164"/>
      <c r="B135" s="164"/>
      <c r="C135" s="164"/>
      <c r="D135" s="164"/>
      <c r="E135" s="164"/>
      <c r="F135" s="163"/>
      <c r="G135" s="164"/>
      <c r="H135" s="164"/>
      <c r="I135" s="164"/>
      <c r="J135" s="164"/>
      <c r="AH135" s="72">
        <f t="shared" si="748"/>
        <v>0</v>
      </c>
      <c r="AI135" s="72">
        <f t="shared" si="749"/>
        <v>0</v>
      </c>
      <c r="AJ135" s="72">
        <f t="shared" si="750"/>
        <v>0</v>
      </c>
      <c r="AK135" s="72">
        <f t="shared" si="751"/>
        <v>0</v>
      </c>
      <c r="AL135" s="72">
        <f t="shared" si="752"/>
        <v>0</v>
      </c>
      <c r="AM135" s="72">
        <f t="shared" si="753"/>
        <v>0</v>
      </c>
      <c r="AN135" s="72">
        <f t="shared" si="754"/>
        <v>0</v>
      </c>
      <c r="AO135" s="72">
        <f t="shared" si="755"/>
        <v>0</v>
      </c>
      <c r="AP135" s="72">
        <f t="shared" si="756"/>
        <v>0</v>
      </c>
      <c r="AQ135" s="72">
        <f t="shared" si="757"/>
        <v>0</v>
      </c>
      <c r="AR135" s="72">
        <f t="shared" si="758"/>
        <v>0</v>
      </c>
      <c r="AS135" s="72">
        <f t="shared" si="759"/>
        <v>0</v>
      </c>
      <c r="AT135" s="72">
        <f t="shared" si="760"/>
        <v>0</v>
      </c>
      <c r="AU135" s="72">
        <f t="shared" si="761"/>
        <v>0</v>
      </c>
      <c r="AV135" s="72">
        <f t="shared" si="762"/>
        <v>0</v>
      </c>
      <c r="AW135" s="72">
        <f t="shared" si="763"/>
        <v>0</v>
      </c>
      <c r="AX135" s="72">
        <f t="shared" si="764"/>
        <v>0</v>
      </c>
      <c r="AY135" s="72">
        <f t="shared" si="765"/>
        <v>0</v>
      </c>
      <c r="AZ135" s="72">
        <f t="shared" si="766"/>
        <v>0</v>
      </c>
      <c r="BA135" s="72">
        <f t="shared" si="767"/>
        <v>0</v>
      </c>
      <c r="BB135" s="72">
        <f t="shared" si="768"/>
        <v>0</v>
      </c>
      <c r="BC135" s="72">
        <f t="shared" si="769"/>
        <v>0</v>
      </c>
      <c r="BD135" s="72">
        <f t="shared" si="770"/>
        <v>0</v>
      </c>
      <c r="BE135" s="72">
        <f t="shared" si="771"/>
        <v>0</v>
      </c>
      <c r="BF135" s="72">
        <f t="shared" si="772"/>
        <v>0</v>
      </c>
      <c r="BG135" s="72">
        <f t="shared" si="773"/>
        <v>0</v>
      </c>
      <c r="BH135" s="72">
        <f t="shared" si="774"/>
        <v>0</v>
      </c>
      <c r="BI135" s="72">
        <f t="shared" si="775"/>
        <v>0</v>
      </c>
      <c r="BJ135" s="72">
        <f t="shared" si="776"/>
        <v>0</v>
      </c>
      <c r="BK135" s="72">
        <f t="shared" si="777"/>
        <v>0</v>
      </c>
      <c r="BL135" s="72">
        <f t="shared" si="778"/>
        <v>0</v>
      </c>
      <c r="BM135" s="72">
        <f t="shared" si="779"/>
        <v>0</v>
      </c>
      <c r="BN135" s="72">
        <f t="shared" si="780"/>
        <v>0</v>
      </c>
      <c r="BO135" s="72">
        <f t="shared" si="781"/>
        <v>0</v>
      </c>
      <c r="BP135" s="72">
        <f t="shared" si="782"/>
        <v>0</v>
      </c>
      <c r="BQ135" s="72">
        <f t="shared" si="783"/>
        <v>0</v>
      </c>
      <c r="BR135" s="72">
        <f t="shared" si="784"/>
        <v>0</v>
      </c>
      <c r="BS135" s="72">
        <f t="shared" si="785"/>
        <v>0</v>
      </c>
      <c r="BT135" s="72">
        <f t="shared" si="786"/>
        <v>0</v>
      </c>
      <c r="BU135" s="72">
        <f t="shared" si="787"/>
        <v>0</v>
      </c>
      <c r="BW135">
        <f t="shared" si="788"/>
        <v>0</v>
      </c>
      <c r="BX135">
        <f t="shared" si="789"/>
        <v>0</v>
      </c>
      <c r="BY135">
        <f t="shared" si="790"/>
        <v>0</v>
      </c>
      <c r="BZ135">
        <f t="shared" si="791"/>
        <v>0</v>
      </c>
      <c r="CA135">
        <f t="shared" si="792"/>
        <v>0</v>
      </c>
      <c r="CB135">
        <f t="shared" si="793"/>
        <v>0</v>
      </c>
      <c r="CD135">
        <f t="shared" si="794"/>
        <v>0</v>
      </c>
      <c r="CE135">
        <f t="shared" si="795"/>
        <v>0</v>
      </c>
      <c r="CF135">
        <f t="shared" si="796"/>
        <v>0</v>
      </c>
      <c r="CG135">
        <f t="shared" si="797"/>
        <v>0</v>
      </c>
      <c r="CH135">
        <f t="shared" si="798"/>
        <v>0</v>
      </c>
      <c r="CI135">
        <f t="shared" si="799"/>
        <v>0</v>
      </c>
      <c r="CK135">
        <f t="shared" si="800"/>
        <v>0</v>
      </c>
      <c r="CL135">
        <f t="shared" si="801"/>
        <v>0</v>
      </c>
      <c r="CM135">
        <f t="shared" si="802"/>
        <v>0</v>
      </c>
      <c r="CN135">
        <f t="shared" si="803"/>
        <v>0</v>
      </c>
      <c r="CO135">
        <f t="shared" si="804"/>
        <v>0</v>
      </c>
      <c r="CP135">
        <f t="shared" si="805"/>
        <v>0</v>
      </c>
      <c r="CR135">
        <f t="shared" si="806"/>
        <v>0</v>
      </c>
      <c r="CS135">
        <f t="shared" si="807"/>
        <v>0</v>
      </c>
      <c r="CT135">
        <f t="shared" si="808"/>
        <v>0</v>
      </c>
      <c r="CU135">
        <f t="shared" si="809"/>
        <v>0</v>
      </c>
      <c r="CV135">
        <f t="shared" si="810"/>
        <v>0</v>
      </c>
      <c r="CW135">
        <f t="shared" si="811"/>
        <v>0</v>
      </c>
      <c r="CY135">
        <f t="shared" si="812"/>
        <v>0</v>
      </c>
      <c r="CZ135">
        <f t="shared" si="813"/>
        <v>0</v>
      </c>
      <c r="DA135">
        <f t="shared" si="814"/>
        <v>0</v>
      </c>
      <c r="DB135">
        <f t="shared" si="815"/>
        <v>0</v>
      </c>
      <c r="DC135">
        <f t="shared" si="816"/>
        <v>0</v>
      </c>
      <c r="DD135">
        <f t="shared" si="817"/>
        <v>0</v>
      </c>
      <c r="DF135" s="79">
        <f t="shared" si="818"/>
        <v>0</v>
      </c>
      <c r="DG135" s="79">
        <f t="shared" si="819"/>
        <v>0</v>
      </c>
      <c r="DH135">
        <f t="shared" si="820"/>
        <v>0</v>
      </c>
      <c r="DI135">
        <f t="shared" si="821"/>
        <v>1</v>
      </c>
      <c r="DK135" s="79">
        <f t="shared" si="822"/>
        <v>0</v>
      </c>
      <c r="DL135" s="79">
        <f t="shared" si="823"/>
        <v>0</v>
      </c>
      <c r="DM135">
        <f t="shared" si="824"/>
        <v>1</v>
      </c>
      <c r="DN135">
        <f t="shared" si="825"/>
        <v>0</v>
      </c>
      <c r="DP135" s="79">
        <f t="shared" si="826"/>
        <v>0</v>
      </c>
      <c r="DQ135" s="79">
        <f t="shared" si="827"/>
        <v>0</v>
      </c>
      <c r="DR135">
        <f t="shared" si="828"/>
        <v>0</v>
      </c>
      <c r="DS135">
        <f t="shared" si="829"/>
        <v>1</v>
      </c>
      <c r="DU135" s="79">
        <f t="shared" si="830"/>
        <v>0</v>
      </c>
      <c r="DV135" s="79">
        <f t="shared" si="831"/>
        <v>0</v>
      </c>
      <c r="DW135">
        <f t="shared" si="832"/>
        <v>0</v>
      </c>
      <c r="DX135">
        <f t="shared" si="833"/>
        <v>1</v>
      </c>
      <c r="DZ135" s="79">
        <f t="shared" si="834"/>
        <v>0</v>
      </c>
      <c r="EA135" s="79">
        <f t="shared" si="835"/>
        <v>0</v>
      </c>
      <c r="EB135">
        <f t="shared" si="836"/>
        <v>0</v>
      </c>
      <c r="EC135">
        <f t="shared" si="837"/>
        <v>1</v>
      </c>
    </row>
    <row r="136" spans="1:133">
      <c r="A136" s="164"/>
      <c r="B136" s="164"/>
      <c r="C136" s="164"/>
      <c r="D136" s="164"/>
      <c r="E136" s="164"/>
      <c r="F136" s="163"/>
      <c r="G136" s="164"/>
      <c r="H136" s="164"/>
      <c r="I136" s="164"/>
      <c r="J136" s="164"/>
      <c r="AH136" s="72">
        <f t="shared" si="748"/>
        <v>0</v>
      </c>
      <c r="AI136" s="72">
        <f t="shared" si="749"/>
        <v>0</v>
      </c>
      <c r="AJ136" s="72">
        <f t="shared" si="750"/>
        <v>0</v>
      </c>
      <c r="AK136" s="72">
        <f t="shared" si="751"/>
        <v>0</v>
      </c>
      <c r="AL136" s="72">
        <f t="shared" si="752"/>
        <v>0</v>
      </c>
      <c r="AM136" s="72">
        <f t="shared" si="753"/>
        <v>0</v>
      </c>
      <c r="AN136" s="72">
        <f t="shared" si="754"/>
        <v>0</v>
      </c>
      <c r="AO136" s="72">
        <f t="shared" si="755"/>
        <v>0</v>
      </c>
      <c r="AP136" s="72">
        <f t="shared" si="756"/>
        <v>0</v>
      </c>
      <c r="AQ136" s="72">
        <f t="shared" si="757"/>
        <v>0</v>
      </c>
      <c r="AR136" s="72">
        <f t="shared" si="758"/>
        <v>0</v>
      </c>
      <c r="AS136" s="72">
        <f t="shared" si="759"/>
        <v>0</v>
      </c>
      <c r="AT136" s="72">
        <f t="shared" si="760"/>
        <v>0</v>
      </c>
      <c r="AU136" s="72">
        <f t="shared" si="761"/>
        <v>0</v>
      </c>
      <c r="AV136" s="72">
        <f t="shared" si="762"/>
        <v>0</v>
      </c>
      <c r="AW136" s="72">
        <f t="shared" si="763"/>
        <v>0</v>
      </c>
      <c r="AX136" s="72">
        <f t="shared" si="764"/>
        <v>0</v>
      </c>
      <c r="AY136" s="72">
        <f t="shared" si="765"/>
        <v>0</v>
      </c>
      <c r="AZ136" s="72">
        <f t="shared" si="766"/>
        <v>0</v>
      </c>
      <c r="BA136" s="72">
        <f t="shared" si="767"/>
        <v>0</v>
      </c>
      <c r="BB136" s="72">
        <f t="shared" si="768"/>
        <v>0</v>
      </c>
      <c r="BC136" s="72">
        <f t="shared" si="769"/>
        <v>0</v>
      </c>
      <c r="BD136" s="72">
        <f t="shared" si="770"/>
        <v>0</v>
      </c>
      <c r="BE136" s="72">
        <f t="shared" si="771"/>
        <v>0</v>
      </c>
      <c r="BF136" s="72">
        <f t="shared" si="772"/>
        <v>0</v>
      </c>
      <c r="BG136" s="72">
        <f t="shared" si="773"/>
        <v>0</v>
      </c>
      <c r="BH136" s="72">
        <f t="shared" si="774"/>
        <v>0</v>
      </c>
      <c r="BI136" s="72">
        <f t="shared" si="775"/>
        <v>0</v>
      </c>
      <c r="BJ136" s="72">
        <f t="shared" si="776"/>
        <v>0</v>
      </c>
      <c r="BK136" s="72">
        <f t="shared" si="777"/>
        <v>0</v>
      </c>
      <c r="BL136" s="72">
        <f t="shared" si="778"/>
        <v>0</v>
      </c>
      <c r="BM136" s="72">
        <f t="shared" si="779"/>
        <v>0</v>
      </c>
      <c r="BN136" s="72">
        <f t="shared" si="780"/>
        <v>0</v>
      </c>
      <c r="BO136" s="72">
        <f t="shared" si="781"/>
        <v>0</v>
      </c>
      <c r="BP136" s="72">
        <f t="shared" si="782"/>
        <v>0</v>
      </c>
      <c r="BQ136" s="72">
        <f t="shared" si="783"/>
        <v>0</v>
      </c>
      <c r="BR136" s="72">
        <f t="shared" si="784"/>
        <v>0</v>
      </c>
      <c r="BS136" s="72">
        <f t="shared" si="785"/>
        <v>0</v>
      </c>
      <c r="BT136" s="72">
        <f t="shared" si="786"/>
        <v>0</v>
      </c>
      <c r="BU136" s="72">
        <f t="shared" si="787"/>
        <v>0</v>
      </c>
      <c r="BW136">
        <f t="shared" si="788"/>
        <v>0</v>
      </c>
      <c r="BX136">
        <f t="shared" si="789"/>
        <v>0</v>
      </c>
      <c r="BY136">
        <f t="shared" si="790"/>
        <v>0</v>
      </c>
      <c r="BZ136">
        <f t="shared" si="791"/>
        <v>0</v>
      </c>
      <c r="CA136">
        <f t="shared" si="792"/>
        <v>0</v>
      </c>
      <c r="CB136">
        <f t="shared" si="793"/>
        <v>0</v>
      </c>
      <c r="CD136">
        <f t="shared" si="794"/>
        <v>0</v>
      </c>
      <c r="CE136">
        <f t="shared" si="795"/>
        <v>0</v>
      </c>
      <c r="CF136">
        <f t="shared" si="796"/>
        <v>0</v>
      </c>
      <c r="CG136">
        <f t="shared" si="797"/>
        <v>0</v>
      </c>
      <c r="CH136">
        <f t="shared" si="798"/>
        <v>0</v>
      </c>
      <c r="CI136">
        <f t="shared" si="799"/>
        <v>0</v>
      </c>
      <c r="CK136">
        <f t="shared" si="800"/>
        <v>0</v>
      </c>
      <c r="CL136">
        <f t="shared" si="801"/>
        <v>0</v>
      </c>
      <c r="CM136">
        <f t="shared" si="802"/>
        <v>0</v>
      </c>
      <c r="CN136">
        <f t="shared" si="803"/>
        <v>0</v>
      </c>
      <c r="CO136">
        <f t="shared" si="804"/>
        <v>0</v>
      </c>
      <c r="CP136">
        <f t="shared" si="805"/>
        <v>0</v>
      </c>
      <c r="CR136">
        <f t="shared" si="806"/>
        <v>0</v>
      </c>
      <c r="CS136">
        <f t="shared" si="807"/>
        <v>0</v>
      </c>
      <c r="CT136">
        <f t="shared" si="808"/>
        <v>0</v>
      </c>
      <c r="CU136">
        <f t="shared" si="809"/>
        <v>0</v>
      </c>
      <c r="CV136">
        <f t="shared" si="810"/>
        <v>0</v>
      </c>
      <c r="CW136">
        <f t="shared" si="811"/>
        <v>0</v>
      </c>
      <c r="CY136">
        <f t="shared" si="812"/>
        <v>0</v>
      </c>
      <c r="CZ136">
        <f t="shared" si="813"/>
        <v>0</v>
      </c>
      <c r="DA136">
        <f t="shared" si="814"/>
        <v>0</v>
      </c>
      <c r="DB136">
        <f t="shared" si="815"/>
        <v>0</v>
      </c>
      <c r="DC136">
        <f t="shared" si="816"/>
        <v>0</v>
      </c>
      <c r="DD136">
        <f t="shared" si="817"/>
        <v>0</v>
      </c>
      <c r="DF136" s="79">
        <f t="shared" si="818"/>
        <v>0</v>
      </c>
      <c r="DG136" s="79">
        <f t="shared" si="819"/>
        <v>0</v>
      </c>
      <c r="DH136">
        <f t="shared" si="820"/>
        <v>0</v>
      </c>
      <c r="DI136">
        <f t="shared" si="821"/>
        <v>1</v>
      </c>
      <c r="DK136" s="79">
        <f t="shared" si="822"/>
        <v>0</v>
      </c>
      <c r="DL136" s="79">
        <f t="shared" si="823"/>
        <v>0</v>
      </c>
      <c r="DM136">
        <f t="shared" si="824"/>
        <v>1</v>
      </c>
      <c r="DN136">
        <f t="shared" si="825"/>
        <v>0</v>
      </c>
      <c r="DP136" s="79">
        <f t="shared" si="826"/>
        <v>0</v>
      </c>
      <c r="DQ136" s="79">
        <f t="shared" si="827"/>
        <v>0</v>
      </c>
      <c r="DR136">
        <f t="shared" si="828"/>
        <v>0</v>
      </c>
      <c r="DS136">
        <f t="shared" si="829"/>
        <v>1</v>
      </c>
      <c r="DU136" s="79">
        <f t="shared" si="830"/>
        <v>0</v>
      </c>
      <c r="DV136" s="79">
        <f t="shared" si="831"/>
        <v>0</v>
      </c>
      <c r="DW136">
        <f t="shared" si="832"/>
        <v>0</v>
      </c>
      <c r="DX136">
        <f t="shared" si="833"/>
        <v>1</v>
      </c>
      <c r="DZ136" s="79">
        <f t="shared" si="834"/>
        <v>0</v>
      </c>
      <c r="EA136" s="79">
        <f t="shared" si="835"/>
        <v>0</v>
      </c>
      <c r="EB136">
        <f t="shared" si="836"/>
        <v>0</v>
      </c>
      <c r="EC136">
        <f t="shared" si="837"/>
        <v>1</v>
      </c>
    </row>
    <row r="137" spans="1:133">
      <c r="A137" s="164"/>
      <c r="B137" s="164"/>
      <c r="C137" s="164"/>
      <c r="D137" s="164"/>
      <c r="E137" s="164"/>
      <c r="F137" s="163"/>
      <c r="G137" s="164"/>
      <c r="H137" s="164"/>
      <c r="I137" s="164"/>
      <c r="J137" s="164"/>
      <c r="AH137" s="72">
        <f t="shared" si="748"/>
        <v>0</v>
      </c>
      <c r="AI137" s="72">
        <f t="shared" si="749"/>
        <v>0</v>
      </c>
      <c r="AJ137" s="72">
        <f t="shared" si="750"/>
        <v>0</v>
      </c>
      <c r="AK137" s="72">
        <f t="shared" si="751"/>
        <v>0</v>
      </c>
      <c r="AL137" s="72">
        <f t="shared" si="752"/>
        <v>0</v>
      </c>
      <c r="AM137" s="72">
        <f t="shared" si="753"/>
        <v>0</v>
      </c>
      <c r="AN137" s="72">
        <f t="shared" si="754"/>
        <v>0</v>
      </c>
      <c r="AO137" s="72">
        <f t="shared" si="755"/>
        <v>0</v>
      </c>
      <c r="AP137" s="72">
        <f t="shared" si="756"/>
        <v>0</v>
      </c>
      <c r="AQ137" s="72">
        <f t="shared" si="757"/>
        <v>0</v>
      </c>
      <c r="AR137" s="72">
        <f t="shared" si="758"/>
        <v>0</v>
      </c>
      <c r="AS137" s="72">
        <f t="shared" si="759"/>
        <v>0</v>
      </c>
      <c r="AT137" s="72">
        <f t="shared" si="760"/>
        <v>0</v>
      </c>
      <c r="AU137" s="72">
        <f t="shared" si="761"/>
        <v>0</v>
      </c>
      <c r="AV137" s="72">
        <f t="shared" si="762"/>
        <v>0</v>
      </c>
      <c r="AW137" s="72">
        <f t="shared" si="763"/>
        <v>0</v>
      </c>
      <c r="AX137" s="72">
        <f t="shared" si="764"/>
        <v>0</v>
      </c>
      <c r="AY137" s="72">
        <f t="shared" si="765"/>
        <v>0</v>
      </c>
      <c r="AZ137" s="72">
        <f t="shared" si="766"/>
        <v>0</v>
      </c>
      <c r="BA137" s="72">
        <f t="shared" si="767"/>
        <v>0</v>
      </c>
      <c r="BB137" s="72">
        <f t="shared" si="768"/>
        <v>0</v>
      </c>
      <c r="BC137" s="72">
        <f t="shared" si="769"/>
        <v>0</v>
      </c>
      <c r="BD137" s="72">
        <f t="shared" si="770"/>
        <v>0</v>
      </c>
      <c r="BE137" s="72">
        <f t="shared" si="771"/>
        <v>0</v>
      </c>
      <c r="BF137" s="72">
        <f t="shared" si="772"/>
        <v>0</v>
      </c>
      <c r="BG137" s="72">
        <f t="shared" si="773"/>
        <v>0</v>
      </c>
      <c r="BH137" s="72">
        <f t="shared" si="774"/>
        <v>0</v>
      </c>
      <c r="BI137" s="72">
        <f t="shared" si="775"/>
        <v>0</v>
      </c>
      <c r="BJ137" s="72">
        <f t="shared" si="776"/>
        <v>0</v>
      </c>
      <c r="BK137" s="72">
        <f t="shared" si="777"/>
        <v>0</v>
      </c>
      <c r="BL137" s="72">
        <f t="shared" si="778"/>
        <v>0</v>
      </c>
      <c r="BM137" s="72">
        <f t="shared" si="779"/>
        <v>0</v>
      </c>
      <c r="BN137" s="72">
        <f t="shared" si="780"/>
        <v>0</v>
      </c>
      <c r="BO137" s="72">
        <f t="shared" si="781"/>
        <v>0</v>
      </c>
      <c r="BP137" s="72">
        <f t="shared" si="782"/>
        <v>0</v>
      </c>
      <c r="BQ137" s="72">
        <f t="shared" si="783"/>
        <v>0</v>
      </c>
      <c r="BR137" s="72">
        <f t="shared" si="784"/>
        <v>0</v>
      </c>
      <c r="BS137" s="72">
        <f t="shared" si="785"/>
        <v>0</v>
      </c>
      <c r="BT137" s="72">
        <f t="shared" si="786"/>
        <v>0</v>
      </c>
      <c r="BU137" s="72">
        <f t="shared" si="787"/>
        <v>0</v>
      </c>
      <c r="BW137">
        <f t="shared" si="788"/>
        <v>0</v>
      </c>
      <c r="BX137">
        <f t="shared" si="789"/>
        <v>0</v>
      </c>
      <c r="BY137">
        <f t="shared" si="790"/>
        <v>0</v>
      </c>
      <c r="BZ137">
        <f t="shared" si="791"/>
        <v>0</v>
      </c>
      <c r="CA137">
        <f t="shared" si="792"/>
        <v>0</v>
      </c>
      <c r="CB137">
        <f t="shared" si="793"/>
        <v>0</v>
      </c>
      <c r="CD137">
        <f t="shared" si="794"/>
        <v>0</v>
      </c>
      <c r="CE137">
        <f t="shared" si="795"/>
        <v>0</v>
      </c>
      <c r="CF137">
        <f t="shared" si="796"/>
        <v>0</v>
      </c>
      <c r="CG137">
        <f t="shared" si="797"/>
        <v>0</v>
      </c>
      <c r="CH137">
        <f t="shared" si="798"/>
        <v>0</v>
      </c>
      <c r="CI137">
        <f t="shared" si="799"/>
        <v>0</v>
      </c>
      <c r="CK137">
        <f t="shared" si="800"/>
        <v>0</v>
      </c>
      <c r="CL137">
        <f t="shared" si="801"/>
        <v>0</v>
      </c>
      <c r="CM137">
        <f t="shared" si="802"/>
        <v>0</v>
      </c>
      <c r="CN137">
        <f t="shared" si="803"/>
        <v>0</v>
      </c>
      <c r="CO137">
        <f t="shared" si="804"/>
        <v>0</v>
      </c>
      <c r="CP137">
        <f t="shared" si="805"/>
        <v>0</v>
      </c>
      <c r="CR137">
        <f t="shared" si="806"/>
        <v>0</v>
      </c>
      <c r="CS137">
        <f t="shared" si="807"/>
        <v>0</v>
      </c>
      <c r="CT137">
        <f t="shared" si="808"/>
        <v>0</v>
      </c>
      <c r="CU137">
        <f t="shared" si="809"/>
        <v>0</v>
      </c>
      <c r="CV137">
        <f t="shared" si="810"/>
        <v>0</v>
      </c>
      <c r="CW137">
        <f t="shared" si="811"/>
        <v>0</v>
      </c>
      <c r="CY137">
        <f t="shared" si="812"/>
        <v>0</v>
      </c>
      <c r="CZ137">
        <f t="shared" si="813"/>
        <v>0</v>
      </c>
      <c r="DA137">
        <f t="shared" si="814"/>
        <v>0</v>
      </c>
      <c r="DB137">
        <f t="shared" si="815"/>
        <v>0</v>
      </c>
      <c r="DC137">
        <f t="shared" si="816"/>
        <v>0</v>
      </c>
      <c r="DD137">
        <f t="shared" si="817"/>
        <v>0</v>
      </c>
      <c r="DF137" s="79">
        <f t="shared" si="818"/>
        <v>0</v>
      </c>
      <c r="DG137" s="79">
        <f t="shared" si="819"/>
        <v>0</v>
      </c>
      <c r="DH137">
        <f t="shared" si="820"/>
        <v>0</v>
      </c>
      <c r="DI137">
        <f t="shared" si="821"/>
        <v>1</v>
      </c>
      <c r="DK137" s="79">
        <f t="shared" si="822"/>
        <v>0</v>
      </c>
      <c r="DL137" s="79">
        <f t="shared" si="823"/>
        <v>0</v>
      </c>
      <c r="DM137">
        <f t="shared" si="824"/>
        <v>1</v>
      </c>
      <c r="DN137">
        <f t="shared" si="825"/>
        <v>0</v>
      </c>
      <c r="DP137" s="79">
        <f t="shared" si="826"/>
        <v>0</v>
      </c>
      <c r="DQ137" s="79">
        <f t="shared" si="827"/>
        <v>0</v>
      </c>
      <c r="DR137">
        <f t="shared" si="828"/>
        <v>0</v>
      </c>
      <c r="DS137">
        <f t="shared" si="829"/>
        <v>1</v>
      </c>
      <c r="DU137" s="79">
        <f t="shared" si="830"/>
        <v>0</v>
      </c>
      <c r="DV137" s="79">
        <f t="shared" si="831"/>
        <v>0</v>
      </c>
      <c r="DW137">
        <f t="shared" si="832"/>
        <v>0</v>
      </c>
      <c r="DX137">
        <f t="shared" si="833"/>
        <v>1</v>
      </c>
      <c r="DZ137" s="79">
        <f t="shared" si="834"/>
        <v>0</v>
      </c>
      <c r="EA137" s="79">
        <f t="shared" si="835"/>
        <v>0</v>
      </c>
      <c r="EB137">
        <f t="shared" si="836"/>
        <v>0</v>
      </c>
      <c r="EC137">
        <f t="shared" si="837"/>
        <v>1</v>
      </c>
    </row>
    <row r="138" spans="1:133">
      <c r="A138" s="164"/>
      <c r="B138" s="164"/>
      <c r="C138" s="164"/>
      <c r="D138" s="164"/>
      <c r="E138" s="164"/>
      <c r="F138" s="163"/>
      <c r="G138" s="164"/>
      <c r="H138" s="164"/>
      <c r="I138" s="164"/>
      <c r="J138" s="164"/>
      <c r="AH138" s="72">
        <f t="shared" si="748"/>
        <v>0</v>
      </c>
      <c r="AI138" s="72">
        <f t="shared" si="749"/>
        <v>0</v>
      </c>
      <c r="AJ138" s="72">
        <f t="shared" si="750"/>
        <v>0</v>
      </c>
      <c r="AK138" s="72">
        <f t="shared" si="751"/>
        <v>0</v>
      </c>
      <c r="AL138" s="72">
        <f t="shared" si="752"/>
        <v>0</v>
      </c>
      <c r="AM138" s="72">
        <f t="shared" si="753"/>
        <v>0</v>
      </c>
      <c r="AN138" s="72">
        <f t="shared" si="754"/>
        <v>0</v>
      </c>
      <c r="AO138" s="72">
        <f t="shared" si="755"/>
        <v>0</v>
      </c>
      <c r="AP138" s="72">
        <f t="shared" si="756"/>
        <v>0</v>
      </c>
      <c r="AQ138" s="72">
        <f t="shared" si="757"/>
        <v>0</v>
      </c>
      <c r="AR138" s="72">
        <f t="shared" si="758"/>
        <v>0</v>
      </c>
      <c r="AS138" s="72">
        <f t="shared" si="759"/>
        <v>0</v>
      </c>
      <c r="AT138" s="72">
        <f t="shared" si="760"/>
        <v>0</v>
      </c>
      <c r="AU138" s="72">
        <f t="shared" si="761"/>
        <v>0</v>
      </c>
      <c r="AV138" s="72">
        <f t="shared" si="762"/>
        <v>0</v>
      </c>
      <c r="AW138" s="72">
        <f t="shared" si="763"/>
        <v>0</v>
      </c>
      <c r="AX138" s="72">
        <f t="shared" si="764"/>
        <v>0</v>
      </c>
      <c r="AY138" s="72">
        <f t="shared" si="765"/>
        <v>0</v>
      </c>
      <c r="AZ138" s="72">
        <f t="shared" si="766"/>
        <v>0</v>
      </c>
      <c r="BA138" s="72">
        <f t="shared" si="767"/>
        <v>0</v>
      </c>
      <c r="BB138" s="72">
        <f t="shared" si="768"/>
        <v>0</v>
      </c>
      <c r="BC138" s="72">
        <f t="shared" si="769"/>
        <v>0</v>
      </c>
      <c r="BD138" s="72">
        <f t="shared" si="770"/>
        <v>0</v>
      </c>
      <c r="BE138" s="72">
        <f t="shared" si="771"/>
        <v>0</v>
      </c>
      <c r="BF138" s="72">
        <f t="shared" si="772"/>
        <v>0</v>
      </c>
      <c r="BG138" s="72">
        <f t="shared" si="773"/>
        <v>0</v>
      </c>
      <c r="BH138" s="72">
        <f t="shared" si="774"/>
        <v>0</v>
      </c>
      <c r="BI138" s="72">
        <f t="shared" si="775"/>
        <v>0</v>
      </c>
      <c r="BJ138" s="72">
        <f t="shared" si="776"/>
        <v>0</v>
      </c>
      <c r="BK138" s="72">
        <f t="shared" si="777"/>
        <v>0</v>
      </c>
      <c r="BL138" s="72">
        <f t="shared" si="778"/>
        <v>0</v>
      </c>
      <c r="BM138" s="72">
        <f t="shared" si="779"/>
        <v>0</v>
      </c>
      <c r="BN138" s="72">
        <f t="shared" si="780"/>
        <v>0</v>
      </c>
      <c r="BO138" s="72">
        <f t="shared" si="781"/>
        <v>0</v>
      </c>
      <c r="BP138" s="72">
        <f t="shared" si="782"/>
        <v>0</v>
      </c>
      <c r="BQ138" s="72">
        <f t="shared" si="783"/>
        <v>0</v>
      </c>
      <c r="BR138" s="72">
        <f t="shared" si="784"/>
        <v>0</v>
      </c>
      <c r="BS138" s="72">
        <f t="shared" si="785"/>
        <v>0</v>
      </c>
      <c r="BT138" s="72">
        <f t="shared" si="786"/>
        <v>0</v>
      </c>
      <c r="BU138" s="72">
        <f t="shared" si="787"/>
        <v>0</v>
      </c>
      <c r="BW138">
        <f t="shared" si="788"/>
        <v>0</v>
      </c>
      <c r="BX138">
        <f t="shared" si="789"/>
        <v>0</v>
      </c>
      <c r="BY138">
        <f t="shared" si="790"/>
        <v>0</v>
      </c>
      <c r="BZ138">
        <f t="shared" si="791"/>
        <v>0</v>
      </c>
      <c r="CA138">
        <f t="shared" si="792"/>
        <v>0</v>
      </c>
      <c r="CB138">
        <f t="shared" si="793"/>
        <v>0</v>
      </c>
      <c r="CD138">
        <f t="shared" si="794"/>
        <v>0</v>
      </c>
      <c r="CE138">
        <f t="shared" si="795"/>
        <v>0</v>
      </c>
      <c r="CF138">
        <f t="shared" si="796"/>
        <v>0</v>
      </c>
      <c r="CG138">
        <f t="shared" si="797"/>
        <v>0</v>
      </c>
      <c r="CH138">
        <f t="shared" si="798"/>
        <v>0</v>
      </c>
      <c r="CI138">
        <f t="shared" si="799"/>
        <v>0</v>
      </c>
      <c r="CK138">
        <f t="shared" si="800"/>
        <v>0</v>
      </c>
      <c r="CL138">
        <f t="shared" si="801"/>
        <v>0</v>
      </c>
      <c r="CM138">
        <f t="shared" si="802"/>
        <v>0</v>
      </c>
      <c r="CN138">
        <f t="shared" si="803"/>
        <v>0</v>
      </c>
      <c r="CO138">
        <f t="shared" si="804"/>
        <v>0</v>
      </c>
      <c r="CP138">
        <f t="shared" si="805"/>
        <v>0</v>
      </c>
      <c r="CR138">
        <f t="shared" si="806"/>
        <v>0</v>
      </c>
      <c r="CS138">
        <f t="shared" si="807"/>
        <v>0</v>
      </c>
      <c r="CT138">
        <f t="shared" si="808"/>
        <v>0</v>
      </c>
      <c r="CU138">
        <f t="shared" si="809"/>
        <v>0</v>
      </c>
      <c r="CV138">
        <f t="shared" si="810"/>
        <v>0</v>
      </c>
      <c r="CW138">
        <f t="shared" si="811"/>
        <v>0</v>
      </c>
      <c r="CY138">
        <f t="shared" si="812"/>
        <v>0</v>
      </c>
      <c r="CZ138">
        <f t="shared" si="813"/>
        <v>0</v>
      </c>
      <c r="DA138">
        <f t="shared" si="814"/>
        <v>0</v>
      </c>
      <c r="DB138">
        <f t="shared" si="815"/>
        <v>0</v>
      </c>
      <c r="DC138">
        <f t="shared" si="816"/>
        <v>0</v>
      </c>
      <c r="DD138">
        <f t="shared" si="817"/>
        <v>0</v>
      </c>
      <c r="DF138" s="79">
        <f t="shared" si="818"/>
        <v>0</v>
      </c>
      <c r="DG138" s="79">
        <f t="shared" si="819"/>
        <v>0</v>
      </c>
      <c r="DH138">
        <f t="shared" si="820"/>
        <v>0</v>
      </c>
      <c r="DI138">
        <f t="shared" si="821"/>
        <v>1</v>
      </c>
      <c r="DK138" s="79">
        <f t="shared" si="822"/>
        <v>0</v>
      </c>
      <c r="DL138" s="79">
        <f t="shared" si="823"/>
        <v>0</v>
      </c>
      <c r="DM138">
        <f t="shared" si="824"/>
        <v>1</v>
      </c>
      <c r="DN138">
        <f t="shared" si="825"/>
        <v>0</v>
      </c>
      <c r="DP138" s="79">
        <f t="shared" si="826"/>
        <v>0</v>
      </c>
      <c r="DQ138" s="79">
        <f t="shared" si="827"/>
        <v>0</v>
      </c>
      <c r="DR138">
        <f t="shared" si="828"/>
        <v>0</v>
      </c>
      <c r="DS138">
        <f t="shared" si="829"/>
        <v>1</v>
      </c>
      <c r="DU138" s="79">
        <f t="shared" si="830"/>
        <v>0</v>
      </c>
      <c r="DV138" s="79">
        <f t="shared" si="831"/>
        <v>0</v>
      </c>
      <c r="DW138">
        <f t="shared" si="832"/>
        <v>0</v>
      </c>
      <c r="DX138">
        <f t="shared" si="833"/>
        <v>1</v>
      </c>
      <c r="DZ138" s="79">
        <f t="shared" si="834"/>
        <v>0</v>
      </c>
      <c r="EA138" s="79">
        <f t="shared" si="835"/>
        <v>0</v>
      </c>
      <c r="EB138">
        <f t="shared" si="836"/>
        <v>0</v>
      </c>
      <c r="EC138">
        <f t="shared" si="837"/>
        <v>1</v>
      </c>
    </row>
    <row r="139" spans="1:133">
      <c r="A139" s="164"/>
      <c r="B139" s="164"/>
      <c r="C139" s="164"/>
      <c r="D139" s="164"/>
      <c r="E139" s="164"/>
      <c r="F139" s="163"/>
      <c r="G139" s="164"/>
      <c r="H139" s="164"/>
      <c r="I139" s="164"/>
      <c r="J139" s="164"/>
      <c r="AH139" s="72">
        <f t="shared" si="748"/>
        <v>0</v>
      </c>
      <c r="AI139" s="72">
        <f t="shared" si="749"/>
        <v>0</v>
      </c>
      <c r="AJ139" s="72">
        <f t="shared" si="750"/>
        <v>0</v>
      </c>
      <c r="AK139" s="72">
        <f t="shared" si="751"/>
        <v>0</v>
      </c>
      <c r="AL139" s="72">
        <f t="shared" si="752"/>
        <v>0</v>
      </c>
      <c r="AM139" s="72">
        <f t="shared" si="753"/>
        <v>0</v>
      </c>
      <c r="AN139" s="72">
        <f t="shared" si="754"/>
        <v>0</v>
      </c>
      <c r="AO139" s="72">
        <f t="shared" si="755"/>
        <v>0</v>
      </c>
      <c r="AP139" s="72">
        <f t="shared" si="756"/>
        <v>0</v>
      </c>
      <c r="AQ139" s="72">
        <f t="shared" si="757"/>
        <v>0</v>
      </c>
      <c r="AR139" s="72">
        <f t="shared" si="758"/>
        <v>0</v>
      </c>
      <c r="AS139" s="72">
        <f t="shared" si="759"/>
        <v>0</v>
      </c>
      <c r="AT139" s="72">
        <f t="shared" si="760"/>
        <v>0</v>
      </c>
      <c r="AU139" s="72">
        <f t="shared" si="761"/>
        <v>0</v>
      </c>
      <c r="AV139" s="72">
        <f t="shared" si="762"/>
        <v>0</v>
      </c>
      <c r="AW139" s="72">
        <f t="shared" si="763"/>
        <v>0</v>
      </c>
      <c r="AX139" s="72">
        <f t="shared" si="764"/>
        <v>0</v>
      </c>
      <c r="AY139" s="72">
        <f t="shared" si="765"/>
        <v>0</v>
      </c>
      <c r="AZ139" s="72">
        <f t="shared" si="766"/>
        <v>0</v>
      </c>
      <c r="BA139" s="72">
        <f t="shared" si="767"/>
        <v>0</v>
      </c>
      <c r="BB139" s="72">
        <f t="shared" si="768"/>
        <v>0</v>
      </c>
      <c r="BC139" s="72">
        <f t="shared" si="769"/>
        <v>0</v>
      </c>
      <c r="BD139" s="72">
        <f t="shared" si="770"/>
        <v>0</v>
      </c>
      <c r="BE139" s="72">
        <f t="shared" si="771"/>
        <v>0</v>
      </c>
      <c r="BF139" s="72">
        <f t="shared" si="772"/>
        <v>0</v>
      </c>
      <c r="BG139" s="72">
        <f t="shared" si="773"/>
        <v>0</v>
      </c>
      <c r="BH139" s="72">
        <f t="shared" si="774"/>
        <v>0</v>
      </c>
      <c r="BI139" s="72">
        <f t="shared" si="775"/>
        <v>0</v>
      </c>
      <c r="BJ139" s="72">
        <f t="shared" si="776"/>
        <v>0</v>
      </c>
      <c r="BK139" s="72">
        <f t="shared" si="777"/>
        <v>0</v>
      </c>
      <c r="BL139" s="72">
        <f t="shared" si="778"/>
        <v>0</v>
      </c>
      <c r="BM139" s="72">
        <f t="shared" si="779"/>
        <v>0</v>
      </c>
      <c r="BN139" s="72">
        <f t="shared" si="780"/>
        <v>0</v>
      </c>
      <c r="BO139" s="72">
        <f t="shared" si="781"/>
        <v>0</v>
      </c>
      <c r="BP139" s="72">
        <f t="shared" si="782"/>
        <v>0</v>
      </c>
      <c r="BQ139" s="72">
        <f t="shared" si="783"/>
        <v>0</v>
      </c>
      <c r="BR139" s="72">
        <f t="shared" si="784"/>
        <v>0</v>
      </c>
      <c r="BS139" s="72">
        <f t="shared" si="785"/>
        <v>0</v>
      </c>
      <c r="BT139" s="72">
        <f t="shared" si="786"/>
        <v>0</v>
      </c>
      <c r="BU139" s="72">
        <f t="shared" si="787"/>
        <v>0</v>
      </c>
      <c r="BW139">
        <f t="shared" si="788"/>
        <v>0</v>
      </c>
      <c r="BX139">
        <f t="shared" si="789"/>
        <v>0</v>
      </c>
      <c r="BY139">
        <f t="shared" si="790"/>
        <v>0</v>
      </c>
      <c r="BZ139">
        <f t="shared" si="791"/>
        <v>0</v>
      </c>
      <c r="CA139">
        <f t="shared" si="792"/>
        <v>0</v>
      </c>
      <c r="CB139">
        <f t="shared" si="793"/>
        <v>0</v>
      </c>
      <c r="CD139">
        <f t="shared" si="794"/>
        <v>0</v>
      </c>
      <c r="CE139">
        <f t="shared" si="795"/>
        <v>0</v>
      </c>
      <c r="CF139">
        <f t="shared" si="796"/>
        <v>0</v>
      </c>
      <c r="CG139">
        <f t="shared" si="797"/>
        <v>0</v>
      </c>
      <c r="CH139">
        <f t="shared" si="798"/>
        <v>0</v>
      </c>
      <c r="CI139">
        <f t="shared" si="799"/>
        <v>0</v>
      </c>
      <c r="CK139">
        <f t="shared" si="800"/>
        <v>0</v>
      </c>
      <c r="CL139">
        <f t="shared" si="801"/>
        <v>0</v>
      </c>
      <c r="CM139">
        <f t="shared" si="802"/>
        <v>0</v>
      </c>
      <c r="CN139">
        <f t="shared" si="803"/>
        <v>0</v>
      </c>
      <c r="CO139">
        <f t="shared" si="804"/>
        <v>0</v>
      </c>
      <c r="CP139">
        <f t="shared" si="805"/>
        <v>0</v>
      </c>
      <c r="CR139">
        <f t="shared" si="806"/>
        <v>0</v>
      </c>
      <c r="CS139">
        <f t="shared" si="807"/>
        <v>0</v>
      </c>
      <c r="CT139">
        <f t="shared" si="808"/>
        <v>0</v>
      </c>
      <c r="CU139">
        <f t="shared" si="809"/>
        <v>0</v>
      </c>
      <c r="CV139">
        <f t="shared" si="810"/>
        <v>0</v>
      </c>
      <c r="CW139">
        <f t="shared" si="811"/>
        <v>0</v>
      </c>
      <c r="CY139">
        <f t="shared" si="812"/>
        <v>0</v>
      </c>
      <c r="CZ139">
        <f t="shared" si="813"/>
        <v>0</v>
      </c>
      <c r="DA139">
        <f t="shared" si="814"/>
        <v>0</v>
      </c>
      <c r="DB139">
        <f t="shared" si="815"/>
        <v>0</v>
      </c>
      <c r="DC139">
        <f t="shared" si="816"/>
        <v>0</v>
      </c>
      <c r="DD139">
        <f t="shared" si="817"/>
        <v>0</v>
      </c>
      <c r="DF139" s="79">
        <f t="shared" si="818"/>
        <v>0</v>
      </c>
      <c r="DG139" s="79">
        <f t="shared" si="819"/>
        <v>0</v>
      </c>
      <c r="DH139">
        <f t="shared" si="820"/>
        <v>0</v>
      </c>
      <c r="DI139">
        <f t="shared" si="821"/>
        <v>1</v>
      </c>
      <c r="DK139" s="79">
        <f t="shared" si="822"/>
        <v>0</v>
      </c>
      <c r="DL139" s="79">
        <f t="shared" si="823"/>
        <v>0</v>
      </c>
      <c r="DM139">
        <f t="shared" si="824"/>
        <v>1</v>
      </c>
      <c r="DN139">
        <f t="shared" si="825"/>
        <v>0</v>
      </c>
      <c r="DP139" s="79">
        <f t="shared" si="826"/>
        <v>0</v>
      </c>
      <c r="DQ139" s="79">
        <f t="shared" si="827"/>
        <v>0</v>
      </c>
      <c r="DR139">
        <f t="shared" si="828"/>
        <v>0</v>
      </c>
      <c r="DS139">
        <f t="shared" si="829"/>
        <v>1</v>
      </c>
      <c r="DU139" s="79">
        <f t="shared" si="830"/>
        <v>0</v>
      </c>
      <c r="DV139" s="79">
        <f t="shared" si="831"/>
        <v>0</v>
      </c>
      <c r="DW139">
        <f t="shared" si="832"/>
        <v>0</v>
      </c>
      <c r="DX139">
        <f t="shared" si="833"/>
        <v>1</v>
      </c>
      <c r="DZ139" s="79">
        <f t="shared" si="834"/>
        <v>0</v>
      </c>
      <c r="EA139" s="79">
        <f t="shared" si="835"/>
        <v>0</v>
      </c>
      <c r="EB139">
        <f t="shared" si="836"/>
        <v>0</v>
      </c>
      <c r="EC139">
        <f t="shared" si="837"/>
        <v>1</v>
      </c>
    </row>
    <row r="140" spans="1:133">
      <c r="A140" s="164"/>
      <c r="B140" s="164"/>
      <c r="C140" s="164"/>
      <c r="D140" s="164"/>
      <c r="E140" s="164"/>
      <c r="F140" s="163"/>
      <c r="G140" s="164"/>
      <c r="H140" s="164"/>
      <c r="I140" s="164"/>
      <c r="J140" s="164"/>
      <c r="AH140" s="72">
        <f t="shared" si="748"/>
        <v>0</v>
      </c>
      <c r="AI140" s="72">
        <f t="shared" si="749"/>
        <v>0</v>
      </c>
      <c r="AJ140" s="72">
        <f t="shared" si="750"/>
        <v>0</v>
      </c>
      <c r="AK140" s="72">
        <f t="shared" si="751"/>
        <v>0</v>
      </c>
      <c r="AL140" s="72">
        <f t="shared" si="752"/>
        <v>0</v>
      </c>
      <c r="AM140" s="72">
        <f t="shared" si="753"/>
        <v>0</v>
      </c>
      <c r="AN140" s="72">
        <f t="shared" si="754"/>
        <v>0</v>
      </c>
      <c r="AO140" s="72">
        <f t="shared" si="755"/>
        <v>0</v>
      </c>
      <c r="AP140" s="72">
        <f t="shared" si="756"/>
        <v>0</v>
      </c>
      <c r="AQ140" s="72">
        <f t="shared" si="757"/>
        <v>0</v>
      </c>
      <c r="AR140" s="72">
        <f t="shared" si="758"/>
        <v>0</v>
      </c>
      <c r="AS140" s="72">
        <f t="shared" si="759"/>
        <v>0</v>
      </c>
      <c r="AT140" s="72">
        <f t="shared" si="760"/>
        <v>0</v>
      </c>
      <c r="AU140" s="72">
        <f t="shared" si="761"/>
        <v>0</v>
      </c>
      <c r="AV140" s="72">
        <f t="shared" si="762"/>
        <v>0</v>
      </c>
      <c r="AW140" s="72">
        <f t="shared" si="763"/>
        <v>0</v>
      </c>
      <c r="AX140" s="72">
        <f t="shared" si="764"/>
        <v>0</v>
      </c>
      <c r="AY140" s="72">
        <f t="shared" si="765"/>
        <v>0</v>
      </c>
      <c r="AZ140" s="72">
        <f t="shared" si="766"/>
        <v>0</v>
      </c>
      <c r="BA140" s="72">
        <f t="shared" si="767"/>
        <v>0</v>
      </c>
      <c r="BB140" s="72">
        <f t="shared" si="768"/>
        <v>0</v>
      </c>
      <c r="BC140" s="72">
        <f t="shared" si="769"/>
        <v>0</v>
      </c>
      <c r="BD140" s="72">
        <f t="shared" si="770"/>
        <v>0</v>
      </c>
      <c r="BE140" s="72">
        <f t="shared" si="771"/>
        <v>0</v>
      </c>
      <c r="BF140" s="72">
        <f t="shared" si="772"/>
        <v>0</v>
      </c>
      <c r="BG140" s="72">
        <f t="shared" si="773"/>
        <v>0</v>
      </c>
      <c r="BH140" s="72">
        <f t="shared" si="774"/>
        <v>0</v>
      </c>
      <c r="BI140" s="72">
        <f t="shared" si="775"/>
        <v>0</v>
      </c>
      <c r="BJ140" s="72">
        <f t="shared" si="776"/>
        <v>0</v>
      </c>
      <c r="BK140" s="72">
        <f t="shared" si="777"/>
        <v>0</v>
      </c>
      <c r="BL140" s="72">
        <f t="shared" si="778"/>
        <v>0</v>
      </c>
      <c r="BM140" s="72">
        <f t="shared" si="779"/>
        <v>0</v>
      </c>
      <c r="BN140" s="72">
        <f t="shared" si="780"/>
        <v>0</v>
      </c>
      <c r="BO140" s="72">
        <f t="shared" si="781"/>
        <v>0</v>
      </c>
      <c r="BP140" s="72">
        <f t="shared" si="782"/>
        <v>0</v>
      </c>
      <c r="BQ140" s="72">
        <f t="shared" si="783"/>
        <v>0</v>
      </c>
      <c r="BR140" s="72">
        <f t="shared" si="784"/>
        <v>0</v>
      </c>
      <c r="BS140" s="72">
        <f t="shared" si="785"/>
        <v>0</v>
      </c>
      <c r="BT140" s="72">
        <f t="shared" si="786"/>
        <v>0</v>
      </c>
      <c r="BU140" s="72">
        <f t="shared" si="787"/>
        <v>0</v>
      </c>
      <c r="BW140">
        <f t="shared" si="788"/>
        <v>0</v>
      </c>
      <c r="BX140">
        <f t="shared" si="789"/>
        <v>0</v>
      </c>
      <c r="BY140">
        <f t="shared" si="790"/>
        <v>0</v>
      </c>
      <c r="BZ140">
        <f t="shared" si="791"/>
        <v>0</v>
      </c>
      <c r="CA140">
        <f t="shared" si="792"/>
        <v>0</v>
      </c>
      <c r="CB140">
        <f t="shared" si="793"/>
        <v>0</v>
      </c>
      <c r="CD140">
        <f t="shared" si="794"/>
        <v>0</v>
      </c>
      <c r="CE140">
        <f t="shared" si="795"/>
        <v>0</v>
      </c>
      <c r="CF140">
        <f t="shared" si="796"/>
        <v>0</v>
      </c>
      <c r="CG140">
        <f t="shared" si="797"/>
        <v>0</v>
      </c>
      <c r="CH140">
        <f t="shared" si="798"/>
        <v>0</v>
      </c>
      <c r="CI140">
        <f t="shared" si="799"/>
        <v>0</v>
      </c>
      <c r="CK140">
        <f t="shared" si="800"/>
        <v>0</v>
      </c>
      <c r="CL140">
        <f t="shared" si="801"/>
        <v>0</v>
      </c>
      <c r="CM140">
        <f t="shared" si="802"/>
        <v>0</v>
      </c>
      <c r="CN140">
        <f t="shared" si="803"/>
        <v>0</v>
      </c>
      <c r="CO140">
        <f t="shared" si="804"/>
        <v>0</v>
      </c>
      <c r="CP140">
        <f t="shared" si="805"/>
        <v>0</v>
      </c>
      <c r="CR140">
        <f t="shared" si="806"/>
        <v>0</v>
      </c>
      <c r="CS140">
        <f t="shared" si="807"/>
        <v>0</v>
      </c>
      <c r="CT140">
        <f t="shared" si="808"/>
        <v>0</v>
      </c>
      <c r="CU140">
        <f t="shared" si="809"/>
        <v>0</v>
      </c>
      <c r="CV140">
        <f t="shared" si="810"/>
        <v>0</v>
      </c>
      <c r="CW140">
        <f t="shared" si="811"/>
        <v>0</v>
      </c>
      <c r="CY140">
        <f t="shared" si="812"/>
        <v>0</v>
      </c>
      <c r="CZ140">
        <f t="shared" si="813"/>
        <v>0</v>
      </c>
      <c r="DA140">
        <f t="shared" si="814"/>
        <v>0</v>
      </c>
      <c r="DB140">
        <f t="shared" si="815"/>
        <v>0</v>
      </c>
      <c r="DC140">
        <f t="shared" si="816"/>
        <v>0</v>
      </c>
      <c r="DD140">
        <f t="shared" si="817"/>
        <v>0</v>
      </c>
      <c r="DF140" s="79">
        <f t="shared" si="818"/>
        <v>0</v>
      </c>
      <c r="DG140" s="79">
        <f t="shared" si="819"/>
        <v>0</v>
      </c>
      <c r="DH140">
        <f t="shared" si="820"/>
        <v>0</v>
      </c>
      <c r="DI140">
        <f t="shared" si="821"/>
        <v>1</v>
      </c>
      <c r="DK140" s="79">
        <f t="shared" si="822"/>
        <v>0</v>
      </c>
      <c r="DL140" s="79">
        <f t="shared" si="823"/>
        <v>0</v>
      </c>
      <c r="DM140">
        <f t="shared" si="824"/>
        <v>1</v>
      </c>
      <c r="DN140">
        <f t="shared" si="825"/>
        <v>0</v>
      </c>
      <c r="DP140" s="79">
        <f t="shared" si="826"/>
        <v>0</v>
      </c>
      <c r="DQ140" s="79">
        <f t="shared" si="827"/>
        <v>0</v>
      </c>
      <c r="DR140">
        <f t="shared" si="828"/>
        <v>0</v>
      </c>
      <c r="DS140">
        <f t="shared" si="829"/>
        <v>1</v>
      </c>
      <c r="DU140" s="79">
        <f t="shared" si="830"/>
        <v>0</v>
      </c>
      <c r="DV140" s="79">
        <f t="shared" si="831"/>
        <v>0</v>
      </c>
      <c r="DW140">
        <f t="shared" si="832"/>
        <v>0</v>
      </c>
      <c r="DX140">
        <f t="shared" si="833"/>
        <v>1</v>
      </c>
      <c r="DZ140" s="79">
        <f t="shared" si="834"/>
        <v>0</v>
      </c>
      <c r="EA140" s="79">
        <f t="shared" si="835"/>
        <v>0</v>
      </c>
      <c r="EB140">
        <f t="shared" si="836"/>
        <v>0</v>
      </c>
      <c r="EC140">
        <f t="shared" si="837"/>
        <v>1</v>
      </c>
    </row>
    <row r="141" spans="1:133">
      <c r="A141" s="164"/>
      <c r="B141" s="164"/>
      <c r="C141" s="164"/>
      <c r="D141" s="164"/>
      <c r="E141" s="164"/>
      <c r="F141" s="163"/>
      <c r="G141" s="164"/>
      <c r="H141" s="164"/>
      <c r="I141" s="164"/>
      <c r="J141" s="164"/>
      <c r="AH141" s="72">
        <f t="shared" si="748"/>
        <v>0</v>
      </c>
      <c r="AI141" s="72">
        <f t="shared" si="749"/>
        <v>0</v>
      </c>
      <c r="AJ141" s="72">
        <f t="shared" si="750"/>
        <v>0</v>
      </c>
      <c r="AK141" s="72">
        <f t="shared" si="751"/>
        <v>0</v>
      </c>
      <c r="AL141" s="72">
        <f t="shared" si="752"/>
        <v>0</v>
      </c>
      <c r="AM141" s="72">
        <f t="shared" si="753"/>
        <v>0</v>
      </c>
      <c r="AN141" s="72">
        <f t="shared" si="754"/>
        <v>0</v>
      </c>
      <c r="AO141" s="72">
        <f t="shared" si="755"/>
        <v>0</v>
      </c>
      <c r="AP141" s="72">
        <f t="shared" si="756"/>
        <v>0</v>
      </c>
      <c r="AQ141" s="72">
        <f t="shared" si="757"/>
        <v>0</v>
      </c>
      <c r="AR141" s="72">
        <f t="shared" si="758"/>
        <v>0</v>
      </c>
      <c r="AS141" s="72">
        <f t="shared" si="759"/>
        <v>0</v>
      </c>
      <c r="AT141" s="72">
        <f t="shared" si="760"/>
        <v>0</v>
      </c>
      <c r="AU141" s="72">
        <f t="shared" si="761"/>
        <v>0</v>
      </c>
      <c r="AV141" s="72">
        <f t="shared" si="762"/>
        <v>0</v>
      </c>
      <c r="AW141" s="72">
        <f t="shared" si="763"/>
        <v>0</v>
      </c>
      <c r="AX141" s="72">
        <f t="shared" si="764"/>
        <v>0</v>
      </c>
      <c r="AY141" s="72">
        <f t="shared" si="765"/>
        <v>0</v>
      </c>
      <c r="AZ141" s="72">
        <f t="shared" si="766"/>
        <v>0</v>
      </c>
      <c r="BA141" s="72">
        <f t="shared" si="767"/>
        <v>0</v>
      </c>
      <c r="BB141" s="72">
        <f t="shared" si="768"/>
        <v>0</v>
      </c>
      <c r="BC141" s="72">
        <f t="shared" si="769"/>
        <v>0</v>
      </c>
      <c r="BD141" s="72">
        <f t="shared" si="770"/>
        <v>0</v>
      </c>
      <c r="BE141" s="72">
        <f t="shared" si="771"/>
        <v>0</v>
      </c>
      <c r="BF141" s="72">
        <f t="shared" si="772"/>
        <v>0</v>
      </c>
      <c r="BG141" s="72">
        <f t="shared" si="773"/>
        <v>0</v>
      </c>
      <c r="BH141" s="72">
        <f t="shared" si="774"/>
        <v>0</v>
      </c>
      <c r="BI141" s="72">
        <f t="shared" si="775"/>
        <v>0</v>
      </c>
      <c r="BJ141" s="72">
        <f t="shared" si="776"/>
        <v>0</v>
      </c>
      <c r="BK141" s="72">
        <f t="shared" si="777"/>
        <v>0</v>
      </c>
      <c r="BL141" s="72">
        <f t="shared" si="778"/>
        <v>0</v>
      </c>
      <c r="BM141" s="72">
        <f t="shared" si="779"/>
        <v>0</v>
      </c>
      <c r="BN141" s="72">
        <f t="shared" si="780"/>
        <v>0</v>
      </c>
      <c r="BO141" s="72">
        <f t="shared" si="781"/>
        <v>0</v>
      </c>
      <c r="BP141" s="72">
        <f t="shared" si="782"/>
        <v>0</v>
      </c>
      <c r="BQ141" s="72">
        <f t="shared" si="783"/>
        <v>0</v>
      </c>
      <c r="BR141" s="72">
        <f t="shared" si="784"/>
        <v>0</v>
      </c>
      <c r="BS141" s="72">
        <f t="shared" si="785"/>
        <v>0</v>
      </c>
      <c r="BT141" s="72">
        <f t="shared" si="786"/>
        <v>0</v>
      </c>
      <c r="BU141" s="72">
        <f t="shared" si="787"/>
        <v>0</v>
      </c>
      <c r="BW141">
        <f t="shared" si="788"/>
        <v>0</v>
      </c>
      <c r="BX141">
        <f t="shared" si="789"/>
        <v>0</v>
      </c>
      <c r="BY141">
        <f t="shared" si="790"/>
        <v>0</v>
      </c>
      <c r="BZ141">
        <f t="shared" si="791"/>
        <v>0</v>
      </c>
      <c r="CA141">
        <f t="shared" si="792"/>
        <v>0</v>
      </c>
      <c r="CB141">
        <f t="shared" si="793"/>
        <v>0</v>
      </c>
      <c r="CD141">
        <f t="shared" si="794"/>
        <v>0</v>
      </c>
      <c r="CE141">
        <f t="shared" si="795"/>
        <v>0</v>
      </c>
      <c r="CF141">
        <f t="shared" si="796"/>
        <v>0</v>
      </c>
      <c r="CG141">
        <f t="shared" si="797"/>
        <v>0</v>
      </c>
      <c r="CH141">
        <f t="shared" si="798"/>
        <v>0</v>
      </c>
      <c r="CI141">
        <f t="shared" si="799"/>
        <v>0</v>
      </c>
      <c r="CK141">
        <f t="shared" si="800"/>
        <v>0</v>
      </c>
      <c r="CL141">
        <f t="shared" si="801"/>
        <v>0</v>
      </c>
      <c r="CM141">
        <f t="shared" si="802"/>
        <v>0</v>
      </c>
      <c r="CN141">
        <f t="shared" si="803"/>
        <v>0</v>
      </c>
      <c r="CO141">
        <f t="shared" si="804"/>
        <v>0</v>
      </c>
      <c r="CP141">
        <f t="shared" si="805"/>
        <v>0</v>
      </c>
      <c r="CR141">
        <f t="shared" si="806"/>
        <v>0</v>
      </c>
      <c r="CS141">
        <f t="shared" si="807"/>
        <v>0</v>
      </c>
      <c r="CT141">
        <f t="shared" si="808"/>
        <v>0</v>
      </c>
      <c r="CU141">
        <f t="shared" si="809"/>
        <v>0</v>
      </c>
      <c r="CV141">
        <f t="shared" si="810"/>
        <v>0</v>
      </c>
      <c r="CW141">
        <f t="shared" si="811"/>
        <v>0</v>
      </c>
      <c r="CY141">
        <f t="shared" si="812"/>
        <v>0</v>
      </c>
      <c r="CZ141">
        <f t="shared" si="813"/>
        <v>0</v>
      </c>
      <c r="DA141">
        <f t="shared" si="814"/>
        <v>0</v>
      </c>
      <c r="DB141">
        <f t="shared" si="815"/>
        <v>0</v>
      </c>
      <c r="DC141">
        <f t="shared" si="816"/>
        <v>0</v>
      </c>
      <c r="DD141">
        <f t="shared" si="817"/>
        <v>0</v>
      </c>
      <c r="DF141" s="79">
        <f t="shared" si="818"/>
        <v>0</v>
      </c>
      <c r="DG141" s="79">
        <f t="shared" si="819"/>
        <v>0</v>
      </c>
      <c r="DH141">
        <f t="shared" si="820"/>
        <v>0</v>
      </c>
      <c r="DI141">
        <f t="shared" si="821"/>
        <v>1</v>
      </c>
      <c r="DK141" s="79">
        <f t="shared" si="822"/>
        <v>0</v>
      </c>
      <c r="DL141" s="79">
        <f t="shared" si="823"/>
        <v>0</v>
      </c>
      <c r="DM141">
        <f t="shared" si="824"/>
        <v>1</v>
      </c>
      <c r="DN141">
        <f t="shared" si="825"/>
        <v>0</v>
      </c>
      <c r="DP141" s="79">
        <f t="shared" si="826"/>
        <v>0</v>
      </c>
      <c r="DQ141" s="79">
        <f t="shared" si="827"/>
        <v>0</v>
      </c>
      <c r="DR141">
        <f t="shared" si="828"/>
        <v>0</v>
      </c>
      <c r="DS141">
        <f t="shared" si="829"/>
        <v>1</v>
      </c>
      <c r="DU141" s="79">
        <f t="shared" si="830"/>
        <v>0</v>
      </c>
      <c r="DV141" s="79">
        <f t="shared" si="831"/>
        <v>0</v>
      </c>
      <c r="DW141">
        <f t="shared" si="832"/>
        <v>0</v>
      </c>
      <c r="DX141">
        <f t="shared" si="833"/>
        <v>1</v>
      </c>
      <c r="DZ141" s="79">
        <f t="shared" si="834"/>
        <v>0</v>
      </c>
      <c r="EA141" s="79">
        <f t="shared" si="835"/>
        <v>0</v>
      </c>
      <c r="EB141">
        <f t="shared" si="836"/>
        <v>0</v>
      </c>
      <c r="EC141">
        <f t="shared" si="837"/>
        <v>1</v>
      </c>
    </row>
    <row r="142" spans="1:133">
      <c r="A142" s="164"/>
      <c r="B142" s="164"/>
      <c r="C142" s="164"/>
      <c r="D142" s="164"/>
      <c r="E142" s="164"/>
      <c r="F142" s="163"/>
      <c r="G142" s="164"/>
      <c r="H142" s="164"/>
      <c r="I142" s="164"/>
      <c r="J142" s="164"/>
      <c r="AH142" s="72">
        <f t="shared" si="748"/>
        <v>0</v>
      </c>
      <c r="AI142" s="72">
        <f t="shared" si="749"/>
        <v>0</v>
      </c>
      <c r="AJ142" s="72">
        <f t="shared" si="750"/>
        <v>0</v>
      </c>
      <c r="AK142" s="72">
        <f t="shared" si="751"/>
        <v>0</v>
      </c>
      <c r="AL142" s="72">
        <f t="shared" si="752"/>
        <v>0</v>
      </c>
      <c r="AM142" s="72">
        <f t="shared" si="753"/>
        <v>0</v>
      </c>
      <c r="AN142" s="72">
        <f t="shared" si="754"/>
        <v>0</v>
      </c>
      <c r="AO142" s="72">
        <f t="shared" si="755"/>
        <v>0</v>
      </c>
      <c r="AP142" s="72">
        <f t="shared" si="756"/>
        <v>0</v>
      </c>
      <c r="AQ142" s="72">
        <f t="shared" si="757"/>
        <v>0</v>
      </c>
      <c r="AR142" s="72">
        <f t="shared" si="758"/>
        <v>0</v>
      </c>
      <c r="AS142" s="72">
        <f t="shared" si="759"/>
        <v>0</v>
      </c>
      <c r="AT142" s="72">
        <f t="shared" si="760"/>
        <v>0</v>
      </c>
      <c r="AU142" s="72">
        <f t="shared" si="761"/>
        <v>0</v>
      </c>
      <c r="AV142" s="72">
        <f t="shared" si="762"/>
        <v>0</v>
      </c>
      <c r="AW142" s="72">
        <f t="shared" si="763"/>
        <v>0</v>
      </c>
      <c r="AX142" s="72">
        <f t="shared" si="764"/>
        <v>0</v>
      </c>
      <c r="AY142" s="72">
        <f t="shared" si="765"/>
        <v>0</v>
      </c>
      <c r="AZ142" s="72">
        <f t="shared" si="766"/>
        <v>0</v>
      </c>
      <c r="BA142" s="72">
        <f t="shared" si="767"/>
        <v>0</v>
      </c>
      <c r="BB142" s="72">
        <f t="shared" si="768"/>
        <v>0</v>
      </c>
      <c r="BC142" s="72">
        <f t="shared" si="769"/>
        <v>0</v>
      </c>
      <c r="BD142" s="72">
        <f t="shared" si="770"/>
        <v>0</v>
      </c>
      <c r="BE142" s="72">
        <f t="shared" si="771"/>
        <v>0</v>
      </c>
      <c r="BF142" s="72">
        <f t="shared" si="772"/>
        <v>0</v>
      </c>
      <c r="BG142" s="72">
        <f t="shared" si="773"/>
        <v>0</v>
      </c>
      <c r="BH142" s="72">
        <f t="shared" si="774"/>
        <v>0</v>
      </c>
      <c r="BI142" s="72">
        <f t="shared" si="775"/>
        <v>0</v>
      </c>
      <c r="BJ142" s="72">
        <f t="shared" si="776"/>
        <v>0</v>
      </c>
      <c r="BK142" s="72">
        <f t="shared" si="777"/>
        <v>0</v>
      </c>
      <c r="BL142" s="72">
        <f t="shared" si="778"/>
        <v>0</v>
      </c>
      <c r="BM142" s="72">
        <f t="shared" si="779"/>
        <v>0</v>
      </c>
      <c r="BN142" s="72">
        <f t="shared" si="780"/>
        <v>0</v>
      </c>
      <c r="BO142" s="72">
        <f t="shared" si="781"/>
        <v>0</v>
      </c>
      <c r="BP142" s="72">
        <f t="shared" si="782"/>
        <v>0</v>
      </c>
      <c r="BQ142" s="72">
        <f t="shared" si="783"/>
        <v>0</v>
      </c>
      <c r="BR142" s="72">
        <f t="shared" si="784"/>
        <v>0</v>
      </c>
      <c r="BS142" s="72">
        <f t="shared" si="785"/>
        <v>0</v>
      </c>
      <c r="BT142" s="72">
        <f t="shared" si="786"/>
        <v>0</v>
      </c>
      <c r="BU142" s="72">
        <f t="shared" si="787"/>
        <v>0</v>
      </c>
      <c r="BW142">
        <f t="shared" si="788"/>
        <v>0</v>
      </c>
      <c r="BX142">
        <f t="shared" si="789"/>
        <v>0</v>
      </c>
      <c r="BY142">
        <f t="shared" si="790"/>
        <v>0</v>
      </c>
      <c r="BZ142">
        <f t="shared" si="791"/>
        <v>0</v>
      </c>
      <c r="CA142">
        <f t="shared" si="792"/>
        <v>0</v>
      </c>
      <c r="CB142">
        <f t="shared" si="793"/>
        <v>0</v>
      </c>
      <c r="CD142">
        <f t="shared" si="794"/>
        <v>0</v>
      </c>
      <c r="CE142">
        <f t="shared" si="795"/>
        <v>0</v>
      </c>
      <c r="CF142">
        <f t="shared" si="796"/>
        <v>0</v>
      </c>
      <c r="CG142">
        <f t="shared" si="797"/>
        <v>0</v>
      </c>
      <c r="CH142">
        <f t="shared" si="798"/>
        <v>0</v>
      </c>
      <c r="CI142">
        <f t="shared" si="799"/>
        <v>0</v>
      </c>
      <c r="CK142">
        <f t="shared" si="800"/>
        <v>0</v>
      </c>
      <c r="CL142">
        <f t="shared" si="801"/>
        <v>0</v>
      </c>
      <c r="CM142">
        <f t="shared" si="802"/>
        <v>0</v>
      </c>
      <c r="CN142">
        <f t="shared" si="803"/>
        <v>0</v>
      </c>
      <c r="CO142">
        <f t="shared" si="804"/>
        <v>0</v>
      </c>
      <c r="CP142">
        <f t="shared" si="805"/>
        <v>0</v>
      </c>
      <c r="CR142">
        <f t="shared" si="806"/>
        <v>0</v>
      </c>
      <c r="CS142">
        <f t="shared" si="807"/>
        <v>0</v>
      </c>
      <c r="CT142">
        <f t="shared" si="808"/>
        <v>0</v>
      </c>
      <c r="CU142">
        <f t="shared" si="809"/>
        <v>0</v>
      </c>
      <c r="CV142">
        <f t="shared" si="810"/>
        <v>0</v>
      </c>
      <c r="CW142">
        <f t="shared" si="811"/>
        <v>0</v>
      </c>
      <c r="CY142">
        <f t="shared" si="812"/>
        <v>0</v>
      </c>
      <c r="CZ142">
        <f t="shared" si="813"/>
        <v>0</v>
      </c>
      <c r="DA142">
        <f t="shared" si="814"/>
        <v>0</v>
      </c>
      <c r="DB142">
        <f t="shared" si="815"/>
        <v>0</v>
      </c>
      <c r="DC142">
        <f t="shared" si="816"/>
        <v>0</v>
      </c>
      <c r="DD142">
        <f t="shared" si="817"/>
        <v>0</v>
      </c>
      <c r="DF142" s="79">
        <f t="shared" si="818"/>
        <v>0</v>
      </c>
      <c r="DG142" s="79">
        <f t="shared" si="819"/>
        <v>0</v>
      </c>
      <c r="DH142">
        <f t="shared" si="820"/>
        <v>0</v>
      </c>
      <c r="DI142">
        <f t="shared" si="821"/>
        <v>1</v>
      </c>
      <c r="DK142" s="79">
        <f t="shared" si="822"/>
        <v>0</v>
      </c>
      <c r="DL142" s="79">
        <f t="shared" si="823"/>
        <v>0</v>
      </c>
      <c r="DM142">
        <f t="shared" si="824"/>
        <v>1</v>
      </c>
      <c r="DN142">
        <f t="shared" si="825"/>
        <v>0</v>
      </c>
      <c r="DP142" s="79">
        <f t="shared" si="826"/>
        <v>0</v>
      </c>
      <c r="DQ142" s="79">
        <f t="shared" si="827"/>
        <v>0</v>
      </c>
      <c r="DR142">
        <f t="shared" si="828"/>
        <v>0</v>
      </c>
      <c r="DS142">
        <f t="shared" si="829"/>
        <v>1</v>
      </c>
      <c r="DU142" s="79">
        <f t="shared" si="830"/>
        <v>0</v>
      </c>
      <c r="DV142" s="79">
        <f t="shared" si="831"/>
        <v>0</v>
      </c>
      <c r="DW142">
        <f t="shared" si="832"/>
        <v>0</v>
      </c>
      <c r="DX142">
        <f t="shared" si="833"/>
        <v>1</v>
      </c>
      <c r="DZ142" s="79">
        <f t="shared" si="834"/>
        <v>0</v>
      </c>
      <c r="EA142" s="79">
        <f t="shared" si="835"/>
        <v>0</v>
      </c>
      <c r="EB142">
        <f t="shared" si="836"/>
        <v>0</v>
      </c>
      <c r="EC142">
        <f t="shared" si="837"/>
        <v>1</v>
      </c>
    </row>
    <row r="143" spans="1:133">
      <c r="A143" s="164"/>
      <c r="B143" s="164"/>
      <c r="C143" s="164"/>
      <c r="D143" s="164"/>
      <c r="E143" s="164"/>
      <c r="F143" s="163"/>
      <c r="G143" s="164"/>
      <c r="H143" s="164"/>
      <c r="I143" s="164"/>
      <c r="J143" s="164"/>
      <c r="AH143" s="72">
        <f t="shared" si="748"/>
        <v>0</v>
      </c>
      <c r="AI143" s="72">
        <f t="shared" si="749"/>
        <v>0</v>
      </c>
      <c r="AJ143" s="72">
        <f t="shared" si="750"/>
        <v>0</v>
      </c>
      <c r="AK143" s="72">
        <f t="shared" si="751"/>
        <v>0</v>
      </c>
      <c r="AL143" s="72">
        <f t="shared" si="752"/>
        <v>0</v>
      </c>
      <c r="AM143" s="72">
        <f t="shared" si="753"/>
        <v>0</v>
      </c>
      <c r="AN143" s="72">
        <f t="shared" si="754"/>
        <v>0</v>
      </c>
      <c r="AO143" s="72">
        <f t="shared" si="755"/>
        <v>0</v>
      </c>
      <c r="AP143" s="72">
        <f t="shared" si="756"/>
        <v>0</v>
      </c>
      <c r="AQ143" s="72">
        <f t="shared" si="757"/>
        <v>0</v>
      </c>
      <c r="AR143" s="72">
        <f t="shared" si="758"/>
        <v>0</v>
      </c>
      <c r="AS143" s="72">
        <f t="shared" si="759"/>
        <v>0</v>
      </c>
      <c r="AT143" s="72">
        <f t="shared" si="760"/>
        <v>0</v>
      </c>
      <c r="AU143" s="72">
        <f t="shared" si="761"/>
        <v>0</v>
      </c>
      <c r="AV143" s="72">
        <f t="shared" si="762"/>
        <v>0</v>
      </c>
      <c r="AW143" s="72">
        <f t="shared" si="763"/>
        <v>0</v>
      </c>
      <c r="AX143" s="72">
        <f t="shared" si="764"/>
        <v>0</v>
      </c>
      <c r="AY143" s="72">
        <f t="shared" si="765"/>
        <v>0</v>
      </c>
      <c r="AZ143" s="72">
        <f t="shared" si="766"/>
        <v>0</v>
      </c>
      <c r="BA143" s="72">
        <f t="shared" si="767"/>
        <v>0</v>
      </c>
      <c r="BB143" s="72">
        <f t="shared" si="768"/>
        <v>0</v>
      </c>
      <c r="BC143" s="72">
        <f t="shared" si="769"/>
        <v>0</v>
      </c>
      <c r="BD143" s="72">
        <f t="shared" si="770"/>
        <v>0</v>
      </c>
      <c r="BE143" s="72">
        <f t="shared" si="771"/>
        <v>0</v>
      </c>
      <c r="BF143" s="72">
        <f t="shared" si="772"/>
        <v>0</v>
      </c>
      <c r="BG143" s="72">
        <f t="shared" si="773"/>
        <v>0</v>
      </c>
      <c r="BH143" s="72">
        <f t="shared" si="774"/>
        <v>0</v>
      </c>
      <c r="BI143" s="72">
        <f t="shared" si="775"/>
        <v>0</v>
      </c>
      <c r="BJ143" s="72">
        <f t="shared" si="776"/>
        <v>0</v>
      </c>
      <c r="BK143" s="72">
        <f t="shared" si="777"/>
        <v>0</v>
      </c>
      <c r="BL143" s="72">
        <f t="shared" si="778"/>
        <v>0</v>
      </c>
      <c r="BM143" s="72">
        <f t="shared" si="779"/>
        <v>0</v>
      </c>
      <c r="BN143" s="72">
        <f t="shared" si="780"/>
        <v>0</v>
      </c>
      <c r="BO143" s="72">
        <f t="shared" si="781"/>
        <v>0</v>
      </c>
      <c r="BP143" s="72">
        <f t="shared" si="782"/>
        <v>0</v>
      </c>
      <c r="BQ143" s="72">
        <f t="shared" si="783"/>
        <v>0</v>
      </c>
      <c r="BR143" s="72">
        <f t="shared" si="784"/>
        <v>0</v>
      </c>
      <c r="BS143" s="72">
        <f t="shared" si="785"/>
        <v>0</v>
      </c>
      <c r="BT143" s="72">
        <f t="shared" si="786"/>
        <v>0</v>
      </c>
      <c r="BU143" s="72">
        <f t="shared" si="787"/>
        <v>0</v>
      </c>
      <c r="BW143">
        <f t="shared" si="788"/>
        <v>0</v>
      </c>
      <c r="BX143">
        <f t="shared" si="789"/>
        <v>0</v>
      </c>
      <c r="BY143">
        <f t="shared" si="790"/>
        <v>0</v>
      </c>
      <c r="BZ143">
        <f t="shared" si="791"/>
        <v>0</v>
      </c>
      <c r="CA143">
        <f t="shared" si="792"/>
        <v>0</v>
      </c>
      <c r="CB143">
        <f t="shared" si="793"/>
        <v>0</v>
      </c>
      <c r="CD143">
        <f t="shared" si="794"/>
        <v>0</v>
      </c>
      <c r="CE143">
        <f t="shared" si="795"/>
        <v>0</v>
      </c>
      <c r="CF143">
        <f t="shared" si="796"/>
        <v>0</v>
      </c>
      <c r="CG143">
        <f t="shared" si="797"/>
        <v>0</v>
      </c>
      <c r="CH143">
        <f t="shared" si="798"/>
        <v>0</v>
      </c>
      <c r="CI143">
        <f t="shared" si="799"/>
        <v>0</v>
      </c>
      <c r="CK143">
        <f t="shared" si="800"/>
        <v>0</v>
      </c>
      <c r="CL143">
        <f t="shared" si="801"/>
        <v>0</v>
      </c>
      <c r="CM143">
        <f t="shared" si="802"/>
        <v>0</v>
      </c>
      <c r="CN143">
        <f t="shared" si="803"/>
        <v>0</v>
      </c>
      <c r="CO143">
        <f t="shared" si="804"/>
        <v>0</v>
      </c>
      <c r="CP143">
        <f t="shared" si="805"/>
        <v>0</v>
      </c>
      <c r="CR143">
        <f t="shared" si="806"/>
        <v>0</v>
      </c>
      <c r="CS143">
        <f t="shared" si="807"/>
        <v>0</v>
      </c>
      <c r="CT143">
        <f t="shared" si="808"/>
        <v>0</v>
      </c>
      <c r="CU143">
        <f t="shared" si="809"/>
        <v>0</v>
      </c>
      <c r="CV143">
        <f t="shared" si="810"/>
        <v>0</v>
      </c>
      <c r="CW143">
        <f t="shared" si="811"/>
        <v>0</v>
      </c>
      <c r="CY143">
        <f t="shared" si="812"/>
        <v>0</v>
      </c>
      <c r="CZ143">
        <f t="shared" si="813"/>
        <v>0</v>
      </c>
      <c r="DA143">
        <f t="shared" si="814"/>
        <v>0</v>
      </c>
      <c r="DB143">
        <f t="shared" si="815"/>
        <v>0</v>
      </c>
      <c r="DC143">
        <f t="shared" si="816"/>
        <v>0</v>
      </c>
      <c r="DD143">
        <f t="shared" si="817"/>
        <v>0</v>
      </c>
      <c r="DF143" s="79">
        <f t="shared" si="818"/>
        <v>0</v>
      </c>
      <c r="DG143" s="79">
        <f t="shared" si="819"/>
        <v>0</v>
      </c>
      <c r="DH143">
        <f t="shared" si="820"/>
        <v>0</v>
      </c>
      <c r="DI143">
        <f t="shared" si="821"/>
        <v>1</v>
      </c>
      <c r="DK143" s="79">
        <f t="shared" si="822"/>
        <v>0</v>
      </c>
      <c r="DL143" s="79">
        <f t="shared" si="823"/>
        <v>0</v>
      </c>
      <c r="DM143">
        <f t="shared" si="824"/>
        <v>1</v>
      </c>
      <c r="DN143">
        <f t="shared" si="825"/>
        <v>0</v>
      </c>
      <c r="DP143" s="79">
        <f t="shared" si="826"/>
        <v>0</v>
      </c>
      <c r="DQ143" s="79">
        <f t="shared" si="827"/>
        <v>0</v>
      </c>
      <c r="DR143">
        <f t="shared" si="828"/>
        <v>0</v>
      </c>
      <c r="DS143">
        <f t="shared" si="829"/>
        <v>1</v>
      </c>
      <c r="DU143" s="79">
        <f t="shared" si="830"/>
        <v>0</v>
      </c>
      <c r="DV143" s="79">
        <f t="shared" si="831"/>
        <v>0</v>
      </c>
      <c r="DW143">
        <f t="shared" si="832"/>
        <v>0</v>
      </c>
      <c r="DX143">
        <f t="shared" si="833"/>
        <v>1</v>
      </c>
      <c r="DZ143" s="79">
        <f t="shared" si="834"/>
        <v>0</v>
      </c>
      <c r="EA143" s="79">
        <f t="shared" si="835"/>
        <v>0</v>
      </c>
      <c r="EB143">
        <f t="shared" si="836"/>
        <v>0</v>
      </c>
      <c r="EC143">
        <f t="shared" si="837"/>
        <v>1</v>
      </c>
    </row>
    <row r="144" spans="1:133">
      <c r="A144" s="164"/>
      <c r="B144" s="164"/>
      <c r="C144" s="164"/>
      <c r="D144" s="164"/>
      <c r="E144" s="164"/>
      <c r="F144" s="163"/>
      <c r="G144" s="164"/>
      <c r="H144" s="164"/>
      <c r="I144" s="164"/>
      <c r="J144" s="164"/>
      <c r="AH144" s="72">
        <f t="shared" si="748"/>
        <v>0</v>
      </c>
      <c r="AI144" s="72">
        <f t="shared" si="749"/>
        <v>0</v>
      </c>
      <c r="AJ144" s="72">
        <f t="shared" si="750"/>
        <v>0</v>
      </c>
      <c r="AK144" s="72">
        <f t="shared" si="751"/>
        <v>0</v>
      </c>
      <c r="AL144" s="72">
        <f t="shared" si="752"/>
        <v>0</v>
      </c>
      <c r="AM144" s="72">
        <f t="shared" si="753"/>
        <v>0</v>
      </c>
      <c r="AN144" s="72">
        <f t="shared" si="754"/>
        <v>0</v>
      </c>
      <c r="AO144" s="72">
        <f t="shared" si="755"/>
        <v>0</v>
      </c>
      <c r="AP144" s="72">
        <f t="shared" si="756"/>
        <v>0</v>
      </c>
      <c r="AQ144" s="72">
        <f t="shared" si="757"/>
        <v>0</v>
      </c>
      <c r="AR144" s="72">
        <f t="shared" si="758"/>
        <v>0</v>
      </c>
      <c r="AS144" s="72">
        <f t="shared" si="759"/>
        <v>0</v>
      </c>
      <c r="AT144" s="72">
        <f t="shared" si="760"/>
        <v>0</v>
      </c>
      <c r="AU144" s="72">
        <f t="shared" si="761"/>
        <v>0</v>
      </c>
      <c r="AV144" s="72">
        <f t="shared" si="762"/>
        <v>0</v>
      </c>
      <c r="AW144" s="72">
        <f t="shared" si="763"/>
        <v>0</v>
      </c>
      <c r="AX144" s="72">
        <f t="shared" si="764"/>
        <v>0</v>
      </c>
      <c r="AY144" s="72">
        <f t="shared" si="765"/>
        <v>0</v>
      </c>
      <c r="AZ144" s="72">
        <f t="shared" si="766"/>
        <v>0</v>
      </c>
      <c r="BA144" s="72">
        <f t="shared" si="767"/>
        <v>0</v>
      </c>
      <c r="BB144" s="72">
        <f t="shared" si="768"/>
        <v>0</v>
      </c>
      <c r="BC144" s="72">
        <f t="shared" si="769"/>
        <v>0</v>
      </c>
      <c r="BD144" s="72">
        <f t="shared" si="770"/>
        <v>0</v>
      </c>
      <c r="BE144" s="72">
        <f t="shared" si="771"/>
        <v>0</v>
      </c>
      <c r="BF144" s="72">
        <f t="shared" si="772"/>
        <v>0</v>
      </c>
      <c r="BG144" s="72">
        <f t="shared" si="773"/>
        <v>0</v>
      </c>
      <c r="BH144" s="72">
        <f t="shared" si="774"/>
        <v>0</v>
      </c>
      <c r="BI144" s="72">
        <f t="shared" si="775"/>
        <v>0</v>
      </c>
      <c r="BJ144" s="72">
        <f t="shared" si="776"/>
        <v>0</v>
      </c>
      <c r="BK144" s="72">
        <f t="shared" si="777"/>
        <v>0</v>
      </c>
      <c r="BL144" s="72">
        <f t="shared" si="778"/>
        <v>0</v>
      </c>
      <c r="BM144" s="72">
        <f t="shared" si="779"/>
        <v>0</v>
      </c>
      <c r="BN144" s="72">
        <f t="shared" si="780"/>
        <v>0</v>
      </c>
      <c r="BO144" s="72">
        <f t="shared" si="781"/>
        <v>0</v>
      </c>
      <c r="BP144" s="72">
        <f t="shared" si="782"/>
        <v>0</v>
      </c>
      <c r="BQ144" s="72">
        <f t="shared" si="783"/>
        <v>0</v>
      </c>
      <c r="BR144" s="72">
        <f t="shared" si="784"/>
        <v>0</v>
      </c>
      <c r="BS144" s="72">
        <f t="shared" si="785"/>
        <v>0</v>
      </c>
      <c r="BT144" s="72">
        <f t="shared" si="786"/>
        <v>0</v>
      </c>
      <c r="BU144" s="72">
        <f t="shared" si="787"/>
        <v>0</v>
      </c>
      <c r="BW144">
        <f t="shared" si="788"/>
        <v>0</v>
      </c>
      <c r="BX144">
        <f t="shared" si="789"/>
        <v>0</v>
      </c>
      <c r="BY144">
        <f t="shared" si="790"/>
        <v>0</v>
      </c>
      <c r="BZ144">
        <f t="shared" si="791"/>
        <v>0</v>
      </c>
      <c r="CA144">
        <f t="shared" si="792"/>
        <v>0</v>
      </c>
      <c r="CB144">
        <f t="shared" si="793"/>
        <v>0</v>
      </c>
      <c r="CD144">
        <f t="shared" si="794"/>
        <v>0</v>
      </c>
      <c r="CE144">
        <f t="shared" si="795"/>
        <v>0</v>
      </c>
      <c r="CF144">
        <f t="shared" si="796"/>
        <v>0</v>
      </c>
      <c r="CG144">
        <f t="shared" si="797"/>
        <v>0</v>
      </c>
      <c r="CH144">
        <f t="shared" si="798"/>
        <v>0</v>
      </c>
      <c r="CI144">
        <f t="shared" si="799"/>
        <v>0</v>
      </c>
      <c r="CK144">
        <f t="shared" si="800"/>
        <v>0</v>
      </c>
      <c r="CL144">
        <f t="shared" si="801"/>
        <v>0</v>
      </c>
      <c r="CM144">
        <f t="shared" si="802"/>
        <v>0</v>
      </c>
      <c r="CN144">
        <f t="shared" si="803"/>
        <v>0</v>
      </c>
      <c r="CO144">
        <f t="shared" si="804"/>
        <v>0</v>
      </c>
      <c r="CP144">
        <f t="shared" si="805"/>
        <v>0</v>
      </c>
      <c r="CR144">
        <f t="shared" si="806"/>
        <v>0</v>
      </c>
      <c r="CS144">
        <f t="shared" si="807"/>
        <v>0</v>
      </c>
      <c r="CT144">
        <f t="shared" si="808"/>
        <v>0</v>
      </c>
      <c r="CU144">
        <f t="shared" si="809"/>
        <v>0</v>
      </c>
      <c r="CV144">
        <f t="shared" si="810"/>
        <v>0</v>
      </c>
      <c r="CW144">
        <f t="shared" si="811"/>
        <v>0</v>
      </c>
      <c r="CY144">
        <f t="shared" si="812"/>
        <v>0</v>
      </c>
      <c r="CZ144">
        <f t="shared" si="813"/>
        <v>0</v>
      </c>
      <c r="DA144">
        <f t="shared" si="814"/>
        <v>0</v>
      </c>
      <c r="DB144">
        <f t="shared" si="815"/>
        <v>0</v>
      </c>
      <c r="DC144">
        <f t="shared" si="816"/>
        <v>0</v>
      </c>
      <c r="DD144">
        <f t="shared" si="817"/>
        <v>0</v>
      </c>
      <c r="DF144" s="79">
        <f t="shared" si="818"/>
        <v>0</v>
      </c>
      <c r="DG144" s="79">
        <f t="shared" si="819"/>
        <v>0</v>
      </c>
      <c r="DH144">
        <f t="shared" si="820"/>
        <v>0</v>
      </c>
      <c r="DI144">
        <f t="shared" si="821"/>
        <v>1</v>
      </c>
      <c r="DK144" s="79">
        <f t="shared" si="822"/>
        <v>0</v>
      </c>
      <c r="DL144" s="79">
        <f t="shared" si="823"/>
        <v>0</v>
      </c>
      <c r="DM144">
        <f t="shared" si="824"/>
        <v>1</v>
      </c>
      <c r="DN144">
        <f t="shared" si="825"/>
        <v>0</v>
      </c>
      <c r="DP144" s="79">
        <f t="shared" si="826"/>
        <v>0</v>
      </c>
      <c r="DQ144" s="79">
        <f t="shared" si="827"/>
        <v>0</v>
      </c>
      <c r="DR144">
        <f t="shared" si="828"/>
        <v>0</v>
      </c>
      <c r="DS144">
        <f t="shared" si="829"/>
        <v>1</v>
      </c>
      <c r="DU144" s="79">
        <f t="shared" si="830"/>
        <v>0</v>
      </c>
      <c r="DV144" s="79">
        <f t="shared" si="831"/>
        <v>0</v>
      </c>
      <c r="DW144">
        <f t="shared" si="832"/>
        <v>0</v>
      </c>
      <c r="DX144">
        <f t="shared" si="833"/>
        <v>1</v>
      </c>
      <c r="DZ144" s="79">
        <f t="shared" si="834"/>
        <v>0</v>
      </c>
      <c r="EA144" s="79">
        <f t="shared" si="835"/>
        <v>0</v>
      </c>
      <c r="EB144">
        <f t="shared" si="836"/>
        <v>0</v>
      </c>
      <c r="EC144">
        <f t="shared" si="837"/>
        <v>1</v>
      </c>
    </row>
    <row r="145" spans="1:133">
      <c r="A145" s="164"/>
      <c r="B145" s="164"/>
      <c r="C145" s="164"/>
      <c r="D145" s="164"/>
      <c r="E145" s="164"/>
      <c r="F145" s="163"/>
      <c r="G145" s="164"/>
      <c r="H145" s="164"/>
      <c r="I145" s="164"/>
      <c r="J145" s="164"/>
      <c r="AH145" s="72">
        <f t="shared" si="748"/>
        <v>0</v>
      </c>
      <c r="AI145" s="72">
        <f t="shared" si="749"/>
        <v>0</v>
      </c>
      <c r="AJ145" s="72">
        <f t="shared" si="750"/>
        <v>0</v>
      </c>
      <c r="AK145" s="72">
        <f t="shared" si="751"/>
        <v>0</v>
      </c>
      <c r="AL145" s="72">
        <f t="shared" si="752"/>
        <v>0</v>
      </c>
      <c r="AM145" s="72">
        <f t="shared" si="753"/>
        <v>0</v>
      </c>
      <c r="AN145" s="72">
        <f t="shared" si="754"/>
        <v>0</v>
      </c>
      <c r="AO145" s="72">
        <f t="shared" si="755"/>
        <v>0</v>
      </c>
      <c r="AP145" s="72">
        <f t="shared" si="756"/>
        <v>0</v>
      </c>
      <c r="AQ145" s="72">
        <f t="shared" si="757"/>
        <v>0</v>
      </c>
      <c r="AR145" s="72">
        <f t="shared" si="758"/>
        <v>0</v>
      </c>
      <c r="AS145" s="72">
        <f t="shared" si="759"/>
        <v>0</v>
      </c>
      <c r="AT145" s="72">
        <f t="shared" si="760"/>
        <v>0</v>
      </c>
      <c r="AU145" s="72">
        <f t="shared" si="761"/>
        <v>0</v>
      </c>
      <c r="AV145" s="72">
        <f t="shared" si="762"/>
        <v>0</v>
      </c>
      <c r="AW145" s="72">
        <f t="shared" si="763"/>
        <v>0</v>
      </c>
      <c r="AX145" s="72">
        <f t="shared" si="764"/>
        <v>0</v>
      </c>
      <c r="AY145" s="72">
        <f t="shared" si="765"/>
        <v>0</v>
      </c>
      <c r="AZ145" s="72">
        <f t="shared" si="766"/>
        <v>0</v>
      </c>
      <c r="BA145" s="72">
        <f t="shared" si="767"/>
        <v>0</v>
      </c>
      <c r="BB145" s="72">
        <f t="shared" si="768"/>
        <v>0</v>
      </c>
      <c r="BC145" s="72">
        <f t="shared" si="769"/>
        <v>0</v>
      </c>
      <c r="BD145" s="72">
        <f t="shared" si="770"/>
        <v>0</v>
      </c>
      <c r="BE145" s="72">
        <f t="shared" si="771"/>
        <v>0</v>
      </c>
      <c r="BF145" s="72">
        <f t="shared" si="772"/>
        <v>0</v>
      </c>
      <c r="BG145" s="72">
        <f t="shared" si="773"/>
        <v>0</v>
      </c>
      <c r="BH145" s="72">
        <f t="shared" si="774"/>
        <v>0</v>
      </c>
      <c r="BI145" s="72">
        <f t="shared" si="775"/>
        <v>0</v>
      </c>
      <c r="BJ145" s="72">
        <f t="shared" si="776"/>
        <v>0</v>
      </c>
      <c r="BK145" s="72">
        <f t="shared" si="777"/>
        <v>0</v>
      </c>
      <c r="BL145" s="72">
        <f t="shared" si="778"/>
        <v>0</v>
      </c>
      <c r="BM145" s="72">
        <f t="shared" si="779"/>
        <v>0</v>
      </c>
      <c r="BN145" s="72">
        <f t="shared" si="780"/>
        <v>0</v>
      </c>
      <c r="BO145" s="72">
        <f t="shared" si="781"/>
        <v>0</v>
      </c>
      <c r="BP145" s="72">
        <f t="shared" si="782"/>
        <v>0</v>
      </c>
      <c r="BQ145" s="72">
        <f t="shared" si="783"/>
        <v>0</v>
      </c>
      <c r="BR145" s="72">
        <f t="shared" si="784"/>
        <v>0</v>
      </c>
      <c r="BS145" s="72">
        <f t="shared" si="785"/>
        <v>0</v>
      </c>
      <c r="BT145" s="72">
        <f t="shared" si="786"/>
        <v>0</v>
      </c>
      <c r="BU145" s="72">
        <f t="shared" si="787"/>
        <v>0</v>
      </c>
      <c r="BW145">
        <f t="shared" si="788"/>
        <v>0</v>
      </c>
      <c r="BX145">
        <f t="shared" si="789"/>
        <v>0</v>
      </c>
      <c r="BY145">
        <f t="shared" si="790"/>
        <v>0</v>
      </c>
      <c r="BZ145">
        <f t="shared" si="791"/>
        <v>0</v>
      </c>
      <c r="CA145">
        <f t="shared" si="792"/>
        <v>0</v>
      </c>
      <c r="CB145">
        <f t="shared" si="793"/>
        <v>0</v>
      </c>
      <c r="CD145">
        <f t="shared" si="794"/>
        <v>0</v>
      </c>
      <c r="CE145">
        <f t="shared" si="795"/>
        <v>0</v>
      </c>
      <c r="CF145">
        <f t="shared" si="796"/>
        <v>0</v>
      </c>
      <c r="CG145">
        <f t="shared" si="797"/>
        <v>0</v>
      </c>
      <c r="CH145">
        <f t="shared" si="798"/>
        <v>0</v>
      </c>
      <c r="CI145">
        <f t="shared" si="799"/>
        <v>0</v>
      </c>
      <c r="CK145">
        <f t="shared" si="800"/>
        <v>0</v>
      </c>
      <c r="CL145">
        <f t="shared" si="801"/>
        <v>0</v>
      </c>
      <c r="CM145">
        <f t="shared" si="802"/>
        <v>0</v>
      </c>
      <c r="CN145">
        <f t="shared" si="803"/>
        <v>0</v>
      </c>
      <c r="CO145">
        <f t="shared" si="804"/>
        <v>0</v>
      </c>
      <c r="CP145">
        <f t="shared" si="805"/>
        <v>0</v>
      </c>
      <c r="CR145">
        <f t="shared" si="806"/>
        <v>0</v>
      </c>
      <c r="CS145">
        <f t="shared" si="807"/>
        <v>0</v>
      </c>
      <c r="CT145">
        <f t="shared" si="808"/>
        <v>0</v>
      </c>
      <c r="CU145">
        <f t="shared" si="809"/>
        <v>0</v>
      </c>
      <c r="CV145">
        <f t="shared" si="810"/>
        <v>0</v>
      </c>
      <c r="CW145">
        <f t="shared" si="811"/>
        <v>0</v>
      </c>
      <c r="CY145">
        <f t="shared" si="812"/>
        <v>0</v>
      </c>
      <c r="CZ145">
        <f t="shared" si="813"/>
        <v>0</v>
      </c>
      <c r="DA145">
        <f t="shared" si="814"/>
        <v>0</v>
      </c>
      <c r="DB145">
        <f t="shared" si="815"/>
        <v>0</v>
      </c>
      <c r="DC145">
        <f t="shared" si="816"/>
        <v>0</v>
      </c>
      <c r="DD145">
        <f t="shared" si="817"/>
        <v>0</v>
      </c>
      <c r="DF145" s="79">
        <f t="shared" si="818"/>
        <v>0</v>
      </c>
      <c r="DG145" s="79">
        <f t="shared" si="819"/>
        <v>0</v>
      </c>
      <c r="DH145">
        <f t="shared" si="820"/>
        <v>0</v>
      </c>
      <c r="DI145">
        <f t="shared" si="821"/>
        <v>1</v>
      </c>
      <c r="DK145" s="79">
        <f t="shared" si="822"/>
        <v>0</v>
      </c>
      <c r="DL145" s="79">
        <f t="shared" si="823"/>
        <v>0</v>
      </c>
      <c r="DM145">
        <f t="shared" si="824"/>
        <v>1</v>
      </c>
      <c r="DN145">
        <f t="shared" si="825"/>
        <v>0</v>
      </c>
      <c r="DP145" s="79">
        <f t="shared" si="826"/>
        <v>0</v>
      </c>
      <c r="DQ145" s="79">
        <f t="shared" si="827"/>
        <v>0</v>
      </c>
      <c r="DR145">
        <f t="shared" si="828"/>
        <v>0</v>
      </c>
      <c r="DS145">
        <f t="shared" si="829"/>
        <v>1</v>
      </c>
      <c r="DU145" s="79">
        <f t="shared" si="830"/>
        <v>0</v>
      </c>
      <c r="DV145" s="79">
        <f t="shared" si="831"/>
        <v>0</v>
      </c>
      <c r="DW145">
        <f t="shared" si="832"/>
        <v>0</v>
      </c>
      <c r="DX145">
        <f t="shared" si="833"/>
        <v>1</v>
      </c>
      <c r="DZ145" s="79">
        <f t="shared" si="834"/>
        <v>0</v>
      </c>
      <c r="EA145" s="79">
        <f t="shared" si="835"/>
        <v>0</v>
      </c>
      <c r="EB145">
        <f t="shared" si="836"/>
        <v>0</v>
      </c>
      <c r="EC145">
        <f t="shared" si="837"/>
        <v>1</v>
      </c>
    </row>
    <row r="146" spans="1:133">
      <c r="A146" s="164"/>
      <c r="B146" s="164"/>
      <c r="C146" s="164"/>
      <c r="D146" s="164"/>
      <c r="E146" s="164"/>
      <c r="F146" s="163"/>
      <c r="G146" s="164"/>
      <c r="H146" s="164"/>
      <c r="I146" s="164"/>
      <c r="J146" s="164"/>
      <c r="AH146" s="72">
        <f t="shared" si="748"/>
        <v>0</v>
      </c>
      <c r="AI146" s="72">
        <f t="shared" si="749"/>
        <v>0</v>
      </c>
      <c r="AJ146" s="72">
        <f t="shared" si="750"/>
        <v>0</v>
      </c>
      <c r="AK146" s="72">
        <f t="shared" si="751"/>
        <v>0</v>
      </c>
      <c r="AL146" s="72">
        <f t="shared" si="752"/>
        <v>0</v>
      </c>
      <c r="AM146" s="72">
        <f t="shared" si="753"/>
        <v>0</v>
      </c>
      <c r="AN146" s="72">
        <f t="shared" si="754"/>
        <v>0</v>
      </c>
      <c r="AO146" s="72">
        <f t="shared" si="755"/>
        <v>0</v>
      </c>
      <c r="AP146" s="72">
        <f t="shared" si="756"/>
        <v>0</v>
      </c>
      <c r="AQ146" s="72">
        <f t="shared" si="757"/>
        <v>0</v>
      </c>
      <c r="AR146" s="72">
        <f t="shared" si="758"/>
        <v>0</v>
      </c>
      <c r="AS146" s="72">
        <f t="shared" si="759"/>
        <v>0</v>
      </c>
      <c r="AT146" s="72">
        <f t="shared" si="760"/>
        <v>0</v>
      </c>
      <c r="AU146" s="72">
        <f t="shared" si="761"/>
        <v>0</v>
      </c>
      <c r="AV146" s="72">
        <f t="shared" si="762"/>
        <v>0</v>
      </c>
      <c r="AW146" s="72">
        <f t="shared" si="763"/>
        <v>0</v>
      </c>
      <c r="AX146" s="72">
        <f t="shared" si="764"/>
        <v>0</v>
      </c>
      <c r="AY146" s="72">
        <f t="shared" si="765"/>
        <v>0</v>
      </c>
      <c r="AZ146" s="72">
        <f t="shared" si="766"/>
        <v>0</v>
      </c>
      <c r="BA146" s="72">
        <f t="shared" si="767"/>
        <v>0</v>
      </c>
      <c r="BB146" s="72">
        <f t="shared" si="768"/>
        <v>0</v>
      </c>
      <c r="BC146" s="72">
        <f t="shared" si="769"/>
        <v>0</v>
      </c>
      <c r="BD146" s="72">
        <f t="shared" si="770"/>
        <v>0</v>
      </c>
      <c r="BE146" s="72">
        <f t="shared" si="771"/>
        <v>0</v>
      </c>
      <c r="BF146" s="72">
        <f t="shared" si="772"/>
        <v>0</v>
      </c>
      <c r="BG146" s="72">
        <f t="shared" si="773"/>
        <v>0</v>
      </c>
      <c r="BH146" s="72">
        <f t="shared" si="774"/>
        <v>0</v>
      </c>
      <c r="BI146" s="72">
        <f t="shared" si="775"/>
        <v>0</v>
      </c>
      <c r="BJ146" s="72">
        <f t="shared" si="776"/>
        <v>0</v>
      </c>
      <c r="BK146" s="72">
        <f t="shared" si="777"/>
        <v>0</v>
      </c>
      <c r="BL146" s="72">
        <f t="shared" si="778"/>
        <v>0</v>
      </c>
      <c r="BM146" s="72">
        <f t="shared" si="779"/>
        <v>0</v>
      </c>
      <c r="BN146" s="72">
        <f t="shared" si="780"/>
        <v>0</v>
      </c>
      <c r="BO146" s="72">
        <f t="shared" si="781"/>
        <v>0</v>
      </c>
      <c r="BP146" s="72">
        <f t="shared" si="782"/>
        <v>0</v>
      </c>
      <c r="BQ146" s="72">
        <f t="shared" si="783"/>
        <v>0</v>
      </c>
      <c r="BR146" s="72">
        <f t="shared" si="784"/>
        <v>0</v>
      </c>
      <c r="BS146" s="72">
        <f t="shared" si="785"/>
        <v>0</v>
      </c>
      <c r="BT146" s="72">
        <f t="shared" si="786"/>
        <v>0</v>
      </c>
      <c r="BU146" s="72">
        <f t="shared" si="787"/>
        <v>0</v>
      </c>
      <c r="BW146">
        <f t="shared" si="788"/>
        <v>0</v>
      </c>
      <c r="BX146">
        <f t="shared" si="789"/>
        <v>0</v>
      </c>
      <c r="BY146">
        <f t="shared" si="790"/>
        <v>0</v>
      </c>
      <c r="BZ146">
        <f t="shared" si="791"/>
        <v>0</v>
      </c>
      <c r="CA146">
        <f t="shared" si="792"/>
        <v>0</v>
      </c>
      <c r="CB146">
        <f t="shared" si="793"/>
        <v>0</v>
      </c>
      <c r="CD146">
        <f t="shared" si="794"/>
        <v>0</v>
      </c>
      <c r="CE146">
        <f t="shared" si="795"/>
        <v>0</v>
      </c>
      <c r="CF146">
        <f t="shared" si="796"/>
        <v>0</v>
      </c>
      <c r="CG146">
        <f t="shared" si="797"/>
        <v>0</v>
      </c>
      <c r="CH146">
        <f t="shared" si="798"/>
        <v>0</v>
      </c>
      <c r="CI146">
        <f t="shared" si="799"/>
        <v>0</v>
      </c>
      <c r="CK146">
        <f t="shared" si="800"/>
        <v>0</v>
      </c>
      <c r="CL146">
        <f t="shared" si="801"/>
        <v>0</v>
      </c>
      <c r="CM146">
        <f t="shared" si="802"/>
        <v>0</v>
      </c>
      <c r="CN146">
        <f t="shared" si="803"/>
        <v>0</v>
      </c>
      <c r="CO146">
        <f t="shared" si="804"/>
        <v>0</v>
      </c>
      <c r="CP146">
        <f t="shared" si="805"/>
        <v>0</v>
      </c>
      <c r="CR146">
        <f t="shared" si="806"/>
        <v>0</v>
      </c>
      <c r="CS146">
        <f t="shared" si="807"/>
        <v>0</v>
      </c>
      <c r="CT146">
        <f t="shared" si="808"/>
        <v>0</v>
      </c>
      <c r="CU146">
        <f t="shared" si="809"/>
        <v>0</v>
      </c>
      <c r="CV146">
        <f t="shared" si="810"/>
        <v>0</v>
      </c>
      <c r="CW146">
        <f t="shared" si="811"/>
        <v>0</v>
      </c>
      <c r="CY146">
        <f t="shared" si="812"/>
        <v>0</v>
      </c>
      <c r="CZ146">
        <f t="shared" si="813"/>
        <v>0</v>
      </c>
      <c r="DA146">
        <f t="shared" si="814"/>
        <v>0</v>
      </c>
      <c r="DB146">
        <f t="shared" si="815"/>
        <v>0</v>
      </c>
      <c r="DC146">
        <f t="shared" si="816"/>
        <v>0</v>
      </c>
      <c r="DD146">
        <f t="shared" si="817"/>
        <v>0</v>
      </c>
      <c r="DF146" s="79">
        <f t="shared" si="818"/>
        <v>0</v>
      </c>
      <c r="DG146" s="79">
        <f t="shared" si="819"/>
        <v>0</v>
      </c>
      <c r="DH146">
        <f t="shared" si="820"/>
        <v>0</v>
      </c>
      <c r="DI146">
        <f t="shared" si="821"/>
        <v>1</v>
      </c>
      <c r="DK146" s="79">
        <f t="shared" si="822"/>
        <v>0</v>
      </c>
      <c r="DL146" s="79">
        <f t="shared" si="823"/>
        <v>0</v>
      </c>
      <c r="DM146">
        <f t="shared" si="824"/>
        <v>1</v>
      </c>
      <c r="DN146">
        <f t="shared" si="825"/>
        <v>0</v>
      </c>
      <c r="DP146" s="79">
        <f t="shared" si="826"/>
        <v>0</v>
      </c>
      <c r="DQ146" s="79">
        <f t="shared" si="827"/>
        <v>0</v>
      </c>
      <c r="DR146">
        <f t="shared" si="828"/>
        <v>0</v>
      </c>
      <c r="DS146">
        <f t="shared" si="829"/>
        <v>1</v>
      </c>
      <c r="DU146" s="79">
        <f t="shared" si="830"/>
        <v>0</v>
      </c>
      <c r="DV146" s="79">
        <f t="shared" si="831"/>
        <v>0</v>
      </c>
      <c r="DW146">
        <f t="shared" si="832"/>
        <v>0</v>
      </c>
      <c r="DX146">
        <f t="shared" si="833"/>
        <v>1</v>
      </c>
      <c r="DZ146" s="79">
        <f t="shared" si="834"/>
        <v>0</v>
      </c>
      <c r="EA146" s="79">
        <f t="shared" si="835"/>
        <v>0</v>
      </c>
      <c r="EB146">
        <f t="shared" si="836"/>
        <v>0</v>
      </c>
      <c r="EC146">
        <f t="shared" si="837"/>
        <v>1</v>
      </c>
    </row>
    <row r="147" spans="1:133">
      <c r="A147" s="164"/>
      <c r="B147" s="164"/>
      <c r="C147" s="164"/>
      <c r="D147" s="164"/>
      <c r="E147" s="164"/>
      <c r="F147" s="163"/>
      <c r="G147" s="164"/>
      <c r="H147" s="164"/>
      <c r="I147" s="164"/>
      <c r="J147" s="164"/>
      <c r="AH147" s="72">
        <f t="shared" si="748"/>
        <v>0</v>
      </c>
      <c r="AI147" s="72">
        <f t="shared" si="749"/>
        <v>0</v>
      </c>
      <c r="AJ147" s="72">
        <f t="shared" si="750"/>
        <v>0</v>
      </c>
      <c r="AK147" s="72">
        <f t="shared" si="751"/>
        <v>0</v>
      </c>
      <c r="AL147" s="72">
        <f t="shared" si="752"/>
        <v>0</v>
      </c>
      <c r="AM147" s="72">
        <f t="shared" si="753"/>
        <v>0</v>
      </c>
      <c r="AN147" s="72">
        <f t="shared" si="754"/>
        <v>0</v>
      </c>
      <c r="AO147" s="72">
        <f t="shared" si="755"/>
        <v>0</v>
      </c>
      <c r="AP147" s="72">
        <f t="shared" si="756"/>
        <v>0</v>
      </c>
      <c r="AQ147" s="72">
        <f t="shared" si="757"/>
        <v>0</v>
      </c>
      <c r="AR147" s="72">
        <f t="shared" si="758"/>
        <v>0</v>
      </c>
      <c r="AS147" s="72">
        <f t="shared" si="759"/>
        <v>0</v>
      </c>
      <c r="AT147" s="72">
        <f t="shared" si="760"/>
        <v>0</v>
      </c>
      <c r="AU147" s="72">
        <f t="shared" si="761"/>
        <v>0</v>
      </c>
      <c r="AV147" s="72">
        <f t="shared" si="762"/>
        <v>0</v>
      </c>
      <c r="AW147" s="72">
        <f t="shared" si="763"/>
        <v>0</v>
      </c>
      <c r="AX147" s="72">
        <f t="shared" si="764"/>
        <v>0</v>
      </c>
      <c r="AY147" s="72">
        <f t="shared" si="765"/>
        <v>0</v>
      </c>
      <c r="AZ147" s="72">
        <f t="shared" si="766"/>
        <v>0</v>
      </c>
      <c r="BA147" s="72">
        <f t="shared" si="767"/>
        <v>0</v>
      </c>
      <c r="BB147" s="72">
        <f t="shared" si="768"/>
        <v>0</v>
      </c>
      <c r="BC147" s="72">
        <f t="shared" si="769"/>
        <v>0</v>
      </c>
      <c r="BD147" s="72">
        <f t="shared" si="770"/>
        <v>0</v>
      </c>
      <c r="BE147" s="72">
        <f t="shared" si="771"/>
        <v>0</v>
      </c>
      <c r="BF147" s="72">
        <f t="shared" si="772"/>
        <v>0</v>
      </c>
      <c r="BG147" s="72">
        <f t="shared" si="773"/>
        <v>0</v>
      </c>
      <c r="BH147" s="72">
        <f t="shared" si="774"/>
        <v>0</v>
      </c>
      <c r="BI147" s="72">
        <f t="shared" si="775"/>
        <v>0</v>
      </c>
      <c r="BJ147" s="72">
        <f t="shared" si="776"/>
        <v>0</v>
      </c>
      <c r="BK147" s="72">
        <f t="shared" si="777"/>
        <v>0</v>
      </c>
      <c r="BL147" s="72">
        <f t="shared" si="778"/>
        <v>0</v>
      </c>
      <c r="BM147" s="72">
        <f t="shared" si="779"/>
        <v>0</v>
      </c>
      <c r="BN147" s="72">
        <f t="shared" si="780"/>
        <v>0</v>
      </c>
      <c r="BO147" s="72">
        <f t="shared" si="781"/>
        <v>0</v>
      </c>
      <c r="BP147" s="72">
        <f t="shared" si="782"/>
        <v>0</v>
      </c>
      <c r="BQ147" s="72">
        <f t="shared" si="783"/>
        <v>0</v>
      </c>
      <c r="BR147" s="72">
        <f t="shared" si="784"/>
        <v>0</v>
      </c>
      <c r="BS147" s="72">
        <f t="shared" si="785"/>
        <v>0</v>
      </c>
      <c r="BT147" s="72">
        <f t="shared" si="786"/>
        <v>0</v>
      </c>
      <c r="BU147" s="72">
        <f t="shared" si="787"/>
        <v>0</v>
      </c>
      <c r="BW147">
        <f t="shared" si="788"/>
        <v>0</v>
      </c>
      <c r="BX147">
        <f t="shared" si="789"/>
        <v>0</v>
      </c>
      <c r="BY147">
        <f t="shared" si="790"/>
        <v>0</v>
      </c>
      <c r="BZ147">
        <f t="shared" si="791"/>
        <v>0</v>
      </c>
      <c r="CA147">
        <f t="shared" si="792"/>
        <v>0</v>
      </c>
      <c r="CB147">
        <f t="shared" si="793"/>
        <v>0</v>
      </c>
      <c r="CD147">
        <f t="shared" si="794"/>
        <v>0</v>
      </c>
      <c r="CE147">
        <f t="shared" si="795"/>
        <v>0</v>
      </c>
      <c r="CF147">
        <f t="shared" si="796"/>
        <v>0</v>
      </c>
      <c r="CG147">
        <f t="shared" si="797"/>
        <v>0</v>
      </c>
      <c r="CH147">
        <f t="shared" si="798"/>
        <v>0</v>
      </c>
      <c r="CI147">
        <f t="shared" si="799"/>
        <v>0</v>
      </c>
      <c r="CK147">
        <f t="shared" si="800"/>
        <v>0</v>
      </c>
      <c r="CL147">
        <f t="shared" si="801"/>
        <v>0</v>
      </c>
      <c r="CM147">
        <f t="shared" si="802"/>
        <v>0</v>
      </c>
      <c r="CN147">
        <f t="shared" si="803"/>
        <v>0</v>
      </c>
      <c r="CO147">
        <f t="shared" si="804"/>
        <v>0</v>
      </c>
      <c r="CP147">
        <f t="shared" si="805"/>
        <v>0</v>
      </c>
      <c r="CR147">
        <f t="shared" si="806"/>
        <v>0</v>
      </c>
      <c r="CS147">
        <f t="shared" si="807"/>
        <v>0</v>
      </c>
      <c r="CT147">
        <f t="shared" si="808"/>
        <v>0</v>
      </c>
      <c r="CU147">
        <f t="shared" si="809"/>
        <v>0</v>
      </c>
      <c r="CV147">
        <f t="shared" si="810"/>
        <v>0</v>
      </c>
      <c r="CW147">
        <f t="shared" si="811"/>
        <v>0</v>
      </c>
      <c r="CY147">
        <f t="shared" si="812"/>
        <v>0</v>
      </c>
      <c r="CZ147">
        <f t="shared" si="813"/>
        <v>0</v>
      </c>
      <c r="DA147">
        <f t="shared" si="814"/>
        <v>0</v>
      </c>
      <c r="DB147">
        <f t="shared" si="815"/>
        <v>0</v>
      </c>
      <c r="DC147">
        <f t="shared" si="816"/>
        <v>0</v>
      </c>
      <c r="DD147">
        <f t="shared" si="817"/>
        <v>0</v>
      </c>
      <c r="DF147" s="79">
        <f t="shared" si="818"/>
        <v>0</v>
      </c>
      <c r="DG147" s="79">
        <f t="shared" si="819"/>
        <v>0</v>
      </c>
      <c r="DH147">
        <f t="shared" si="820"/>
        <v>0</v>
      </c>
      <c r="DI147">
        <f t="shared" si="821"/>
        <v>1</v>
      </c>
      <c r="DK147" s="79">
        <f t="shared" si="822"/>
        <v>0</v>
      </c>
      <c r="DL147" s="79">
        <f t="shared" si="823"/>
        <v>0</v>
      </c>
      <c r="DM147">
        <f t="shared" si="824"/>
        <v>1</v>
      </c>
      <c r="DN147">
        <f t="shared" si="825"/>
        <v>0</v>
      </c>
      <c r="DP147" s="79">
        <f t="shared" si="826"/>
        <v>0</v>
      </c>
      <c r="DQ147" s="79">
        <f t="shared" si="827"/>
        <v>0</v>
      </c>
      <c r="DR147">
        <f t="shared" si="828"/>
        <v>0</v>
      </c>
      <c r="DS147">
        <f t="shared" si="829"/>
        <v>1</v>
      </c>
      <c r="DU147" s="79">
        <f t="shared" si="830"/>
        <v>0</v>
      </c>
      <c r="DV147" s="79">
        <f t="shared" si="831"/>
        <v>0</v>
      </c>
      <c r="DW147">
        <f t="shared" si="832"/>
        <v>0</v>
      </c>
      <c r="DX147">
        <f t="shared" si="833"/>
        <v>1</v>
      </c>
      <c r="DZ147" s="79">
        <f t="shared" si="834"/>
        <v>0</v>
      </c>
      <c r="EA147" s="79">
        <f t="shared" si="835"/>
        <v>0</v>
      </c>
      <c r="EB147">
        <f t="shared" si="836"/>
        <v>0</v>
      </c>
      <c r="EC147">
        <f t="shared" si="837"/>
        <v>1</v>
      </c>
    </row>
    <row r="148" spans="1:133">
      <c r="A148" s="164"/>
      <c r="B148" s="164"/>
      <c r="C148" s="164"/>
      <c r="D148" s="164"/>
      <c r="E148" s="164"/>
      <c r="F148" s="163"/>
      <c r="G148" s="164"/>
      <c r="H148" s="164"/>
      <c r="I148" s="164"/>
      <c r="J148" s="164"/>
      <c r="AH148" s="72">
        <f t="shared" si="748"/>
        <v>0</v>
      </c>
      <c r="AI148" s="72">
        <f t="shared" si="749"/>
        <v>0</v>
      </c>
      <c r="AJ148" s="72">
        <f t="shared" si="750"/>
        <v>0</v>
      </c>
      <c r="AK148" s="72">
        <f t="shared" si="751"/>
        <v>0</v>
      </c>
      <c r="AL148" s="72">
        <f t="shared" si="752"/>
        <v>0</v>
      </c>
      <c r="AM148" s="72">
        <f t="shared" si="753"/>
        <v>0</v>
      </c>
      <c r="AN148" s="72">
        <f t="shared" si="754"/>
        <v>0</v>
      </c>
      <c r="AO148" s="72">
        <f t="shared" si="755"/>
        <v>0</v>
      </c>
      <c r="AP148" s="72">
        <f t="shared" si="756"/>
        <v>0</v>
      </c>
      <c r="AQ148" s="72">
        <f t="shared" si="757"/>
        <v>0</v>
      </c>
      <c r="AR148" s="72">
        <f t="shared" si="758"/>
        <v>0</v>
      </c>
      <c r="AS148" s="72">
        <f t="shared" si="759"/>
        <v>0</v>
      </c>
      <c r="AT148" s="72">
        <f t="shared" si="760"/>
        <v>0</v>
      </c>
      <c r="AU148" s="72">
        <f t="shared" si="761"/>
        <v>0</v>
      </c>
      <c r="AV148" s="72">
        <f t="shared" si="762"/>
        <v>0</v>
      </c>
      <c r="AW148" s="72">
        <f t="shared" si="763"/>
        <v>0</v>
      </c>
      <c r="AX148" s="72">
        <f t="shared" si="764"/>
        <v>0</v>
      </c>
      <c r="AY148" s="72">
        <f t="shared" si="765"/>
        <v>0</v>
      </c>
      <c r="AZ148" s="72">
        <f t="shared" si="766"/>
        <v>0</v>
      </c>
      <c r="BA148" s="72">
        <f t="shared" si="767"/>
        <v>0</v>
      </c>
      <c r="BB148" s="72">
        <f t="shared" si="768"/>
        <v>0</v>
      </c>
      <c r="BC148" s="72">
        <f t="shared" si="769"/>
        <v>0</v>
      </c>
      <c r="BD148" s="72">
        <f t="shared" si="770"/>
        <v>0</v>
      </c>
      <c r="BE148" s="72">
        <f t="shared" si="771"/>
        <v>0</v>
      </c>
      <c r="BF148" s="72">
        <f t="shared" si="772"/>
        <v>0</v>
      </c>
      <c r="BG148" s="72">
        <f t="shared" si="773"/>
        <v>0</v>
      </c>
      <c r="BH148" s="72">
        <f t="shared" si="774"/>
        <v>0</v>
      </c>
      <c r="BI148" s="72">
        <f t="shared" si="775"/>
        <v>0</v>
      </c>
      <c r="BJ148" s="72">
        <f t="shared" si="776"/>
        <v>0</v>
      </c>
      <c r="BK148" s="72">
        <f t="shared" si="777"/>
        <v>0</v>
      </c>
      <c r="BL148" s="72">
        <f t="shared" si="778"/>
        <v>0</v>
      </c>
      <c r="BM148" s="72">
        <f t="shared" si="779"/>
        <v>0</v>
      </c>
      <c r="BN148" s="72">
        <f t="shared" si="780"/>
        <v>0</v>
      </c>
      <c r="BO148" s="72">
        <f t="shared" si="781"/>
        <v>0</v>
      </c>
      <c r="BP148" s="72">
        <f t="shared" si="782"/>
        <v>0</v>
      </c>
      <c r="BQ148" s="72">
        <f t="shared" si="783"/>
        <v>0</v>
      </c>
      <c r="BR148" s="72">
        <f t="shared" si="784"/>
        <v>0</v>
      </c>
      <c r="BS148" s="72">
        <f t="shared" si="785"/>
        <v>0</v>
      </c>
      <c r="BT148" s="72">
        <f t="shared" si="786"/>
        <v>0</v>
      </c>
      <c r="BU148" s="72">
        <f t="shared" si="787"/>
        <v>0</v>
      </c>
      <c r="BW148">
        <f t="shared" si="788"/>
        <v>0</v>
      </c>
      <c r="BX148">
        <f t="shared" si="789"/>
        <v>0</v>
      </c>
      <c r="BY148">
        <f t="shared" si="790"/>
        <v>0</v>
      </c>
      <c r="BZ148">
        <f t="shared" si="791"/>
        <v>0</v>
      </c>
      <c r="CA148">
        <f t="shared" si="792"/>
        <v>0</v>
      </c>
      <c r="CB148">
        <f t="shared" si="793"/>
        <v>0</v>
      </c>
      <c r="CD148">
        <f t="shared" si="794"/>
        <v>0</v>
      </c>
      <c r="CE148">
        <f t="shared" si="795"/>
        <v>0</v>
      </c>
      <c r="CF148">
        <f t="shared" si="796"/>
        <v>0</v>
      </c>
      <c r="CG148">
        <f t="shared" si="797"/>
        <v>0</v>
      </c>
      <c r="CH148">
        <f t="shared" si="798"/>
        <v>0</v>
      </c>
      <c r="CI148">
        <f t="shared" si="799"/>
        <v>0</v>
      </c>
      <c r="CK148">
        <f t="shared" si="800"/>
        <v>0</v>
      </c>
      <c r="CL148">
        <f t="shared" si="801"/>
        <v>0</v>
      </c>
      <c r="CM148">
        <f t="shared" si="802"/>
        <v>0</v>
      </c>
      <c r="CN148">
        <f t="shared" si="803"/>
        <v>0</v>
      </c>
      <c r="CO148">
        <f t="shared" si="804"/>
        <v>0</v>
      </c>
      <c r="CP148">
        <f t="shared" si="805"/>
        <v>0</v>
      </c>
      <c r="CR148">
        <f t="shared" si="806"/>
        <v>0</v>
      </c>
      <c r="CS148">
        <f t="shared" si="807"/>
        <v>0</v>
      </c>
      <c r="CT148">
        <f t="shared" si="808"/>
        <v>0</v>
      </c>
      <c r="CU148">
        <f t="shared" si="809"/>
        <v>0</v>
      </c>
      <c r="CV148">
        <f t="shared" si="810"/>
        <v>0</v>
      </c>
      <c r="CW148">
        <f t="shared" si="811"/>
        <v>0</v>
      </c>
      <c r="CY148">
        <f t="shared" si="812"/>
        <v>0</v>
      </c>
      <c r="CZ148">
        <f t="shared" si="813"/>
        <v>0</v>
      </c>
      <c r="DA148">
        <f t="shared" si="814"/>
        <v>0</v>
      </c>
      <c r="DB148">
        <f t="shared" si="815"/>
        <v>0</v>
      </c>
      <c r="DC148">
        <f t="shared" si="816"/>
        <v>0</v>
      </c>
      <c r="DD148">
        <f t="shared" si="817"/>
        <v>0</v>
      </c>
      <c r="DF148" s="79">
        <f t="shared" si="818"/>
        <v>0</v>
      </c>
      <c r="DG148" s="79">
        <f t="shared" si="819"/>
        <v>0</v>
      </c>
      <c r="DH148">
        <f t="shared" si="820"/>
        <v>0</v>
      </c>
      <c r="DI148">
        <f t="shared" si="821"/>
        <v>1</v>
      </c>
      <c r="DK148" s="79">
        <f t="shared" si="822"/>
        <v>0</v>
      </c>
      <c r="DL148" s="79">
        <f t="shared" si="823"/>
        <v>0</v>
      </c>
      <c r="DM148">
        <f t="shared" si="824"/>
        <v>1</v>
      </c>
      <c r="DN148">
        <f t="shared" si="825"/>
        <v>0</v>
      </c>
      <c r="DP148" s="79">
        <f t="shared" si="826"/>
        <v>0</v>
      </c>
      <c r="DQ148" s="79">
        <f t="shared" si="827"/>
        <v>0</v>
      </c>
      <c r="DR148">
        <f t="shared" si="828"/>
        <v>0</v>
      </c>
      <c r="DS148">
        <f t="shared" si="829"/>
        <v>1</v>
      </c>
      <c r="DU148" s="79">
        <f t="shared" si="830"/>
        <v>0</v>
      </c>
      <c r="DV148" s="79">
        <f t="shared" si="831"/>
        <v>0</v>
      </c>
      <c r="DW148">
        <f t="shared" si="832"/>
        <v>0</v>
      </c>
      <c r="DX148">
        <f t="shared" si="833"/>
        <v>1</v>
      </c>
      <c r="DZ148" s="79">
        <f t="shared" si="834"/>
        <v>0</v>
      </c>
      <c r="EA148" s="79">
        <f t="shared" si="835"/>
        <v>0</v>
      </c>
      <c r="EB148">
        <f t="shared" si="836"/>
        <v>0</v>
      </c>
      <c r="EC148">
        <f t="shared" si="837"/>
        <v>1</v>
      </c>
    </row>
    <row r="149" spans="1:133">
      <c r="A149" s="164"/>
      <c r="B149" s="164"/>
      <c r="C149" s="164"/>
      <c r="D149" s="164"/>
      <c r="E149" s="164"/>
      <c r="F149" s="163"/>
      <c r="G149" s="164"/>
      <c r="H149" s="164"/>
      <c r="I149" s="164"/>
      <c r="J149" s="164"/>
      <c r="AH149" s="72">
        <f t="shared" si="748"/>
        <v>0</v>
      </c>
      <c r="AI149" s="72">
        <f t="shared" si="749"/>
        <v>0</v>
      </c>
      <c r="AJ149" s="72">
        <f t="shared" si="750"/>
        <v>0</v>
      </c>
      <c r="AK149" s="72">
        <f t="shared" si="751"/>
        <v>0</v>
      </c>
      <c r="AL149" s="72">
        <f t="shared" si="752"/>
        <v>0</v>
      </c>
      <c r="AM149" s="72">
        <f t="shared" si="753"/>
        <v>0</v>
      </c>
      <c r="AN149" s="72">
        <f t="shared" si="754"/>
        <v>0</v>
      </c>
      <c r="AO149" s="72">
        <f t="shared" si="755"/>
        <v>0</v>
      </c>
      <c r="AP149" s="72">
        <f t="shared" si="756"/>
        <v>0</v>
      </c>
      <c r="AQ149" s="72">
        <f t="shared" si="757"/>
        <v>0</v>
      </c>
      <c r="AR149" s="72">
        <f t="shared" si="758"/>
        <v>0</v>
      </c>
      <c r="AS149" s="72">
        <f t="shared" si="759"/>
        <v>0</v>
      </c>
      <c r="AT149" s="72">
        <f t="shared" si="760"/>
        <v>0</v>
      </c>
      <c r="AU149" s="72">
        <f t="shared" si="761"/>
        <v>0</v>
      </c>
      <c r="AV149" s="72">
        <f t="shared" si="762"/>
        <v>0</v>
      </c>
      <c r="AW149" s="72">
        <f t="shared" si="763"/>
        <v>0</v>
      </c>
      <c r="AX149" s="72">
        <f t="shared" si="764"/>
        <v>0</v>
      </c>
      <c r="AY149" s="72">
        <f t="shared" si="765"/>
        <v>0</v>
      </c>
      <c r="AZ149" s="72">
        <f t="shared" si="766"/>
        <v>0</v>
      </c>
      <c r="BA149" s="72">
        <f t="shared" si="767"/>
        <v>0</v>
      </c>
      <c r="BB149" s="72">
        <f t="shared" si="768"/>
        <v>0</v>
      </c>
      <c r="BC149" s="72">
        <f t="shared" si="769"/>
        <v>0</v>
      </c>
      <c r="BD149" s="72">
        <f t="shared" si="770"/>
        <v>0</v>
      </c>
      <c r="BE149" s="72">
        <f t="shared" si="771"/>
        <v>0</v>
      </c>
      <c r="BF149" s="72">
        <f t="shared" si="772"/>
        <v>0</v>
      </c>
      <c r="BG149" s="72">
        <f t="shared" si="773"/>
        <v>0</v>
      </c>
      <c r="BH149" s="72">
        <f t="shared" si="774"/>
        <v>0</v>
      </c>
      <c r="BI149" s="72">
        <f t="shared" si="775"/>
        <v>0</v>
      </c>
      <c r="BJ149" s="72">
        <f t="shared" si="776"/>
        <v>0</v>
      </c>
      <c r="BK149" s="72">
        <f t="shared" si="777"/>
        <v>0</v>
      </c>
      <c r="BL149" s="72">
        <f t="shared" si="778"/>
        <v>0</v>
      </c>
      <c r="BM149" s="72">
        <f t="shared" si="779"/>
        <v>0</v>
      </c>
      <c r="BN149" s="72">
        <f t="shared" si="780"/>
        <v>0</v>
      </c>
      <c r="BO149" s="72">
        <f t="shared" si="781"/>
        <v>0</v>
      </c>
      <c r="BP149" s="72">
        <f t="shared" si="782"/>
        <v>0</v>
      </c>
      <c r="BQ149" s="72">
        <f t="shared" si="783"/>
        <v>0</v>
      </c>
      <c r="BR149" s="72">
        <f t="shared" si="784"/>
        <v>0</v>
      </c>
      <c r="BS149" s="72">
        <f t="shared" si="785"/>
        <v>0</v>
      </c>
      <c r="BT149" s="72">
        <f t="shared" si="786"/>
        <v>0</v>
      </c>
      <c r="BU149" s="72">
        <f t="shared" si="787"/>
        <v>0</v>
      </c>
      <c r="BW149">
        <f t="shared" si="788"/>
        <v>0</v>
      </c>
      <c r="BX149">
        <f t="shared" si="789"/>
        <v>0</v>
      </c>
      <c r="BY149">
        <f t="shared" si="790"/>
        <v>0</v>
      </c>
      <c r="BZ149">
        <f t="shared" si="791"/>
        <v>0</v>
      </c>
      <c r="CA149">
        <f t="shared" si="792"/>
        <v>0</v>
      </c>
      <c r="CB149">
        <f t="shared" si="793"/>
        <v>0</v>
      </c>
      <c r="CD149">
        <f t="shared" si="794"/>
        <v>0</v>
      </c>
      <c r="CE149">
        <f t="shared" si="795"/>
        <v>0</v>
      </c>
      <c r="CF149">
        <f t="shared" si="796"/>
        <v>0</v>
      </c>
      <c r="CG149">
        <f t="shared" si="797"/>
        <v>0</v>
      </c>
      <c r="CH149">
        <f t="shared" si="798"/>
        <v>0</v>
      </c>
      <c r="CI149">
        <f t="shared" si="799"/>
        <v>0</v>
      </c>
      <c r="CK149">
        <f t="shared" si="800"/>
        <v>0</v>
      </c>
      <c r="CL149">
        <f t="shared" si="801"/>
        <v>0</v>
      </c>
      <c r="CM149">
        <f t="shared" si="802"/>
        <v>0</v>
      </c>
      <c r="CN149">
        <f t="shared" si="803"/>
        <v>0</v>
      </c>
      <c r="CO149">
        <f t="shared" si="804"/>
        <v>0</v>
      </c>
      <c r="CP149">
        <f t="shared" si="805"/>
        <v>0</v>
      </c>
      <c r="CR149">
        <f t="shared" si="806"/>
        <v>0</v>
      </c>
      <c r="CS149">
        <f t="shared" si="807"/>
        <v>0</v>
      </c>
      <c r="CT149">
        <f t="shared" si="808"/>
        <v>0</v>
      </c>
      <c r="CU149">
        <f t="shared" si="809"/>
        <v>0</v>
      </c>
      <c r="CV149">
        <f t="shared" si="810"/>
        <v>0</v>
      </c>
      <c r="CW149">
        <f t="shared" si="811"/>
        <v>0</v>
      </c>
      <c r="CY149">
        <f t="shared" si="812"/>
        <v>0</v>
      </c>
      <c r="CZ149">
        <f t="shared" si="813"/>
        <v>0</v>
      </c>
      <c r="DA149">
        <f t="shared" si="814"/>
        <v>0</v>
      </c>
      <c r="DB149">
        <f t="shared" si="815"/>
        <v>0</v>
      </c>
      <c r="DC149">
        <f t="shared" si="816"/>
        <v>0</v>
      </c>
      <c r="DD149">
        <f t="shared" si="817"/>
        <v>0</v>
      </c>
      <c r="DF149" s="79">
        <f t="shared" si="818"/>
        <v>0</v>
      </c>
      <c r="DG149" s="79">
        <f t="shared" si="819"/>
        <v>0</v>
      </c>
      <c r="DH149">
        <f t="shared" si="820"/>
        <v>0</v>
      </c>
      <c r="DI149">
        <f t="shared" si="821"/>
        <v>1</v>
      </c>
      <c r="DK149" s="79">
        <f t="shared" si="822"/>
        <v>0</v>
      </c>
      <c r="DL149" s="79">
        <f t="shared" si="823"/>
        <v>0</v>
      </c>
      <c r="DM149">
        <f t="shared" si="824"/>
        <v>1</v>
      </c>
      <c r="DN149">
        <f t="shared" si="825"/>
        <v>0</v>
      </c>
      <c r="DP149" s="79">
        <f t="shared" si="826"/>
        <v>0</v>
      </c>
      <c r="DQ149" s="79">
        <f t="shared" si="827"/>
        <v>0</v>
      </c>
      <c r="DR149">
        <f t="shared" si="828"/>
        <v>0</v>
      </c>
      <c r="DS149">
        <f t="shared" si="829"/>
        <v>1</v>
      </c>
      <c r="DU149" s="79">
        <f t="shared" si="830"/>
        <v>0</v>
      </c>
      <c r="DV149" s="79">
        <f t="shared" si="831"/>
        <v>0</v>
      </c>
      <c r="DW149">
        <f t="shared" si="832"/>
        <v>0</v>
      </c>
      <c r="DX149">
        <f t="shared" si="833"/>
        <v>1</v>
      </c>
      <c r="DZ149" s="79">
        <f t="shared" si="834"/>
        <v>0</v>
      </c>
      <c r="EA149" s="79">
        <f t="shared" si="835"/>
        <v>0</v>
      </c>
      <c r="EB149">
        <f t="shared" si="836"/>
        <v>0</v>
      </c>
      <c r="EC149">
        <f t="shared" si="837"/>
        <v>1</v>
      </c>
    </row>
    <row r="150" spans="1:133">
      <c r="A150" s="164"/>
      <c r="B150" s="164"/>
      <c r="C150" s="164"/>
      <c r="D150" s="164"/>
      <c r="E150" s="164"/>
      <c r="F150" s="163"/>
      <c r="G150" s="164"/>
      <c r="H150" s="164"/>
      <c r="I150" s="164"/>
      <c r="J150" s="164"/>
      <c r="AH150" s="72">
        <f t="shared" si="748"/>
        <v>0</v>
      </c>
      <c r="AI150" s="72">
        <f t="shared" si="749"/>
        <v>0</v>
      </c>
      <c r="AJ150" s="72">
        <f t="shared" si="750"/>
        <v>0</v>
      </c>
      <c r="AK150" s="72">
        <f t="shared" si="751"/>
        <v>0</v>
      </c>
      <c r="AL150" s="72">
        <f t="shared" si="752"/>
        <v>0</v>
      </c>
      <c r="AM150" s="72">
        <f t="shared" si="753"/>
        <v>0</v>
      </c>
      <c r="AN150" s="72">
        <f t="shared" si="754"/>
        <v>0</v>
      </c>
      <c r="AO150" s="72">
        <f t="shared" si="755"/>
        <v>0</v>
      </c>
      <c r="AP150" s="72">
        <f t="shared" si="756"/>
        <v>0</v>
      </c>
      <c r="AQ150" s="72">
        <f t="shared" si="757"/>
        <v>0</v>
      </c>
      <c r="AR150" s="72">
        <f t="shared" si="758"/>
        <v>0</v>
      </c>
      <c r="AS150" s="72">
        <f t="shared" si="759"/>
        <v>0</v>
      </c>
      <c r="AT150" s="72">
        <f t="shared" si="760"/>
        <v>0</v>
      </c>
      <c r="AU150" s="72">
        <f t="shared" si="761"/>
        <v>0</v>
      </c>
      <c r="AV150" s="72">
        <f t="shared" si="762"/>
        <v>0</v>
      </c>
      <c r="AW150" s="72">
        <f t="shared" si="763"/>
        <v>0</v>
      </c>
      <c r="AX150" s="72">
        <f t="shared" si="764"/>
        <v>0</v>
      </c>
      <c r="AY150" s="72">
        <f t="shared" si="765"/>
        <v>0</v>
      </c>
      <c r="AZ150" s="72">
        <f t="shared" si="766"/>
        <v>0</v>
      </c>
      <c r="BA150" s="72">
        <f t="shared" si="767"/>
        <v>0</v>
      </c>
      <c r="BB150" s="72">
        <f t="shared" si="768"/>
        <v>0</v>
      </c>
      <c r="BC150" s="72">
        <f t="shared" si="769"/>
        <v>0</v>
      </c>
      <c r="BD150" s="72">
        <f t="shared" si="770"/>
        <v>0</v>
      </c>
      <c r="BE150" s="72">
        <f t="shared" si="771"/>
        <v>0</v>
      </c>
      <c r="BF150" s="72">
        <f t="shared" si="772"/>
        <v>0</v>
      </c>
      <c r="BG150" s="72">
        <f t="shared" si="773"/>
        <v>0</v>
      </c>
      <c r="BH150" s="72">
        <f t="shared" si="774"/>
        <v>0</v>
      </c>
      <c r="BI150" s="72">
        <f t="shared" si="775"/>
        <v>0</v>
      </c>
      <c r="BJ150" s="72">
        <f t="shared" si="776"/>
        <v>0</v>
      </c>
      <c r="BK150" s="72">
        <f t="shared" si="777"/>
        <v>0</v>
      </c>
      <c r="BL150" s="72">
        <f t="shared" si="778"/>
        <v>0</v>
      </c>
      <c r="BM150" s="72">
        <f t="shared" si="779"/>
        <v>0</v>
      </c>
      <c r="BN150" s="72">
        <f t="shared" si="780"/>
        <v>0</v>
      </c>
      <c r="BO150" s="72">
        <f t="shared" si="781"/>
        <v>0</v>
      </c>
      <c r="BP150" s="72">
        <f t="shared" si="782"/>
        <v>0</v>
      </c>
      <c r="BQ150" s="72">
        <f t="shared" si="783"/>
        <v>0</v>
      </c>
      <c r="BR150" s="72">
        <f t="shared" si="784"/>
        <v>0</v>
      </c>
      <c r="BS150" s="72">
        <f t="shared" si="785"/>
        <v>0</v>
      </c>
      <c r="BT150" s="72">
        <f t="shared" si="786"/>
        <v>0</v>
      </c>
      <c r="BU150" s="72">
        <f t="shared" si="787"/>
        <v>0</v>
      </c>
      <c r="BW150">
        <f t="shared" si="788"/>
        <v>0</v>
      </c>
      <c r="BX150">
        <f t="shared" si="789"/>
        <v>0</v>
      </c>
      <c r="BY150">
        <f t="shared" si="790"/>
        <v>0</v>
      </c>
      <c r="BZ150">
        <f t="shared" si="791"/>
        <v>0</v>
      </c>
      <c r="CA150">
        <f t="shared" si="792"/>
        <v>0</v>
      </c>
      <c r="CB150">
        <f t="shared" si="793"/>
        <v>0</v>
      </c>
      <c r="CD150">
        <f t="shared" si="794"/>
        <v>0</v>
      </c>
      <c r="CE150">
        <f t="shared" si="795"/>
        <v>0</v>
      </c>
      <c r="CF150">
        <f t="shared" si="796"/>
        <v>0</v>
      </c>
      <c r="CG150">
        <f t="shared" si="797"/>
        <v>0</v>
      </c>
      <c r="CH150">
        <f t="shared" si="798"/>
        <v>0</v>
      </c>
      <c r="CI150">
        <f t="shared" si="799"/>
        <v>0</v>
      </c>
      <c r="CK150">
        <f t="shared" si="800"/>
        <v>0</v>
      </c>
      <c r="CL150">
        <f t="shared" si="801"/>
        <v>0</v>
      </c>
      <c r="CM150">
        <f t="shared" si="802"/>
        <v>0</v>
      </c>
      <c r="CN150">
        <f t="shared" si="803"/>
        <v>0</v>
      </c>
      <c r="CO150">
        <f t="shared" si="804"/>
        <v>0</v>
      </c>
      <c r="CP150">
        <f t="shared" si="805"/>
        <v>0</v>
      </c>
      <c r="CR150">
        <f t="shared" si="806"/>
        <v>0</v>
      </c>
      <c r="CS150">
        <f t="shared" si="807"/>
        <v>0</v>
      </c>
      <c r="CT150">
        <f t="shared" si="808"/>
        <v>0</v>
      </c>
      <c r="CU150">
        <f t="shared" si="809"/>
        <v>0</v>
      </c>
      <c r="CV150">
        <f t="shared" si="810"/>
        <v>0</v>
      </c>
      <c r="CW150">
        <f t="shared" si="811"/>
        <v>0</v>
      </c>
      <c r="CY150">
        <f t="shared" si="812"/>
        <v>0</v>
      </c>
      <c r="CZ150">
        <f t="shared" si="813"/>
        <v>0</v>
      </c>
      <c r="DA150">
        <f t="shared" si="814"/>
        <v>0</v>
      </c>
      <c r="DB150">
        <f t="shared" si="815"/>
        <v>0</v>
      </c>
      <c r="DC150">
        <f t="shared" si="816"/>
        <v>0</v>
      </c>
      <c r="DD150">
        <f t="shared" si="817"/>
        <v>0</v>
      </c>
      <c r="DF150" s="79">
        <f t="shared" si="818"/>
        <v>0</v>
      </c>
      <c r="DG150" s="79">
        <f t="shared" si="819"/>
        <v>0</v>
      </c>
      <c r="DH150">
        <f t="shared" si="820"/>
        <v>0</v>
      </c>
      <c r="DI150">
        <f t="shared" si="821"/>
        <v>1</v>
      </c>
      <c r="DK150" s="79">
        <f t="shared" si="822"/>
        <v>0</v>
      </c>
      <c r="DL150" s="79">
        <f t="shared" si="823"/>
        <v>0</v>
      </c>
      <c r="DM150">
        <f t="shared" si="824"/>
        <v>1</v>
      </c>
      <c r="DN150">
        <f t="shared" si="825"/>
        <v>0</v>
      </c>
      <c r="DP150" s="79">
        <f t="shared" si="826"/>
        <v>0</v>
      </c>
      <c r="DQ150" s="79">
        <f t="shared" si="827"/>
        <v>0</v>
      </c>
      <c r="DR150">
        <f t="shared" si="828"/>
        <v>0</v>
      </c>
      <c r="DS150">
        <f t="shared" si="829"/>
        <v>1</v>
      </c>
      <c r="DU150" s="79">
        <f t="shared" si="830"/>
        <v>0</v>
      </c>
      <c r="DV150" s="79">
        <f t="shared" si="831"/>
        <v>0</v>
      </c>
      <c r="DW150">
        <f t="shared" si="832"/>
        <v>0</v>
      </c>
      <c r="DX150">
        <f t="shared" si="833"/>
        <v>1</v>
      </c>
      <c r="DZ150" s="79">
        <f t="shared" si="834"/>
        <v>0</v>
      </c>
      <c r="EA150" s="79">
        <f t="shared" si="835"/>
        <v>0</v>
      </c>
      <c r="EB150">
        <f t="shared" si="836"/>
        <v>0</v>
      </c>
      <c r="EC150">
        <f t="shared" si="837"/>
        <v>1</v>
      </c>
    </row>
    <row r="151" spans="1:133">
      <c r="A151" s="164"/>
      <c r="B151" s="164"/>
      <c r="C151" s="164"/>
      <c r="D151" s="164"/>
      <c r="E151" s="164"/>
      <c r="F151" s="163"/>
      <c r="G151" s="164"/>
      <c r="H151" s="164"/>
      <c r="I151" s="164"/>
      <c r="J151" s="164"/>
      <c r="AH151" s="72">
        <f t="shared" si="748"/>
        <v>0</v>
      </c>
      <c r="AI151" s="72">
        <f t="shared" si="749"/>
        <v>0</v>
      </c>
      <c r="AJ151" s="72">
        <f t="shared" si="750"/>
        <v>0</v>
      </c>
      <c r="AK151" s="72">
        <f t="shared" si="751"/>
        <v>0</v>
      </c>
      <c r="AL151" s="72">
        <f t="shared" si="752"/>
        <v>0</v>
      </c>
      <c r="AM151" s="72">
        <f t="shared" si="753"/>
        <v>0</v>
      </c>
      <c r="AN151" s="72">
        <f t="shared" si="754"/>
        <v>0</v>
      </c>
      <c r="AO151" s="72">
        <f t="shared" si="755"/>
        <v>0</v>
      </c>
      <c r="AP151" s="72">
        <f t="shared" si="756"/>
        <v>0</v>
      </c>
      <c r="AQ151" s="72">
        <f t="shared" si="757"/>
        <v>0</v>
      </c>
      <c r="AR151" s="72">
        <f t="shared" si="758"/>
        <v>0</v>
      </c>
      <c r="AS151" s="72">
        <f t="shared" si="759"/>
        <v>0</v>
      </c>
      <c r="AT151" s="72">
        <f t="shared" si="760"/>
        <v>0</v>
      </c>
      <c r="AU151" s="72">
        <f t="shared" si="761"/>
        <v>0</v>
      </c>
      <c r="AV151" s="72">
        <f t="shared" si="762"/>
        <v>0</v>
      </c>
      <c r="AW151" s="72">
        <f t="shared" si="763"/>
        <v>0</v>
      </c>
      <c r="AX151" s="72">
        <f t="shared" si="764"/>
        <v>0</v>
      </c>
      <c r="AY151" s="72">
        <f t="shared" si="765"/>
        <v>0</v>
      </c>
      <c r="AZ151" s="72">
        <f t="shared" si="766"/>
        <v>0</v>
      </c>
      <c r="BA151" s="72">
        <f t="shared" si="767"/>
        <v>0</v>
      </c>
      <c r="BB151" s="72">
        <f t="shared" si="768"/>
        <v>0</v>
      </c>
      <c r="BC151" s="72">
        <f t="shared" si="769"/>
        <v>0</v>
      </c>
      <c r="BD151" s="72">
        <f t="shared" si="770"/>
        <v>0</v>
      </c>
      <c r="BE151" s="72">
        <f t="shared" si="771"/>
        <v>0</v>
      </c>
      <c r="BF151" s="72">
        <f t="shared" si="772"/>
        <v>0</v>
      </c>
      <c r="BG151" s="72">
        <f t="shared" si="773"/>
        <v>0</v>
      </c>
      <c r="BH151" s="72">
        <f t="shared" si="774"/>
        <v>0</v>
      </c>
      <c r="BI151" s="72">
        <f t="shared" si="775"/>
        <v>0</v>
      </c>
      <c r="BJ151" s="72">
        <f t="shared" si="776"/>
        <v>0</v>
      </c>
      <c r="BK151" s="72">
        <f t="shared" si="777"/>
        <v>0</v>
      </c>
      <c r="BL151" s="72">
        <f t="shared" si="778"/>
        <v>0</v>
      </c>
      <c r="BM151" s="72">
        <f t="shared" si="779"/>
        <v>0</v>
      </c>
      <c r="BN151" s="72">
        <f t="shared" si="780"/>
        <v>0</v>
      </c>
      <c r="BO151" s="72">
        <f t="shared" si="781"/>
        <v>0</v>
      </c>
      <c r="BP151" s="72">
        <f t="shared" si="782"/>
        <v>0</v>
      </c>
      <c r="BQ151" s="72">
        <f t="shared" si="783"/>
        <v>0</v>
      </c>
      <c r="BR151" s="72">
        <f t="shared" si="784"/>
        <v>0</v>
      </c>
      <c r="BS151" s="72">
        <f t="shared" si="785"/>
        <v>0</v>
      </c>
      <c r="BT151" s="72">
        <f t="shared" si="786"/>
        <v>0</v>
      </c>
      <c r="BU151" s="72">
        <f t="shared" si="787"/>
        <v>0</v>
      </c>
      <c r="BW151">
        <f t="shared" si="788"/>
        <v>0</v>
      </c>
      <c r="BX151">
        <f t="shared" si="789"/>
        <v>0</v>
      </c>
      <c r="BY151">
        <f t="shared" si="790"/>
        <v>0</v>
      </c>
      <c r="BZ151">
        <f t="shared" si="791"/>
        <v>0</v>
      </c>
      <c r="CA151">
        <f t="shared" si="792"/>
        <v>0</v>
      </c>
      <c r="CB151">
        <f t="shared" si="793"/>
        <v>0</v>
      </c>
      <c r="CD151">
        <f t="shared" si="794"/>
        <v>0</v>
      </c>
      <c r="CE151">
        <f t="shared" si="795"/>
        <v>0</v>
      </c>
      <c r="CF151">
        <f t="shared" si="796"/>
        <v>0</v>
      </c>
      <c r="CG151">
        <f t="shared" si="797"/>
        <v>0</v>
      </c>
      <c r="CH151">
        <f t="shared" si="798"/>
        <v>0</v>
      </c>
      <c r="CI151">
        <f t="shared" si="799"/>
        <v>0</v>
      </c>
      <c r="CK151">
        <f t="shared" si="800"/>
        <v>0</v>
      </c>
      <c r="CL151">
        <f t="shared" si="801"/>
        <v>0</v>
      </c>
      <c r="CM151">
        <f t="shared" si="802"/>
        <v>0</v>
      </c>
      <c r="CN151">
        <f t="shared" si="803"/>
        <v>0</v>
      </c>
      <c r="CO151">
        <f t="shared" si="804"/>
        <v>0</v>
      </c>
      <c r="CP151">
        <f t="shared" si="805"/>
        <v>0</v>
      </c>
      <c r="CR151">
        <f t="shared" si="806"/>
        <v>0</v>
      </c>
      <c r="CS151">
        <f t="shared" si="807"/>
        <v>0</v>
      </c>
      <c r="CT151">
        <f t="shared" si="808"/>
        <v>0</v>
      </c>
      <c r="CU151">
        <f t="shared" si="809"/>
        <v>0</v>
      </c>
      <c r="CV151">
        <f t="shared" si="810"/>
        <v>0</v>
      </c>
      <c r="CW151">
        <f t="shared" si="811"/>
        <v>0</v>
      </c>
      <c r="CY151">
        <f t="shared" si="812"/>
        <v>0</v>
      </c>
      <c r="CZ151">
        <f t="shared" si="813"/>
        <v>0</v>
      </c>
      <c r="DA151">
        <f t="shared" si="814"/>
        <v>0</v>
      </c>
      <c r="DB151">
        <f t="shared" si="815"/>
        <v>0</v>
      </c>
      <c r="DC151">
        <f t="shared" si="816"/>
        <v>0</v>
      </c>
      <c r="DD151">
        <f t="shared" si="817"/>
        <v>0</v>
      </c>
      <c r="DF151" s="79">
        <f t="shared" si="818"/>
        <v>0</v>
      </c>
      <c r="DG151" s="79">
        <f t="shared" si="819"/>
        <v>0</v>
      </c>
      <c r="DH151">
        <f t="shared" si="820"/>
        <v>0</v>
      </c>
      <c r="DI151">
        <f t="shared" si="821"/>
        <v>1</v>
      </c>
      <c r="DK151" s="79">
        <f t="shared" si="822"/>
        <v>0</v>
      </c>
      <c r="DL151" s="79">
        <f t="shared" si="823"/>
        <v>0</v>
      </c>
      <c r="DM151">
        <f t="shared" si="824"/>
        <v>1</v>
      </c>
      <c r="DN151">
        <f t="shared" si="825"/>
        <v>0</v>
      </c>
      <c r="DP151" s="79">
        <f t="shared" si="826"/>
        <v>0</v>
      </c>
      <c r="DQ151" s="79">
        <f t="shared" si="827"/>
        <v>0</v>
      </c>
      <c r="DR151">
        <f t="shared" si="828"/>
        <v>0</v>
      </c>
      <c r="DS151">
        <f t="shared" si="829"/>
        <v>1</v>
      </c>
      <c r="DU151" s="79">
        <f t="shared" si="830"/>
        <v>0</v>
      </c>
      <c r="DV151" s="79">
        <f t="shared" si="831"/>
        <v>0</v>
      </c>
      <c r="DW151">
        <f t="shared" si="832"/>
        <v>0</v>
      </c>
      <c r="DX151">
        <f t="shared" si="833"/>
        <v>1</v>
      </c>
      <c r="DZ151" s="79">
        <f t="shared" si="834"/>
        <v>0</v>
      </c>
      <c r="EA151" s="79">
        <f t="shared" si="835"/>
        <v>0</v>
      </c>
      <c r="EB151">
        <f t="shared" si="836"/>
        <v>0</v>
      </c>
      <c r="EC151">
        <f t="shared" si="837"/>
        <v>1</v>
      </c>
    </row>
    <row r="152" spans="1:133">
      <c r="A152" s="164"/>
      <c r="B152" s="164"/>
      <c r="C152" s="164"/>
      <c r="D152" s="164"/>
      <c r="E152" s="164"/>
      <c r="F152" s="163"/>
      <c r="G152" s="164"/>
      <c r="H152" s="164"/>
      <c r="I152" s="164"/>
      <c r="J152" s="164"/>
      <c r="AH152" s="72">
        <f t="shared" si="748"/>
        <v>0</v>
      </c>
      <c r="AI152" s="72">
        <f t="shared" si="749"/>
        <v>0</v>
      </c>
      <c r="AJ152" s="72">
        <f t="shared" si="750"/>
        <v>0</v>
      </c>
      <c r="AK152" s="72">
        <f t="shared" si="751"/>
        <v>0</v>
      </c>
      <c r="AL152" s="72">
        <f t="shared" si="752"/>
        <v>0</v>
      </c>
      <c r="AM152" s="72">
        <f t="shared" si="753"/>
        <v>0</v>
      </c>
      <c r="AN152" s="72">
        <f t="shared" si="754"/>
        <v>0</v>
      </c>
      <c r="AO152" s="72">
        <f t="shared" si="755"/>
        <v>0</v>
      </c>
      <c r="AP152" s="72">
        <f t="shared" si="756"/>
        <v>0</v>
      </c>
      <c r="AQ152" s="72">
        <f t="shared" si="757"/>
        <v>0</v>
      </c>
      <c r="AR152" s="72">
        <f t="shared" si="758"/>
        <v>0</v>
      </c>
      <c r="AS152" s="72">
        <f t="shared" si="759"/>
        <v>0</v>
      </c>
      <c r="AT152" s="72">
        <f t="shared" si="760"/>
        <v>0</v>
      </c>
      <c r="AU152" s="72">
        <f t="shared" si="761"/>
        <v>0</v>
      </c>
      <c r="AV152" s="72">
        <f t="shared" si="762"/>
        <v>0</v>
      </c>
      <c r="AW152" s="72">
        <f t="shared" si="763"/>
        <v>0</v>
      </c>
      <c r="AX152" s="72">
        <f t="shared" si="764"/>
        <v>0</v>
      </c>
      <c r="AY152" s="72">
        <f t="shared" si="765"/>
        <v>0</v>
      </c>
      <c r="AZ152" s="72">
        <f t="shared" si="766"/>
        <v>0</v>
      </c>
      <c r="BA152" s="72">
        <f t="shared" si="767"/>
        <v>0</v>
      </c>
      <c r="BB152" s="72">
        <f t="shared" si="768"/>
        <v>0</v>
      </c>
      <c r="BC152" s="72">
        <f t="shared" si="769"/>
        <v>0</v>
      </c>
      <c r="BD152" s="72">
        <f t="shared" si="770"/>
        <v>0</v>
      </c>
      <c r="BE152" s="72">
        <f t="shared" si="771"/>
        <v>0</v>
      </c>
      <c r="BF152" s="72">
        <f t="shared" si="772"/>
        <v>0</v>
      </c>
      <c r="BG152" s="72">
        <f t="shared" si="773"/>
        <v>0</v>
      </c>
      <c r="BH152" s="72">
        <f t="shared" si="774"/>
        <v>0</v>
      </c>
      <c r="BI152" s="72">
        <f t="shared" si="775"/>
        <v>0</v>
      </c>
      <c r="BJ152" s="72">
        <f t="shared" si="776"/>
        <v>0</v>
      </c>
      <c r="BK152" s="72">
        <f t="shared" si="777"/>
        <v>0</v>
      </c>
      <c r="BL152" s="72">
        <f t="shared" si="778"/>
        <v>0</v>
      </c>
      <c r="BM152" s="72">
        <f t="shared" si="779"/>
        <v>0</v>
      </c>
      <c r="BN152" s="72">
        <f t="shared" si="780"/>
        <v>0</v>
      </c>
      <c r="BO152" s="72">
        <f t="shared" si="781"/>
        <v>0</v>
      </c>
      <c r="BP152" s="72">
        <f t="shared" si="782"/>
        <v>0</v>
      </c>
      <c r="BQ152" s="72">
        <f t="shared" si="783"/>
        <v>0</v>
      </c>
      <c r="BR152" s="72">
        <f t="shared" si="784"/>
        <v>0</v>
      </c>
      <c r="BS152" s="72">
        <f t="shared" si="785"/>
        <v>0</v>
      </c>
      <c r="BT152" s="72">
        <f t="shared" si="786"/>
        <v>0</v>
      </c>
      <c r="BU152" s="72">
        <f t="shared" si="787"/>
        <v>0</v>
      </c>
      <c r="BW152">
        <f t="shared" si="788"/>
        <v>0</v>
      </c>
      <c r="BX152">
        <f t="shared" si="789"/>
        <v>0</v>
      </c>
      <c r="BY152">
        <f t="shared" si="790"/>
        <v>0</v>
      </c>
      <c r="BZ152">
        <f t="shared" si="791"/>
        <v>0</v>
      </c>
      <c r="CA152">
        <f t="shared" si="792"/>
        <v>0</v>
      </c>
      <c r="CB152">
        <f t="shared" si="793"/>
        <v>0</v>
      </c>
      <c r="CD152">
        <f t="shared" si="794"/>
        <v>0</v>
      </c>
      <c r="CE152">
        <f t="shared" si="795"/>
        <v>0</v>
      </c>
      <c r="CF152">
        <f t="shared" si="796"/>
        <v>0</v>
      </c>
      <c r="CG152">
        <f t="shared" si="797"/>
        <v>0</v>
      </c>
      <c r="CH152">
        <f t="shared" si="798"/>
        <v>0</v>
      </c>
      <c r="CI152">
        <f t="shared" si="799"/>
        <v>0</v>
      </c>
      <c r="CK152">
        <f t="shared" si="800"/>
        <v>0</v>
      </c>
      <c r="CL152">
        <f t="shared" si="801"/>
        <v>0</v>
      </c>
      <c r="CM152">
        <f t="shared" si="802"/>
        <v>0</v>
      </c>
      <c r="CN152">
        <f t="shared" si="803"/>
        <v>0</v>
      </c>
      <c r="CO152">
        <f t="shared" si="804"/>
        <v>0</v>
      </c>
      <c r="CP152">
        <f t="shared" si="805"/>
        <v>0</v>
      </c>
      <c r="CR152">
        <f t="shared" si="806"/>
        <v>0</v>
      </c>
      <c r="CS152">
        <f t="shared" si="807"/>
        <v>0</v>
      </c>
      <c r="CT152">
        <f t="shared" si="808"/>
        <v>0</v>
      </c>
      <c r="CU152">
        <f t="shared" si="809"/>
        <v>0</v>
      </c>
      <c r="CV152">
        <f t="shared" si="810"/>
        <v>0</v>
      </c>
      <c r="CW152">
        <f t="shared" si="811"/>
        <v>0</v>
      </c>
      <c r="CY152">
        <f t="shared" si="812"/>
        <v>0</v>
      </c>
      <c r="CZ152">
        <f t="shared" si="813"/>
        <v>0</v>
      </c>
      <c r="DA152">
        <f t="shared" si="814"/>
        <v>0</v>
      </c>
      <c r="DB152">
        <f t="shared" si="815"/>
        <v>0</v>
      </c>
      <c r="DC152">
        <f t="shared" si="816"/>
        <v>0</v>
      </c>
      <c r="DD152">
        <f t="shared" si="817"/>
        <v>0</v>
      </c>
      <c r="DF152" s="79">
        <f t="shared" si="818"/>
        <v>0</v>
      </c>
      <c r="DG152" s="79">
        <f t="shared" si="819"/>
        <v>0</v>
      </c>
      <c r="DH152">
        <f t="shared" si="820"/>
        <v>0</v>
      </c>
      <c r="DI152">
        <f t="shared" si="821"/>
        <v>1</v>
      </c>
      <c r="DK152" s="79">
        <f t="shared" si="822"/>
        <v>0</v>
      </c>
      <c r="DL152" s="79">
        <f t="shared" si="823"/>
        <v>0</v>
      </c>
      <c r="DM152">
        <f t="shared" si="824"/>
        <v>1</v>
      </c>
      <c r="DN152">
        <f t="shared" si="825"/>
        <v>0</v>
      </c>
      <c r="DP152" s="79">
        <f t="shared" si="826"/>
        <v>0</v>
      </c>
      <c r="DQ152" s="79">
        <f t="shared" si="827"/>
        <v>0</v>
      </c>
      <c r="DR152">
        <f t="shared" si="828"/>
        <v>0</v>
      </c>
      <c r="DS152">
        <f t="shared" si="829"/>
        <v>1</v>
      </c>
      <c r="DU152" s="79">
        <f t="shared" si="830"/>
        <v>0</v>
      </c>
      <c r="DV152" s="79">
        <f t="shared" si="831"/>
        <v>0</v>
      </c>
      <c r="DW152">
        <f t="shared" si="832"/>
        <v>0</v>
      </c>
      <c r="DX152">
        <f t="shared" si="833"/>
        <v>1</v>
      </c>
      <c r="DZ152" s="79">
        <f t="shared" si="834"/>
        <v>0</v>
      </c>
      <c r="EA152" s="79">
        <f t="shared" si="835"/>
        <v>0</v>
      </c>
      <c r="EB152">
        <f t="shared" si="836"/>
        <v>0</v>
      </c>
      <c r="EC152">
        <f t="shared" si="837"/>
        <v>1</v>
      </c>
    </row>
    <row r="153" spans="1:133">
      <c r="A153" s="164"/>
      <c r="B153" s="164"/>
      <c r="C153" s="164"/>
      <c r="D153" s="164"/>
      <c r="E153" s="164"/>
      <c r="F153" s="163"/>
      <c r="G153" s="164"/>
      <c r="H153" s="164"/>
      <c r="I153" s="164"/>
      <c r="J153" s="164"/>
      <c r="AH153" s="72">
        <f t="shared" si="748"/>
        <v>0</v>
      </c>
      <c r="AI153" s="72">
        <f t="shared" si="749"/>
        <v>0</v>
      </c>
      <c r="AJ153" s="72">
        <f t="shared" si="750"/>
        <v>0</v>
      </c>
      <c r="AK153" s="72">
        <f t="shared" si="751"/>
        <v>0</v>
      </c>
      <c r="AL153" s="72">
        <f t="shared" si="752"/>
        <v>0</v>
      </c>
      <c r="AM153" s="72">
        <f t="shared" si="753"/>
        <v>0</v>
      </c>
      <c r="AN153" s="72">
        <f t="shared" si="754"/>
        <v>0</v>
      </c>
      <c r="AO153" s="72">
        <f t="shared" si="755"/>
        <v>0</v>
      </c>
      <c r="AP153" s="72">
        <f t="shared" si="756"/>
        <v>0</v>
      </c>
      <c r="AQ153" s="72">
        <f t="shared" si="757"/>
        <v>0</v>
      </c>
      <c r="AR153" s="72">
        <f t="shared" si="758"/>
        <v>0</v>
      </c>
      <c r="AS153" s="72">
        <f t="shared" si="759"/>
        <v>0</v>
      </c>
      <c r="AT153" s="72">
        <f t="shared" si="760"/>
        <v>0</v>
      </c>
      <c r="AU153" s="72">
        <f t="shared" si="761"/>
        <v>0</v>
      </c>
      <c r="AV153" s="72">
        <f t="shared" si="762"/>
        <v>0</v>
      </c>
      <c r="AW153" s="72">
        <f t="shared" si="763"/>
        <v>0</v>
      </c>
      <c r="AX153" s="72">
        <f t="shared" si="764"/>
        <v>0</v>
      </c>
      <c r="AY153" s="72">
        <f t="shared" si="765"/>
        <v>0</v>
      </c>
      <c r="AZ153" s="72">
        <f t="shared" si="766"/>
        <v>0</v>
      </c>
      <c r="BA153" s="72">
        <f t="shared" si="767"/>
        <v>0</v>
      </c>
      <c r="BB153" s="72">
        <f t="shared" si="768"/>
        <v>0</v>
      </c>
      <c r="BC153" s="72">
        <f t="shared" si="769"/>
        <v>0</v>
      </c>
      <c r="BD153" s="72">
        <f t="shared" si="770"/>
        <v>0</v>
      </c>
      <c r="BE153" s="72">
        <f t="shared" si="771"/>
        <v>0</v>
      </c>
      <c r="BF153" s="72">
        <f t="shared" si="772"/>
        <v>0</v>
      </c>
      <c r="BG153" s="72">
        <f t="shared" si="773"/>
        <v>0</v>
      </c>
      <c r="BH153" s="72">
        <f t="shared" si="774"/>
        <v>0</v>
      </c>
      <c r="BI153" s="72">
        <f t="shared" si="775"/>
        <v>0</v>
      </c>
      <c r="BJ153" s="72">
        <f t="shared" si="776"/>
        <v>0</v>
      </c>
      <c r="BK153" s="72">
        <f t="shared" si="777"/>
        <v>0</v>
      </c>
      <c r="BL153" s="72">
        <f t="shared" si="778"/>
        <v>0</v>
      </c>
      <c r="BM153" s="72">
        <f t="shared" si="779"/>
        <v>0</v>
      </c>
      <c r="BN153" s="72">
        <f t="shared" si="780"/>
        <v>0</v>
      </c>
      <c r="BO153" s="72">
        <f t="shared" si="781"/>
        <v>0</v>
      </c>
      <c r="BP153" s="72">
        <f t="shared" si="782"/>
        <v>0</v>
      </c>
      <c r="BQ153" s="72">
        <f t="shared" si="783"/>
        <v>0</v>
      </c>
      <c r="BR153" s="72">
        <f t="shared" si="784"/>
        <v>0</v>
      </c>
      <c r="BS153" s="72">
        <f t="shared" si="785"/>
        <v>0</v>
      </c>
      <c r="BT153" s="72">
        <f t="shared" si="786"/>
        <v>0</v>
      </c>
      <c r="BU153" s="72">
        <f t="shared" si="787"/>
        <v>0</v>
      </c>
      <c r="BW153">
        <f t="shared" si="788"/>
        <v>0</v>
      </c>
      <c r="BX153">
        <f t="shared" si="789"/>
        <v>0</v>
      </c>
      <c r="BY153">
        <f t="shared" si="790"/>
        <v>0</v>
      </c>
      <c r="BZ153">
        <f t="shared" si="791"/>
        <v>0</v>
      </c>
      <c r="CA153">
        <f t="shared" si="792"/>
        <v>0</v>
      </c>
      <c r="CB153">
        <f t="shared" si="793"/>
        <v>0</v>
      </c>
      <c r="CD153">
        <f t="shared" si="794"/>
        <v>0</v>
      </c>
      <c r="CE153">
        <f t="shared" si="795"/>
        <v>0</v>
      </c>
      <c r="CF153">
        <f t="shared" si="796"/>
        <v>0</v>
      </c>
      <c r="CG153">
        <f t="shared" si="797"/>
        <v>0</v>
      </c>
      <c r="CH153">
        <f t="shared" si="798"/>
        <v>0</v>
      </c>
      <c r="CI153">
        <f t="shared" si="799"/>
        <v>0</v>
      </c>
      <c r="CK153">
        <f t="shared" si="800"/>
        <v>0</v>
      </c>
      <c r="CL153">
        <f t="shared" si="801"/>
        <v>0</v>
      </c>
      <c r="CM153">
        <f t="shared" si="802"/>
        <v>0</v>
      </c>
      <c r="CN153">
        <f t="shared" si="803"/>
        <v>0</v>
      </c>
      <c r="CO153">
        <f t="shared" si="804"/>
        <v>0</v>
      </c>
      <c r="CP153">
        <f t="shared" si="805"/>
        <v>0</v>
      </c>
      <c r="CR153">
        <f t="shared" si="806"/>
        <v>0</v>
      </c>
      <c r="CS153">
        <f t="shared" si="807"/>
        <v>0</v>
      </c>
      <c r="CT153">
        <f t="shared" si="808"/>
        <v>0</v>
      </c>
      <c r="CU153">
        <f t="shared" si="809"/>
        <v>0</v>
      </c>
      <c r="CV153">
        <f t="shared" si="810"/>
        <v>0</v>
      </c>
      <c r="CW153">
        <f t="shared" si="811"/>
        <v>0</v>
      </c>
      <c r="CY153">
        <f t="shared" si="812"/>
        <v>0</v>
      </c>
      <c r="CZ153">
        <f t="shared" si="813"/>
        <v>0</v>
      </c>
      <c r="DA153">
        <f t="shared" si="814"/>
        <v>0</v>
      </c>
      <c r="DB153">
        <f t="shared" si="815"/>
        <v>0</v>
      </c>
      <c r="DC153">
        <f t="shared" si="816"/>
        <v>0</v>
      </c>
      <c r="DD153">
        <f t="shared" si="817"/>
        <v>0</v>
      </c>
      <c r="DF153" s="79">
        <f t="shared" si="818"/>
        <v>0</v>
      </c>
      <c r="DG153" s="79">
        <f t="shared" si="819"/>
        <v>0</v>
      </c>
      <c r="DH153">
        <f t="shared" si="820"/>
        <v>0</v>
      </c>
      <c r="DI153">
        <f t="shared" si="821"/>
        <v>1</v>
      </c>
      <c r="DK153" s="79">
        <f t="shared" si="822"/>
        <v>0</v>
      </c>
      <c r="DL153" s="79">
        <f t="shared" si="823"/>
        <v>0</v>
      </c>
      <c r="DM153">
        <f t="shared" si="824"/>
        <v>1</v>
      </c>
      <c r="DN153">
        <f t="shared" si="825"/>
        <v>0</v>
      </c>
      <c r="DP153" s="79">
        <f t="shared" si="826"/>
        <v>0</v>
      </c>
      <c r="DQ153" s="79">
        <f t="shared" si="827"/>
        <v>0</v>
      </c>
      <c r="DR153">
        <f t="shared" si="828"/>
        <v>0</v>
      </c>
      <c r="DS153">
        <f t="shared" si="829"/>
        <v>1</v>
      </c>
      <c r="DU153" s="79">
        <f t="shared" si="830"/>
        <v>0</v>
      </c>
      <c r="DV153" s="79">
        <f t="shared" si="831"/>
        <v>0</v>
      </c>
      <c r="DW153">
        <f t="shared" si="832"/>
        <v>0</v>
      </c>
      <c r="DX153">
        <f t="shared" si="833"/>
        <v>1</v>
      </c>
      <c r="DZ153" s="79">
        <f t="shared" si="834"/>
        <v>0</v>
      </c>
      <c r="EA153" s="79">
        <f t="shared" si="835"/>
        <v>0</v>
      </c>
      <c r="EB153">
        <f t="shared" si="836"/>
        <v>0</v>
      </c>
      <c r="EC153">
        <f t="shared" si="837"/>
        <v>1</v>
      </c>
    </row>
    <row r="154" spans="1:133">
      <c r="A154" s="164"/>
      <c r="B154" s="164"/>
      <c r="C154" s="164"/>
      <c r="D154" s="164"/>
      <c r="E154" s="164"/>
      <c r="F154" s="163"/>
      <c r="G154" s="164"/>
      <c r="H154" s="164"/>
      <c r="I154" s="164"/>
      <c r="J154" s="164"/>
      <c r="AH154" s="72">
        <f t="shared" si="748"/>
        <v>0</v>
      </c>
      <c r="AI154" s="72">
        <f t="shared" si="749"/>
        <v>0</v>
      </c>
      <c r="AJ154" s="72">
        <f t="shared" si="750"/>
        <v>0</v>
      </c>
      <c r="AK154" s="72">
        <f t="shared" si="751"/>
        <v>0</v>
      </c>
      <c r="AL154" s="72">
        <f t="shared" si="752"/>
        <v>0</v>
      </c>
      <c r="AM154" s="72">
        <f t="shared" si="753"/>
        <v>0</v>
      </c>
      <c r="AN154" s="72">
        <f t="shared" si="754"/>
        <v>0</v>
      </c>
      <c r="AO154" s="72">
        <f t="shared" si="755"/>
        <v>0</v>
      </c>
      <c r="AP154" s="72">
        <f t="shared" si="756"/>
        <v>0</v>
      </c>
      <c r="AQ154" s="72">
        <f t="shared" si="757"/>
        <v>0</v>
      </c>
      <c r="AR154" s="72">
        <f t="shared" si="758"/>
        <v>0</v>
      </c>
      <c r="AS154" s="72">
        <f t="shared" si="759"/>
        <v>0</v>
      </c>
      <c r="AT154" s="72">
        <f t="shared" si="760"/>
        <v>0</v>
      </c>
      <c r="AU154" s="72">
        <f t="shared" si="761"/>
        <v>0</v>
      </c>
      <c r="AV154" s="72">
        <f t="shared" si="762"/>
        <v>0</v>
      </c>
      <c r="AW154" s="72">
        <f t="shared" si="763"/>
        <v>0</v>
      </c>
      <c r="AX154" s="72">
        <f t="shared" si="764"/>
        <v>0</v>
      </c>
      <c r="AY154" s="72">
        <f t="shared" si="765"/>
        <v>0</v>
      </c>
      <c r="AZ154" s="72">
        <f t="shared" si="766"/>
        <v>0</v>
      </c>
      <c r="BA154" s="72">
        <f t="shared" si="767"/>
        <v>0</v>
      </c>
      <c r="BB154" s="72">
        <f t="shared" si="768"/>
        <v>0</v>
      </c>
      <c r="BC154" s="72">
        <f t="shared" si="769"/>
        <v>0</v>
      </c>
      <c r="BD154" s="72">
        <f t="shared" si="770"/>
        <v>0</v>
      </c>
      <c r="BE154" s="72">
        <f t="shared" si="771"/>
        <v>0</v>
      </c>
      <c r="BF154" s="72">
        <f t="shared" si="772"/>
        <v>0</v>
      </c>
      <c r="BG154" s="72">
        <f t="shared" si="773"/>
        <v>0</v>
      </c>
      <c r="BH154" s="72">
        <f t="shared" si="774"/>
        <v>0</v>
      </c>
      <c r="BI154" s="72">
        <f t="shared" si="775"/>
        <v>0</v>
      </c>
      <c r="BJ154" s="72">
        <f t="shared" si="776"/>
        <v>0</v>
      </c>
      <c r="BK154" s="72">
        <f t="shared" si="777"/>
        <v>0</v>
      </c>
      <c r="BL154" s="72">
        <f t="shared" si="778"/>
        <v>0</v>
      </c>
      <c r="BM154" s="72">
        <f t="shared" si="779"/>
        <v>0</v>
      </c>
      <c r="BN154" s="72">
        <f t="shared" si="780"/>
        <v>0</v>
      </c>
      <c r="BO154" s="72">
        <f t="shared" si="781"/>
        <v>0</v>
      </c>
      <c r="BP154" s="72">
        <f t="shared" si="782"/>
        <v>0</v>
      </c>
      <c r="BQ154" s="72">
        <f t="shared" si="783"/>
        <v>0</v>
      </c>
      <c r="BR154" s="72">
        <f t="shared" si="784"/>
        <v>0</v>
      </c>
      <c r="BS154" s="72">
        <f t="shared" si="785"/>
        <v>0</v>
      </c>
      <c r="BT154" s="72">
        <f t="shared" si="786"/>
        <v>0</v>
      </c>
      <c r="BU154" s="72">
        <f t="shared" si="787"/>
        <v>0</v>
      </c>
      <c r="BW154">
        <f t="shared" si="788"/>
        <v>0</v>
      </c>
      <c r="BX154">
        <f t="shared" si="789"/>
        <v>0</v>
      </c>
      <c r="BY154">
        <f t="shared" si="790"/>
        <v>0</v>
      </c>
      <c r="BZ154">
        <f t="shared" si="791"/>
        <v>0</v>
      </c>
      <c r="CA154">
        <f t="shared" si="792"/>
        <v>0</v>
      </c>
      <c r="CB154">
        <f t="shared" si="793"/>
        <v>0</v>
      </c>
      <c r="CD154">
        <f t="shared" si="794"/>
        <v>0</v>
      </c>
      <c r="CE154">
        <f t="shared" si="795"/>
        <v>0</v>
      </c>
      <c r="CF154">
        <f t="shared" si="796"/>
        <v>0</v>
      </c>
      <c r="CG154">
        <f t="shared" si="797"/>
        <v>0</v>
      </c>
      <c r="CH154">
        <f t="shared" si="798"/>
        <v>0</v>
      </c>
      <c r="CI154">
        <f t="shared" si="799"/>
        <v>0</v>
      </c>
      <c r="CK154">
        <f t="shared" si="800"/>
        <v>0</v>
      </c>
      <c r="CL154">
        <f t="shared" si="801"/>
        <v>0</v>
      </c>
      <c r="CM154">
        <f t="shared" si="802"/>
        <v>0</v>
      </c>
      <c r="CN154">
        <f t="shared" si="803"/>
        <v>0</v>
      </c>
      <c r="CO154">
        <f t="shared" si="804"/>
        <v>0</v>
      </c>
      <c r="CP154">
        <f t="shared" si="805"/>
        <v>0</v>
      </c>
      <c r="CR154">
        <f t="shared" si="806"/>
        <v>0</v>
      </c>
      <c r="CS154">
        <f t="shared" si="807"/>
        <v>0</v>
      </c>
      <c r="CT154">
        <f t="shared" si="808"/>
        <v>0</v>
      </c>
      <c r="CU154">
        <f t="shared" si="809"/>
        <v>0</v>
      </c>
      <c r="CV154">
        <f t="shared" si="810"/>
        <v>0</v>
      </c>
      <c r="CW154">
        <f t="shared" si="811"/>
        <v>0</v>
      </c>
      <c r="CY154">
        <f t="shared" si="812"/>
        <v>0</v>
      </c>
      <c r="CZ154">
        <f t="shared" si="813"/>
        <v>0</v>
      </c>
      <c r="DA154">
        <f t="shared" si="814"/>
        <v>0</v>
      </c>
      <c r="DB154">
        <f t="shared" si="815"/>
        <v>0</v>
      </c>
      <c r="DC154">
        <f t="shared" si="816"/>
        <v>0</v>
      </c>
      <c r="DD154">
        <f t="shared" si="817"/>
        <v>0</v>
      </c>
      <c r="DF154" s="79">
        <f t="shared" si="818"/>
        <v>0</v>
      </c>
      <c r="DG154" s="79">
        <f t="shared" si="819"/>
        <v>0</v>
      </c>
      <c r="DH154">
        <f t="shared" si="820"/>
        <v>0</v>
      </c>
      <c r="DI154">
        <f t="shared" si="821"/>
        <v>1</v>
      </c>
      <c r="DK154" s="79">
        <f t="shared" si="822"/>
        <v>0</v>
      </c>
      <c r="DL154" s="79">
        <f t="shared" si="823"/>
        <v>0</v>
      </c>
      <c r="DM154">
        <f t="shared" si="824"/>
        <v>1</v>
      </c>
      <c r="DN154">
        <f t="shared" si="825"/>
        <v>0</v>
      </c>
      <c r="DP154" s="79">
        <f t="shared" si="826"/>
        <v>0</v>
      </c>
      <c r="DQ154" s="79">
        <f t="shared" si="827"/>
        <v>0</v>
      </c>
      <c r="DR154">
        <f t="shared" si="828"/>
        <v>0</v>
      </c>
      <c r="DS154">
        <f t="shared" si="829"/>
        <v>1</v>
      </c>
      <c r="DU154" s="79">
        <f t="shared" si="830"/>
        <v>0</v>
      </c>
      <c r="DV154" s="79">
        <f t="shared" si="831"/>
        <v>0</v>
      </c>
      <c r="DW154">
        <f t="shared" si="832"/>
        <v>0</v>
      </c>
      <c r="DX154">
        <f t="shared" si="833"/>
        <v>1</v>
      </c>
      <c r="DZ154" s="79">
        <f t="shared" si="834"/>
        <v>0</v>
      </c>
      <c r="EA154" s="79">
        <f t="shared" si="835"/>
        <v>0</v>
      </c>
      <c r="EB154">
        <f t="shared" si="836"/>
        <v>0</v>
      </c>
      <c r="EC154">
        <f t="shared" si="837"/>
        <v>1</v>
      </c>
    </row>
    <row r="155" spans="1:133">
      <c r="A155" s="164"/>
      <c r="B155" s="164"/>
      <c r="C155" s="164"/>
      <c r="D155" s="164"/>
      <c r="E155" s="164"/>
      <c r="F155" s="163"/>
      <c r="G155" s="164"/>
      <c r="H155" s="164"/>
      <c r="I155" s="164"/>
      <c r="J155" s="164"/>
      <c r="AH155" s="72">
        <f t="shared" si="748"/>
        <v>0</v>
      </c>
      <c r="AI155" s="72">
        <f t="shared" si="749"/>
        <v>0</v>
      </c>
      <c r="AJ155" s="72">
        <f t="shared" si="750"/>
        <v>0</v>
      </c>
      <c r="AK155" s="72">
        <f t="shared" si="751"/>
        <v>0</v>
      </c>
      <c r="AL155" s="72">
        <f t="shared" si="752"/>
        <v>0</v>
      </c>
      <c r="AM155" s="72">
        <f t="shared" si="753"/>
        <v>0</v>
      </c>
      <c r="AN155" s="72">
        <f t="shared" si="754"/>
        <v>0</v>
      </c>
      <c r="AO155" s="72">
        <f t="shared" si="755"/>
        <v>0</v>
      </c>
      <c r="AP155" s="72">
        <f t="shared" si="756"/>
        <v>0</v>
      </c>
      <c r="AQ155" s="72">
        <f t="shared" si="757"/>
        <v>0</v>
      </c>
      <c r="AR155" s="72">
        <f t="shared" si="758"/>
        <v>0</v>
      </c>
      <c r="AS155" s="72">
        <f t="shared" si="759"/>
        <v>0</v>
      </c>
      <c r="AT155" s="72">
        <f t="shared" si="760"/>
        <v>0</v>
      </c>
      <c r="AU155" s="72">
        <f t="shared" si="761"/>
        <v>0</v>
      </c>
      <c r="AV155" s="72">
        <f t="shared" si="762"/>
        <v>0</v>
      </c>
      <c r="AW155" s="72">
        <f t="shared" si="763"/>
        <v>0</v>
      </c>
      <c r="AX155" s="72">
        <f t="shared" si="764"/>
        <v>0</v>
      </c>
      <c r="AY155" s="72">
        <f t="shared" si="765"/>
        <v>0</v>
      </c>
      <c r="AZ155" s="72">
        <f t="shared" si="766"/>
        <v>0</v>
      </c>
      <c r="BA155" s="72">
        <f t="shared" si="767"/>
        <v>0</v>
      </c>
      <c r="BB155" s="72">
        <f t="shared" si="768"/>
        <v>0</v>
      </c>
      <c r="BC155" s="72">
        <f t="shared" si="769"/>
        <v>0</v>
      </c>
      <c r="BD155" s="72">
        <f t="shared" si="770"/>
        <v>0</v>
      </c>
      <c r="BE155" s="72">
        <f t="shared" si="771"/>
        <v>0</v>
      </c>
      <c r="BF155" s="72">
        <f t="shared" si="772"/>
        <v>0</v>
      </c>
      <c r="BG155" s="72">
        <f t="shared" si="773"/>
        <v>0</v>
      </c>
      <c r="BH155" s="72">
        <f t="shared" si="774"/>
        <v>0</v>
      </c>
      <c r="BI155" s="72">
        <f t="shared" si="775"/>
        <v>0</v>
      </c>
      <c r="BJ155" s="72">
        <f t="shared" si="776"/>
        <v>0</v>
      </c>
      <c r="BK155" s="72">
        <f t="shared" si="777"/>
        <v>0</v>
      </c>
      <c r="BL155" s="72">
        <f t="shared" si="778"/>
        <v>0</v>
      </c>
      <c r="BM155" s="72">
        <f t="shared" si="779"/>
        <v>0</v>
      </c>
      <c r="BN155" s="72">
        <f t="shared" si="780"/>
        <v>0</v>
      </c>
      <c r="BO155" s="72">
        <f t="shared" si="781"/>
        <v>0</v>
      </c>
      <c r="BP155" s="72">
        <f t="shared" si="782"/>
        <v>0</v>
      </c>
      <c r="BQ155" s="72">
        <f t="shared" si="783"/>
        <v>0</v>
      </c>
      <c r="BR155" s="72">
        <f t="shared" si="784"/>
        <v>0</v>
      </c>
      <c r="BS155" s="72">
        <f t="shared" si="785"/>
        <v>0</v>
      </c>
      <c r="BT155" s="72">
        <f t="shared" si="786"/>
        <v>0</v>
      </c>
      <c r="BU155" s="72">
        <f t="shared" si="787"/>
        <v>0</v>
      </c>
      <c r="BW155">
        <f t="shared" si="788"/>
        <v>0</v>
      </c>
      <c r="BX155">
        <f t="shared" si="789"/>
        <v>0</v>
      </c>
      <c r="BY155">
        <f t="shared" si="790"/>
        <v>0</v>
      </c>
      <c r="BZ155">
        <f t="shared" si="791"/>
        <v>0</v>
      </c>
      <c r="CA155">
        <f t="shared" si="792"/>
        <v>0</v>
      </c>
      <c r="CB155">
        <f t="shared" si="793"/>
        <v>0</v>
      </c>
      <c r="CD155">
        <f t="shared" si="794"/>
        <v>0</v>
      </c>
      <c r="CE155">
        <f t="shared" si="795"/>
        <v>0</v>
      </c>
      <c r="CF155">
        <f t="shared" si="796"/>
        <v>0</v>
      </c>
      <c r="CG155">
        <f t="shared" si="797"/>
        <v>0</v>
      </c>
      <c r="CH155">
        <f t="shared" si="798"/>
        <v>0</v>
      </c>
      <c r="CI155">
        <f t="shared" si="799"/>
        <v>0</v>
      </c>
      <c r="CK155">
        <f t="shared" si="800"/>
        <v>0</v>
      </c>
      <c r="CL155">
        <f t="shared" si="801"/>
        <v>0</v>
      </c>
      <c r="CM155">
        <f t="shared" si="802"/>
        <v>0</v>
      </c>
      <c r="CN155">
        <f t="shared" si="803"/>
        <v>0</v>
      </c>
      <c r="CO155">
        <f t="shared" si="804"/>
        <v>0</v>
      </c>
      <c r="CP155">
        <f t="shared" si="805"/>
        <v>0</v>
      </c>
      <c r="CR155">
        <f t="shared" si="806"/>
        <v>0</v>
      </c>
      <c r="CS155">
        <f t="shared" si="807"/>
        <v>0</v>
      </c>
      <c r="CT155">
        <f t="shared" si="808"/>
        <v>0</v>
      </c>
      <c r="CU155">
        <f t="shared" si="809"/>
        <v>0</v>
      </c>
      <c r="CV155">
        <f t="shared" si="810"/>
        <v>0</v>
      </c>
      <c r="CW155">
        <f t="shared" si="811"/>
        <v>0</v>
      </c>
      <c r="CY155">
        <f t="shared" si="812"/>
        <v>0</v>
      </c>
      <c r="CZ155">
        <f t="shared" si="813"/>
        <v>0</v>
      </c>
      <c r="DA155">
        <f t="shared" si="814"/>
        <v>0</v>
      </c>
      <c r="DB155">
        <f t="shared" si="815"/>
        <v>0</v>
      </c>
      <c r="DC155">
        <f t="shared" si="816"/>
        <v>0</v>
      </c>
      <c r="DD155">
        <f t="shared" si="817"/>
        <v>0</v>
      </c>
      <c r="DF155" s="79">
        <f t="shared" si="818"/>
        <v>0</v>
      </c>
      <c r="DG155" s="79">
        <f t="shared" si="819"/>
        <v>0</v>
      </c>
      <c r="DH155">
        <f t="shared" si="820"/>
        <v>0</v>
      </c>
      <c r="DI155">
        <f t="shared" si="821"/>
        <v>1</v>
      </c>
      <c r="DK155" s="79">
        <f t="shared" si="822"/>
        <v>0</v>
      </c>
      <c r="DL155" s="79">
        <f t="shared" si="823"/>
        <v>0</v>
      </c>
      <c r="DM155">
        <f t="shared" si="824"/>
        <v>1</v>
      </c>
      <c r="DN155">
        <f t="shared" si="825"/>
        <v>0</v>
      </c>
      <c r="DP155" s="79">
        <f t="shared" si="826"/>
        <v>0</v>
      </c>
      <c r="DQ155" s="79">
        <f t="shared" si="827"/>
        <v>0</v>
      </c>
      <c r="DR155">
        <f t="shared" si="828"/>
        <v>0</v>
      </c>
      <c r="DS155">
        <f t="shared" si="829"/>
        <v>1</v>
      </c>
      <c r="DU155" s="79">
        <f t="shared" si="830"/>
        <v>0</v>
      </c>
      <c r="DV155" s="79">
        <f t="shared" si="831"/>
        <v>0</v>
      </c>
      <c r="DW155">
        <f t="shared" si="832"/>
        <v>0</v>
      </c>
      <c r="DX155">
        <f t="shared" si="833"/>
        <v>1</v>
      </c>
      <c r="DZ155" s="79">
        <f t="shared" si="834"/>
        <v>0</v>
      </c>
      <c r="EA155" s="79">
        <f t="shared" si="835"/>
        <v>0</v>
      </c>
      <c r="EB155">
        <f t="shared" si="836"/>
        <v>0</v>
      </c>
      <c r="EC155">
        <f t="shared" si="837"/>
        <v>1</v>
      </c>
    </row>
    <row r="156" spans="1:133">
      <c r="A156" s="164"/>
      <c r="B156" s="164"/>
      <c r="C156" s="164"/>
      <c r="D156" s="164"/>
      <c r="E156" s="164"/>
      <c r="F156" s="163"/>
      <c r="G156" s="164"/>
      <c r="H156" s="164"/>
      <c r="I156" s="164"/>
      <c r="J156" s="164"/>
      <c r="AH156" s="72">
        <f t="shared" si="748"/>
        <v>0</v>
      </c>
      <c r="AI156" s="72">
        <f t="shared" si="749"/>
        <v>0</v>
      </c>
      <c r="AJ156" s="72">
        <f t="shared" si="750"/>
        <v>0</v>
      </c>
      <c r="AK156" s="72">
        <f t="shared" si="751"/>
        <v>0</v>
      </c>
      <c r="AL156" s="72">
        <f t="shared" si="752"/>
        <v>0</v>
      </c>
      <c r="AM156" s="72">
        <f t="shared" si="753"/>
        <v>0</v>
      </c>
      <c r="AN156" s="72">
        <f t="shared" si="754"/>
        <v>0</v>
      </c>
      <c r="AO156" s="72">
        <f t="shared" si="755"/>
        <v>0</v>
      </c>
      <c r="AP156" s="72">
        <f t="shared" si="756"/>
        <v>0</v>
      </c>
      <c r="AQ156" s="72">
        <f t="shared" si="757"/>
        <v>0</v>
      </c>
      <c r="AR156" s="72">
        <f t="shared" si="758"/>
        <v>0</v>
      </c>
      <c r="AS156" s="72">
        <f t="shared" si="759"/>
        <v>0</v>
      </c>
      <c r="AT156" s="72">
        <f t="shared" si="760"/>
        <v>0</v>
      </c>
      <c r="AU156" s="72">
        <f t="shared" si="761"/>
        <v>0</v>
      </c>
      <c r="AV156" s="72">
        <f t="shared" si="762"/>
        <v>0</v>
      </c>
      <c r="AW156" s="72">
        <f t="shared" si="763"/>
        <v>0</v>
      </c>
      <c r="AX156" s="72">
        <f t="shared" si="764"/>
        <v>0</v>
      </c>
      <c r="AY156" s="72">
        <f t="shared" si="765"/>
        <v>0</v>
      </c>
      <c r="AZ156" s="72">
        <f t="shared" si="766"/>
        <v>0</v>
      </c>
      <c r="BA156" s="72">
        <f t="shared" si="767"/>
        <v>0</v>
      </c>
      <c r="BB156" s="72">
        <f t="shared" si="768"/>
        <v>0</v>
      </c>
      <c r="BC156" s="72">
        <f t="shared" si="769"/>
        <v>0</v>
      </c>
      <c r="BD156" s="72">
        <f t="shared" si="770"/>
        <v>0</v>
      </c>
      <c r="BE156" s="72">
        <f t="shared" si="771"/>
        <v>0</v>
      </c>
      <c r="BF156" s="72">
        <f t="shared" si="772"/>
        <v>0</v>
      </c>
      <c r="BG156" s="72">
        <f t="shared" si="773"/>
        <v>0</v>
      </c>
      <c r="BH156" s="72">
        <f t="shared" si="774"/>
        <v>0</v>
      </c>
      <c r="BI156" s="72">
        <f t="shared" si="775"/>
        <v>0</v>
      </c>
      <c r="BJ156" s="72">
        <f t="shared" si="776"/>
        <v>0</v>
      </c>
      <c r="BK156" s="72">
        <f t="shared" si="777"/>
        <v>0</v>
      </c>
      <c r="BL156" s="72">
        <f t="shared" si="778"/>
        <v>0</v>
      </c>
      <c r="BM156" s="72">
        <f t="shared" si="779"/>
        <v>0</v>
      </c>
      <c r="BN156" s="72">
        <f t="shared" si="780"/>
        <v>0</v>
      </c>
      <c r="BO156" s="72">
        <f t="shared" si="781"/>
        <v>0</v>
      </c>
      <c r="BP156" s="72">
        <f t="shared" si="782"/>
        <v>0</v>
      </c>
      <c r="BQ156" s="72">
        <f t="shared" si="783"/>
        <v>0</v>
      </c>
      <c r="BR156" s="72">
        <f t="shared" si="784"/>
        <v>0</v>
      </c>
      <c r="BS156" s="72">
        <f t="shared" si="785"/>
        <v>0</v>
      </c>
      <c r="BT156" s="72">
        <f t="shared" si="786"/>
        <v>0</v>
      </c>
      <c r="BU156" s="72">
        <f t="shared" si="787"/>
        <v>0</v>
      </c>
      <c r="BW156">
        <f t="shared" si="788"/>
        <v>0</v>
      </c>
      <c r="BX156">
        <f t="shared" si="789"/>
        <v>0</v>
      </c>
      <c r="BY156">
        <f t="shared" si="790"/>
        <v>0</v>
      </c>
      <c r="BZ156">
        <f t="shared" si="791"/>
        <v>0</v>
      </c>
      <c r="CA156">
        <f t="shared" si="792"/>
        <v>0</v>
      </c>
      <c r="CB156">
        <f t="shared" si="793"/>
        <v>0</v>
      </c>
      <c r="CD156">
        <f t="shared" si="794"/>
        <v>0</v>
      </c>
      <c r="CE156">
        <f t="shared" si="795"/>
        <v>0</v>
      </c>
      <c r="CF156">
        <f t="shared" si="796"/>
        <v>0</v>
      </c>
      <c r="CG156">
        <f t="shared" si="797"/>
        <v>0</v>
      </c>
      <c r="CH156">
        <f t="shared" si="798"/>
        <v>0</v>
      </c>
      <c r="CI156">
        <f t="shared" si="799"/>
        <v>0</v>
      </c>
      <c r="CK156">
        <f t="shared" si="800"/>
        <v>0</v>
      </c>
      <c r="CL156">
        <f t="shared" si="801"/>
        <v>0</v>
      </c>
      <c r="CM156">
        <f t="shared" si="802"/>
        <v>0</v>
      </c>
      <c r="CN156">
        <f t="shared" si="803"/>
        <v>0</v>
      </c>
      <c r="CO156">
        <f t="shared" si="804"/>
        <v>0</v>
      </c>
      <c r="CP156">
        <f t="shared" si="805"/>
        <v>0</v>
      </c>
      <c r="CR156">
        <f t="shared" si="806"/>
        <v>0</v>
      </c>
      <c r="CS156">
        <f t="shared" si="807"/>
        <v>0</v>
      </c>
      <c r="CT156">
        <f t="shared" si="808"/>
        <v>0</v>
      </c>
      <c r="CU156">
        <f t="shared" si="809"/>
        <v>0</v>
      </c>
      <c r="CV156">
        <f t="shared" si="810"/>
        <v>0</v>
      </c>
      <c r="CW156">
        <f t="shared" si="811"/>
        <v>0</v>
      </c>
      <c r="CY156">
        <f t="shared" si="812"/>
        <v>0</v>
      </c>
      <c r="CZ156">
        <f t="shared" si="813"/>
        <v>0</v>
      </c>
      <c r="DA156">
        <f t="shared" si="814"/>
        <v>0</v>
      </c>
      <c r="DB156">
        <f t="shared" si="815"/>
        <v>0</v>
      </c>
      <c r="DC156">
        <f t="shared" si="816"/>
        <v>0</v>
      </c>
      <c r="DD156">
        <f t="shared" si="817"/>
        <v>0</v>
      </c>
      <c r="DF156" s="79">
        <f t="shared" si="818"/>
        <v>0</v>
      </c>
      <c r="DG156" s="79">
        <f t="shared" si="819"/>
        <v>0</v>
      </c>
      <c r="DH156">
        <f t="shared" si="820"/>
        <v>0</v>
      </c>
      <c r="DI156">
        <f t="shared" si="821"/>
        <v>1</v>
      </c>
      <c r="DK156" s="79">
        <f t="shared" si="822"/>
        <v>0</v>
      </c>
      <c r="DL156" s="79">
        <f t="shared" si="823"/>
        <v>0</v>
      </c>
      <c r="DM156">
        <f t="shared" si="824"/>
        <v>1</v>
      </c>
      <c r="DN156">
        <f t="shared" si="825"/>
        <v>0</v>
      </c>
      <c r="DP156" s="79">
        <f t="shared" si="826"/>
        <v>0</v>
      </c>
      <c r="DQ156" s="79">
        <f t="shared" si="827"/>
        <v>0</v>
      </c>
      <c r="DR156">
        <f t="shared" si="828"/>
        <v>0</v>
      </c>
      <c r="DS156">
        <f t="shared" si="829"/>
        <v>1</v>
      </c>
      <c r="DU156" s="79">
        <f t="shared" si="830"/>
        <v>0</v>
      </c>
      <c r="DV156" s="79">
        <f t="shared" si="831"/>
        <v>0</v>
      </c>
      <c r="DW156">
        <f t="shared" si="832"/>
        <v>0</v>
      </c>
      <c r="DX156">
        <f t="shared" si="833"/>
        <v>1</v>
      </c>
      <c r="DZ156" s="79">
        <f t="shared" si="834"/>
        <v>0</v>
      </c>
      <c r="EA156" s="79">
        <f t="shared" si="835"/>
        <v>0</v>
      </c>
      <c r="EB156">
        <f t="shared" si="836"/>
        <v>0</v>
      </c>
      <c r="EC156">
        <f t="shared" si="837"/>
        <v>1</v>
      </c>
    </row>
    <row r="157" spans="1:133">
      <c r="A157" s="164"/>
      <c r="B157" s="164"/>
      <c r="C157" s="164"/>
      <c r="D157" s="164"/>
      <c r="E157" s="164"/>
      <c r="F157" s="163"/>
      <c r="G157" s="164"/>
      <c r="H157" s="164"/>
      <c r="I157" s="164"/>
      <c r="J157" s="164"/>
      <c r="AH157" s="72">
        <f t="shared" si="748"/>
        <v>0</v>
      </c>
      <c r="AI157" s="72">
        <f t="shared" si="749"/>
        <v>0</v>
      </c>
      <c r="AJ157" s="72">
        <f t="shared" si="750"/>
        <v>0</v>
      </c>
      <c r="AK157" s="72">
        <f t="shared" si="751"/>
        <v>0</v>
      </c>
      <c r="AL157" s="72">
        <f t="shared" si="752"/>
        <v>0</v>
      </c>
      <c r="AM157" s="72">
        <f t="shared" si="753"/>
        <v>0</v>
      </c>
      <c r="AN157" s="72">
        <f t="shared" si="754"/>
        <v>0</v>
      </c>
      <c r="AO157" s="72">
        <f t="shared" si="755"/>
        <v>0</v>
      </c>
      <c r="AP157" s="72">
        <f t="shared" si="756"/>
        <v>0</v>
      </c>
      <c r="AQ157" s="72">
        <f t="shared" si="757"/>
        <v>0</v>
      </c>
      <c r="AR157" s="72">
        <f t="shared" si="758"/>
        <v>0</v>
      </c>
      <c r="AS157" s="72">
        <f t="shared" si="759"/>
        <v>0</v>
      </c>
      <c r="AT157" s="72">
        <f t="shared" si="760"/>
        <v>0</v>
      </c>
      <c r="AU157" s="72">
        <f t="shared" si="761"/>
        <v>0</v>
      </c>
      <c r="AV157" s="72">
        <f t="shared" si="762"/>
        <v>0</v>
      </c>
      <c r="AW157" s="72">
        <f t="shared" si="763"/>
        <v>0</v>
      </c>
      <c r="AX157" s="72">
        <f t="shared" si="764"/>
        <v>0</v>
      </c>
      <c r="AY157" s="72">
        <f t="shared" si="765"/>
        <v>0</v>
      </c>
      <c r="AZ157" s="72">
        <f t="shared" si="766"/>
        <v>0</v>
      </c>
      <c r="BA157" s="72">
        <f t="shared" si="767"/>
        <v>0</v>
      </c>
      <c r="BB157" s="72">
        <f t="shared" si="768"/>
        <v>0</v>
      </c>
      <c r="BC157" s="72">
        <f t="shared" si="769"/>
        <v>0</v>
      </c>
      <c r="BD157" s="72">
        <f t="shared" si="770"/>
        <v>0</v>
      </c>
      <c r="BE157" s="72">
        <f t="shared" si="771"/>
        <v>0</v>
      </c>
      <c r="BF157" s="72">
        <f t="shared" si="772"/>
        <v>0</v>
      </c>
      <c r="BG157" s="72">
        <f t="shared" si="773"/>
        <v>0</v>
      </c>
      <c r="BH157" s="72">
        <f t="shared" si="774"/>
        <v>0</v>
      </c>
      <c r="BI157" s="72">
        <f t="shared" si="775"/>
        <v>0</v>
      </c>
      <c r="BJ157" s="72">
        <f t="shared" si="776"/>
        <v>0</v>
      </c>
      <c r="BK157" s="72">
        <f t="shared" si="777"/>
        <v>0</v>
      </c>
      <c r="BL157" s="72">
        <f t="shared" si="778"/>
        <v>0</v>
      </c>
      <c r="BM157" s="72">
        <f t="shared" si="779"/>
        <v>0</v>
      </c>
      <c r="BN157" s="72">
        <f t="shared" si="780"/>
        <v>0</v>
      </c>
      <c r="BO157" s="72">
        <f t="shared" si="781"/>
        <v>0</v>
      </c>
      <c r="BP157" s="72">
        <f t="shared" si="782"/>
        <v>0</v>
      </c>
      <c r="BQ157" s="72">
        <f t="shared" si="783"/>
        <v>0</v>
      </c>
      <c r="BR157" s="72">
        <f t="shared" si="784"/>
        <v>0</v>
      </c>
      <c r="BS157" s="72">
        <f t="shared" si="785"/>
        <v>0</v>
      </c>
      <c r="BT157" s="72">
        <f t="shared" si="786"/>
        <v>0</v>
      </c>
      <c r="BU157" s="72">
        <f t="shared" si="787"/>
        <v>0</v>
      </c>
      <c r="BW157">
        <f t="shared" si="788"/>
        <v>0</v>
      </c>
      <c r="BX157">
        <f t="shared" si="789"/>
        <v>0</v>
      </c>
      <c r="BY157">
        <f t="shared" si="790"/>
        <v>0</v>
      </c>
      <c r="BZ157">
        <f t="shared" si="791"/>
        <v>0</v>
      </c>
      <c r="CA157">
        <f t="shared" si="792"/>
        <v>0</v>
      </c>
      <c r="CB157">
        <f t="shared" si="793"/>
        <v>0</v>
      </c>
      <c r="CD157">
        <f t="shared" si="794"/>
        <v>0</v>
      </c>
      <c r="CE157">
        <f t="shared" si="795"/>
        <v>0</v>
      </c>
      <c r="CF157">
        <f t="shared" si="796"/>
        <v>0</v>
      </c>
      <c r="CG157">
        <f t="shared" si="797"/>
        <v>0</v>
      </c>
      <c r="CH157">
        <f t="shared" si="798"/>
        <v>0</v>
      </c>
      <c r="CI157">
        <f t="shared" si="799"/>
        <v>0</v>
      </c>
      <c r="CK157">
        <f t="shared" si="800"/>
        <v>0</v>
      </c>
      <c r="CL157">
        <f t="shared" si="801"/>
        <v>0</v>
      </c>
      <c r="CM157">
        <f t="shared" si="802"/>
        <v>0</v>
      </c>
      <c r="CN157">
        <f t="shared" si="803"/>
        <v>0</v>
      </c>
      <c r="CO157">
        <f t="shared" si="804"/>
        <v>0</v>
      </c>
      <c r="CP157">
        <f t="shared" si="805"/>
        <v>0</v>
      </c>
      <c r="CR157">
        <f t="shared" si="806"/>
        <v>0</v>
      </c>
      <c r="CS157">
        <f t="shared" si="807"/>
        <v>0</v>
      </c>
      <c r="CT157">
        <f t="shared" si="808"/>
        <v>0</v>
      </c>
      <c r="CU157">
        <f t="shared" si="809"/>
        <v>0</v>
      </c>
      <c r="CV157">
        <f t="shared" si="810"/>
        <v>0</v>
      </c>
      <c r="CW157">
        <f t="shared" si="811"/>
        <v>0</v>
      </c>
      <c r="CY157">
        <f t="shared" si="812"/>
        <v>0</v>
      </c>
      <c r="CZ157">
        <f t="shared" si="813"/>
        <v>0</v>
      </c>
      <c r="DA157">
        <f t="shared" si="814"/>
        <v>0</v>
      </c>
      <c r="DB157">
        <f t="shared" si="815"/>
        <v>0</v>
      </c>
      <c r="DC157">
        <f t="shared" si="816"/>
        <v>0</v>
      </c>
      <c r="DD157">
        <f t="shared" si="817"/>
        <v>0</v>
      </c>
      <c r="DF157" s="79">
        <f t="shared" si="818"/>
        <v>0</v>
      </c>
      <c r="DG157" s="79">
        <f t="shared" si="819"/>
        <v>0</v>
      </c>
      <c r="DH157">
        <f t="shared" si="820"/>
        <v>0</v>
      </c>
      <c r="DI157">
        <f t="shared" si="821"/>
        <v>1</v>
      </c>
      <c r="DK157" s="79">
        <f t="shared" si="822"/>
        <v>0</v>
      </c>
      <c r="DL157" s="79">
        <f t="shared" si="823"/>
        <v>0</v>
      </c>
      <c r="DM157">
        <f t="shared" si="824"/>
        <v>1</v>
      </c>
      <c r="DN157">
        <f t="shared" si="825"/>
        <v>0</v>
      </c>
      <c r="DP157" s="79">
        <f t="shared" si="826"/>
        <v>0</v>
      </c>
      <c r="DQ157" s="79">
        <f t="shared" si="827"/>
        <v>0</v>
      </c>
      <c r="DR157">
        <f t="shared" si="828"/>
        <v>0</v>
      </c>
      <c r="DS157">
        <f t="shared" si="829"/>
        <v>1</v>
      </c>
      <c r="DU157" s="79">
        <f t="shared" si="830"/>
        <v>0</v>
      </c>
      <c r="DV157" s="79">
        <f t="shared" si="831"/>
        <v>0</v>
      </c>
      <c r="DW157">
        <f t="shared" si="832"/>
        <v>0</v>
      </c>
      <c r="DX157">
        <f t="shared" si="833"/>
        <v>1</v>
      </c>
      <c r="DZ157" s="79">
        <f t="shared" si="834"/>
        <v>0</v>
      </c>
      <c r="EA157" s="79">
        <f t="shared" si="835"/>
        <v>0</v>
      </c>
      <c r="EB157">
        <f t="shared" si="836"/>
        <v>0</v>
      </c>
      <c r="EC157">
        <f t="shared" si="837"/>
        <v>1</v>
      </c>
    </row>
    <row r="158" spans="1:133">
      <c r="A158" s="164"/>
      <c r="B158" s="164"/>
      <c r="C158" s="164"/>
      <c r="D158" s="164"/>
      <c r="E158" s="164"/>
      <c r="F158" s="163"/>
      <c r="G158" s="164"/>
      <c r="H158" s="164"/>
      <c r="I158" s="164"/>
      <c r="J158" s="164"/>
      <c r="AH158" s="72">
        <f t="shared" si="748"/>
        <v>0</v>
      </c>
      <c r="AI158" s="72">
        <f t="shared" si="749"/>
        <v>0</v>
      </c>
      <c r="AJ158" s="72">
        <f t="shared" si="750"/>
        <v>0</v>
      </c>
      <c r="AK158" s="72">
        <f t="shared" si="751"/>
        <v>0</v>
      </c>
      <c r="AL158" s="72">
        <f t="shared" si="752"/>
        <v>0</v>
      </c>
      <c r="AM158" s="72">
        <f t="shared" si="753"/>
        <v>0</v>
      </c>
      <c r="AN158" s="72">
        <f t="shared" si="754"/>
        <v>0</v>
      </c>
      <c r="AO158" s="72">
        <f t="shared" si="755"/>
        <v>0</v>
      </c>
      <c r="AP158" s="72">
        <f t="shared" si="756"/>
        <v>0</v>
      </c>
      <c r="AQ158" s="72">
        <f t="shared" si="757"/>
        <v>0</v>
      </c>
      <c r="AR158" s="72">
        <f t="shared" si="758"/>
        <v>0</v>
      </c>
      <c r="AS158" s="72">
        <f t="shared" si="759"/>
        <v>0</v>
      </c>
      <c r="AT158" s="72">
        <f t="shared" si="760"/>
        <v>0</v>
      </c>
      <c r="AU158" s="72">
        <f t="shared" si="761"/>
        <v>0</v>
      </c>
      <c r="AV158" s="72">
        <f t="shared" si="762"/>
        <v>0</v>
      </c>
      <c r="AW158" s="72">
        <f t="shared" si="763"/>
        <v>0</v>
      </c>
      <c r="AX158" s="72">
        <f t="shared" si="764"/>
        <v>0</v>
      </c>
      <c r="AY158" s="72">
        <f t="shared" si="765"/>
        <v>0</v>
      </c>
      <c r="AZ158" s="72">
        <f t="shared" si="766"/>
        <v>0</v>
      </c>
      <c r="BA158" s="72">
        <f t="shared" si="767"/>
        <v>0</v>
      </c>
      <c r="BB158" s="72">
        <f t="shared" si="768"/>
        <v>0</v>
      </c>
      <c r="BC158" s="72">
        <f t="shared" si="769"/>
        <v>0</v>
      </c>
      <c r="BD158" s="72">
        <f t="shared" si="770"/>
        <v>0</v>
      </c>
      <c r="BE158" s="72">
        <f t="shared" si="771"/>
        <v>0</v>
      </c>
      <c r="BF158" s="72">
        <f t="shared" si="772"/>
        <v>0</v>
      </c>
      <c r="BG158" s="72">
        <f t="shared" si="773"/>
        <v>0</v>
      </c>
      <c r="BH158" s="72">
        <f t="shared" si="774"/>
        <v>0</v>
      </c>
      <c r="BI158" s="72">
        <f t="shared" si="775"/>
        <v>0</v>
      </c>
      <c r="BJ158" s="72">
        <f t="shared" si="776"/>
        <v>0</v>
      </c>
      <c r="BK158" s="72">
        <f t="shared" si="777"/>
        <v>0</v>
      </c>
      <c r="BL158" s="72">
        <f t="shared" si="778"/>
        <v>0</v>
      </c>
      <c r="BM158" s="72">
        <f t="shared" si="779"/>
        <v>0</v>
      </c>
      <c r="BN158" s="72">
        <f t="shared" si="780"/>
        <v>0</v>
      </c>
      <c r="BO158" s="72">
        <f t="shared" si="781"/>
        <v>0</v>
      </c>
      <c r="BP158" s="72">
        <f t="shared" si="782"/>
        <v>0</v>
      </c>
      <c r="BQ158" s="72">
        <f t="shared" si="783"/>
        <v>0</v>
      </c>
      <c r="BR158" s="72">
        <f t="shared" si="784"/>
        <v>0</v>
      </c>
      <c r="BS158" s="72">
        <f t="shared" si="785"/>
        <v>0</v>
      </c>
      <c r="BT158" s="72">
        <f t="shared" si="786"/>
        <v>0</v>
      </c>
      <c r="BU158" s="72">
        <f t="shared" si="787"/>
        <v>0</v>
      </c>
      <c r="BW158">
        <f t="shared" si="788"/>
        <v>0</v>
      </c>
      <c r="BX158">
        <f t="shared" si="789"/>
        <v>0</v>
      </c>
      <c r="BY158">
        <f t="shared" si="790"/>
        <v>0</v>
      </c>
      <c r="BZ158">
        <f t="shared" si="791"/>
        <v>0</v>
      </c>
      <c r="CA158">
        <f t="shared" si="792"/>
        <v>0</v>
      </c>
      <c r="CB158">
        <f t="shared" si="793"/>
        <v>0</v>
      </c>
      <c r="CD158">
        <f t="shared" si="794"/>
        <v>0</v>
      </c>
      <c r="CE158">
        <f t="shared" si="795"/>
        <v>0</v>
      </c>
      <c r="CF158">
        <f t="shared" si="796"/>
        <v>0</v>
      </c>
      <c r="CG158">
        <f t="shared" si="797"/>
        <v>0</v>
      </c>
      <c r="CH158">
        <f t="shared" si="798"/>
        <v>0</v>
      </c>
      <c r="CI158">
        <f t="shared" si="799"/>
        <v>0</v>
      </c>
      <c r="CK158">
        <f t="shared" si="800"/>
        <v>0</v>
      </c>
      <c r="CL158">
        <f t="shared" si="801"/>
        <v>0</v>
      </c>
      <c r="CM158">
        <f t="shared" si="802"/>
        <v>0</v>
      </c>
      <c r="CN158">
        <f t="shared" si="803"/>
        <v>0</v>
      </c>
      <c r="CO158">
        <f t="shared" si="804"/>
        <v>0</v>
      </c>
      <c r="CP158">
        <f t="shared" si="805"/>
        <v>0</v>
      </c>
      <c r="CR158">
        <f t="shared" si="806"/>
        <v>0</v>
      </c>
      <c r="CS158">
        <f t="shared" si="807"/>
        <v>0</v>
      </c>
      <c r="CT158">
        <f t="shared" si="808"/>
        <v>0</v>
      </c>
      <c r="CU158">
        <f t="shared" si="809"/>
        <v>0</v>
      </c>
      <c r="CV158">
        <f t="shared" si="810"/>
        <v>0</v>
      </c>
      <c r="CW158">
        <f t="shared" si="811"/>
        <v>0</v>
      </c>
      <c r="CY158">
        <f t="shared" si="812"/>
        <v>0</v>
      </c>
      <c r="CZ158">
        <f t="shared" si="813"/>
        <v>0</v>
      </c>
      <c r="DA158">
        <f t="shared" si="814"/>
        <v>0</v>
      </c>
      <c r="DB158">
        <f t="shared" si="815"/>
        <v>0</v>
      </c>
      <c r="DC158">
        <f t="shared" si="816"/>
        <v>0</v>
      </c>
      <c r="DD158">
        <f t="shared" si="817"/>
        <v>0</v>
      </c>
      <c r="DF158" s="79">
        <f t="shared" si="818"/>
        <v>0</v>
      </c>
      <c r="DG158" s="79">
        <f t="shared" si="819"/>
        <v>0</v>
      </c>
      <c r="DH158">
        <f t="shared" si="820"/>
        <v>0</v>
      </c>
      <c r="DI158">
        <f t="shared" si="821"/>
        <v>1</v>
      </c>
      <c r="DK158" s="79">
        <f t="shared" si="822"/>
        <v>0</v>
      </c>
      <c r="DL158" s="79">
        <f t="shared" si="823"/>
        <v>0</v>
      </c>
      <c r="DM158">
        <f t="shared" si="824"/>
        <v>1</v>
      </c>
      <c r="DN158">
        <f t="shared" si="825"/>
        <v>0</v>
      </c>
      <c r="DP158" s="79">
        <f t="shared" si="826"/>
        <v>0</v>
      </c>
      <c r="DQ158" s="79">
        <f t="shared" si="827"/>
        <v>0</v>
      </c>
      <c r="DR158">
        <f t="shared" si="828"/>
        <v>0</v>
      </c>
      <c r="DS158">
        <f t="shared" si="829"/>
        <v>1</v>
      </c>
      <c r="DU158" s="79">
        <f t="shared" si="830"/>
        <v>0</v>
      </c>
      <c r="DV158" s="79">
        <f t="shared" si="831"/>
        <v>0</v>
      </c>
      <c r="DW158">
        <f t="shared" si="832"/>
        <v>0</v>
      </c>
      <c r="DX158">
        <f t="shared" si="833"/>
        <v>1</v>
      </c>
      <c r="DZ158" s="79">
        <f t="shared" si="834"/>
        <v>0</v>
      </c>
      <c r="EA158" s="79">
        <f t="shared" si="835"/>
        <v>0</v>
      </c>
      <c r="EB158">
        <f t="shared" si="836"/>
        <v>0</v>
      </c>
      <c r="EC158">
        <f t="shared" si="837"/>
        <v>1</v>
      </c>
    </row>
    <row r="159" spans="1:133">
      <c r="A159" s="164"/>
      <c r="B159" s="164"/>
      <c r="C159" s="164"/>
      <c r="D159" s="164"/>
      <c r="E159" s="164"/>
      <c r="F159" s="163"/>
      <c r="G159" s="164"/>
      <c r="H159" s="164"/>
      <c r="I159" s="164"/>
      <c r="J159" s="164"/>
      <c r="AH159" s="72">
        <f t="shared" si="748"/>
        <v>0</v>
      </c>
      <c r="AI159" s="72">
        <f t="shared" si="749"/>
        <v>0</v>
      </c>
      <c r="AJ159" s="72">
        <f t="shared" si="750"/>
        <v>0</v>
      </c>
      <c r="AK159" s="72">
        <f t="shared" si="751"/>
        <v>0</v>
      </c>
      <c r="AL159" s="72">
        <f t="shared" si="752"/>
        <v>0</v>
      </c>
      <c r="AM159" s="72">
        <f t="shared" si="753"/>
        <v>0</v>
      </c>
      <c r="AN159" s="72">
        <f t="shared" si="754"/>
        <v>0</v>
      </c>
      <c r="AO159" s="72">
        <f t="shared" si="755"/>
        <v>0</v>
      </c>
      <c r="AP159" s="72">
        <f t="shared" si="756"/>
        <v>0</v>
      </c>
      <c r="AQ159" s="72">
        <f t="shared" si="757"/>
        <v>0</v>
      </c>
      <c r="AR159" s="72">
        <f t="shared" si="758"/>
        <v>0</v>
      </c>
      <c r="AS159" s="72">
        <f t="shared" si="759"/>
        <v>0</v>
      </c>
      <c r="AT159" s="72">
        <f t="shared" si="760"/>
        <v>0</v>
      </c>
      <c r="AU159" s="72">
        <f t="shared" si="761"/>
        <v>0</v>
      </c>
      <c r="AV159" s="72">
        <f t="shared" si="762"/>
        <v>0</v>
      </c>
      <c r="AW159" s="72">
        <f t="shared" si="763"/>
        <v>0</v>
      </c>
      <c r="AX159" s="72">
        <f t="shared" si="764"/>
        <v>0</v>
      </c>
      <c r="AY159" s="72">
        <f t="shared" si="765"/>
        <v>0</v>
      </c>
      <c r="AZ159" s="72">
        <f t="shared" si="766"/>
        <v>0</v>
      </c>
      <c r="BA159" s="72">
        <f t="shared" si="767"/>
        <v>0</v>
      </c>
      <c r="BB159" s="72">
        <f t="shared" si="768"/>
        <v>0</v>
      </c>
      <c r="BC159" s="72">
        <f t="shared" si="769"/>
        <v>0</v>
      </c>
      <c r="BD159" s="72">
        <f t="shared" si="770"/>
        <v>0</v>
      </c>
      <c r="BE159" s="72">
        <f t="shared" si="771"/>
        <v>0</v>
      </c>
      <c r="BF159" s="72">
        <f t="shared" si="772"/>
        <v>0</v>
      </c>
      <c r="BG159" s="72">
        <f t="shared" si="773"/>
        <v>0</v>
      </c>
      <c r="BH159" s="72">
        <f t="shared" si="774"/>
        <v>0</v>
      </c>
      <c r="BI159" s="72">
        <f t="shared" si="775"/>
        <v>0</v>
      </c>
      <c r="BJ159" s="72">
        <f t="shared" si="776"/>
        <v>0</v>
      </c>
      <c r="BK159" s="72">
        <f t="shared" si="777"/>
        <v>0</v>
      </c>
      <c r="BL159" s="72">
        <f t="shared" si="778"/>
        <v>0</v>
      </c>
      <c r="BM159" s="72">
        <f t="shared" si="779"/>
        <v>0</v>
      </c>
      <c r="BN159" s="72">
        <f t="shared" si="780"/>
        <v>0</v>
      </c>
      <c r="BO159" s="72">
        <f t="shared" si="781"/>
        <v>0</v>
      </c>
      <c r="BP159" s="72">
        <f t="shared" si="782"/>
        <v>0</v>
      </c>
      <c r="BQ159" s="72">
        <f t="shared" si="783"/>
        <v>0</v>
      </c>
      <c r="BR159" s="72">
        <f t="shared" si="784"/>
        <v>0</v>
      </c>
      <c r="BS159" s="72">
        <f t="shared" si="785"/>
        <v>0</v>
      </c>
      <c r="BT159" s="72">
        <f t="shared" si="786"/>
        <v>0</v>
      </c>
      <c r="BU159" s="72">
        <f t="shared" si="787"/>
        <v>0</v>
      </c>
      <c r="BW159">
        <f t="shared" si="788"/>
        <v>0</v>
      </c>
      <c r="BX159">
        <f t="shared" si="789"/>
        <v>0</v>
      </c>
      <c r="BY159">
        <f t="shared" si="790"/>
        <v>0</v>
      </c>
      <c r="BZ159">
        <f t="shared" si="791"/>
        <v>0</v>
      </c>
      <c r="CA159">
        <f t="shared" si="792"/>
        <v>0</v>
      </c>
      <c r="CB159">
        <f t="shared" si="793"/>
        <v>0</v>
      </c>
      <c r="CD159">
        <f t="shared" si="794"/>
        <v>0</v>
      </c>
      <c r="CE159">
        <f t="shared" si="795"/>
        <v>0</v>
      </c>
      <c r="CF159">
        <f t="shared" si="796"/>
        <v>0</v>
      </c>
      <c r="CG159">
        <f t="shared" si="797"/>
        <v>0</v>
      </c>
      <c r="CH159">
        <f t="shared" si="798"/>
        <v>0</v>
      </c>
      <c r="CI159">
        <f t="shared" si="799"/>
        <v>0</v>
      </c>
      <c r="CK159">
        <f t="shared" si="800"/>
        <v>0</v>
      </c>
      <c r="CL159">
        <f t="shared" si="801"/>
        <v>0</v>
      </c>
      <c r="CM159">
        <f t="shared" si="802"/>
        <v>0</v>
      </c>
      <c r="CN159">
        <f t="shared" si="803"/>
        <v>0</v>
      </c>
      <c r="CO159">
        <f t="shared" si="804"/>
        <v>0</v>
      </c>
      <c r="CP159">
        <f t="shared" si="805"/>
        <v>0</v>
      </c>
      <c r="CR159">
        <f t="shared" si="806"/>
        <v>0</v>
      </c>
      <c r="CS159">
        <f t="shared" si="807"/>
        <v>0</v>
      </c>
      <c r="CT159">
        <f t="shared" si="808"/>
        <v>0</v>
      </c>
      <c r="CU159">
        <f t="shared" si="809"/>
        <v>0</v>
      </c>
      <c r="CV159">
        <f t="shared" si="810"/>
        <v>0</v>
      </c>
      <c r="CW159">
        <f t="shared" si="811"/>
        <v>0</v>
      </c>
      <c r="CY159">
        <f t="shared" si="812"/>
        <v>0</v>
      </c>
      <c r="CZ159">
        <f t="shared" si="813"/>
        <v>0</v>
      </c>
      <c r="DA159">
        <f t="shared" si="814"/>
        <v>0</v>
      </c>
      <c r="DB159">
        <f t="shared" si="815"/>
        <v>0</v>
      </c>
      <c r="DC159">
        <f t="shared" si="816"/>
        <v>0</v>
      </c>
      <c r="DD159">
        <f t="shared" si="817"/>
        <v>0</v>
      </c>
      <c r="DF159" s="79">
        <f t="shared" si="818"/>
        <v>0</v>
      </c>
      <c r="DG159" s="79">
        <f t="shared" si="819"/>
        <v>0</v>
      </c>
      <c r="DH159">
        <f t="shared" si="820"/>
        <v>0</v>
      </c>
      <c r="DI159">
        <f t="shared" si="821"/>
        <v>1</v>
      </c>
      <c r="DK159" s="79">
        <f t="shared" si="822"/>
        <v>0</v>
      </c>
      <c r="DL159" s="79">
        <f t="shared" si="823"/>
        <v>0</v>
      </c>
      <c r="DM159">
        <f t="shared" si="824"/>
        <v>1</v>
      </c>
      <c r="DN159">
        <f t="shared" si="825"/>
        <v>0</v>
      </c>
      <c r="DP159" s="79">
        <f t="shared" si="826"/>
        <v>0</v>
      </c>
      <c r="DQ159" s="79">
        <f t="shared" si="827"/>
        <v>0</v>
      </c>
      <c r="DR159">
        <f t="shared" si="828"/>
        <v>0</v>
      </c>
      <c r="DS159">
        <f t="shared" si="829"/>
        <v>1</v>
      </c>
      <c r="DU159" s="79">
        <f t="shared" si="830"/>
        <v>0</v>
      </c>
      <c r="DV159" s="79">
        <f t="shared" si="831"/>
        <v>0</v>
      </c>
      <c r="DW159">
        <f t="shared" si="832"/>
        <v>0</v>
      </c>
      <c r="DX159">
        <f t="shared" si="833"/>
        <v>1</v>
      </c>
      <c r="DZ159" s="79">
        <f t="shared" si="834"/>
        <v>0</v>
      </c>
      <c r="EA159" s="79">
        <f t="shared" si="835"/>
        <v>0</v>
      </c>
      <c r="EB159">
        <f t="shared" si="836"/>
        <v>0</v>
      </c>
      <c r="EC159">
        <f t="shared" si="837"/>
        <v>1</v>
      </c>
    </row>
    <row r="160" spans="1:133">
      <c r="A160" s="164"/>
      <c r="B160" s="164"/>
      <c r="C160" s="164"/>
      <c r="D160" s="164"/>
      <c r="E160" s="164"/>
      <c r="F160" s="163"/>
      <c r="G160" s="164"/>
      <c r="H160" s="164"/>
      <c r="I160" s="164"/>
      <c r="J160" s="164"/>
      <c r="AH160" s="72">
        <f t="shared" si="748"/>
        <v>0</v>
      </c>
      <c r="AI160" s="72">
        <f t="shared" si="749"/>
        <v>0</v>
      </c>
      <c r="AJ160" s="72">
        <f t="shared" si="750"/>
        <v>0</v>
      </c>
      <c r="AK160" s="72">
        <f t="shared" si="751"/>
        <v>0</v>
      </c>
      <c r="AL160" s="72">
        <f t="shared" si="752"/>
        <v>0</v>
      </c>
      <c r="AM160" s="72">
        <f t="shared" si="753"/>
        <v>0</v>
      </c>
      <c r="AN160" s="72">
        <f t="shared" si="754"/>
        <v>0</v>
      </c>
      <c r="AO160" s="72">
        <f t="shared" si="755"/>
        <v>0</v>
      </c>
      <c r="AP160" s="72">
        <f t="shared" si="756"/>
        <v>0</v>
      </c>
      <c r="AQ160" s="72">
        <f t="shared" si="757"/>
        <v>0</v>
      </c>
      <c r="AR160" s="72">
        <f t="shared" si="758"/>
        <v>0</v>
      </c>
      <c r="AS160" s="72">
        <f t="shared" si="759"/>
        <v>0</v>
      </c>
      <c r="AT160" s="72">
        <f t="shared" si="760"/>
        <v>0</v>
      </c>
      <c r="AU160" s="72">
        <f t="shared" si="761"/>
        <v>0</v>
      </c>
      <c r="AV160" s="72">
        <f t="shared" si="762"/>
        <v>0</v>
      </c>
      <c r="AW160" s="72">
        <f t="shared" si="763"/>
        <v>0</v>
      </c>
      <c r="AX160" s="72">
        <f t="shared" si="764"/>
        <v>0</v>
      </c>
      <c r="AY160" s="72">
        <f t="shared" si="765"/>
        <v>0</v>
      </c>
      <c r="AZ160" s="72">
        <f t="shared" si="766"/>
        <v>0</v>
      </c>
      <c r="BA160" s="72">
        <f t="shared" si="767"/>
        <v>0</v>
      </c>
      <c r="BB160" s="72">
        <f t="shared" si="768"/>
        <v>0</v>
      </c>
      <c r="BC160" s="72">
        <f t="shared" si="769"/>
        <v>0</v>
      </c>
      <c r="BD160" s="72">
        <f t="shared" si="770"/>
        <v>0</v>
      </c>
      <c r="BE160" s="72">
        <f t="shared" si="771"/>
        <v>0</v>
      </c>
      <c r="BF160" s="72">
        <f t="shared" si="772"/>
        <v>0</v>
      </c>
      <c r="BG160" s="72">
        <f t="shared" si="773"/>
        <v>0</v>
      </c>
      <c r="BH160" s="72">
        <f t="shared" si="774"/>
        <v>0</v>
      </c>
      <c r="BI160" s="72">
        <f t="shared" si="775"/>
        <v>0</v>
      </c>
      <c r="BJ160" s="72">
        <f t="shared" si="776"/>
        <v>0</v>
      </c>
      <c r="BK160" s="72">
        <f t="shared" si="777"/>
        <v>0</v>
      </c>
      <c r="BL160" s="72">
        <f t="shared" si="778"/>
        <v>0</v>
      </c>
      <c r="BM160" s="72">
        <f t="shared" si="779"/>
        <v>0</v>
      </c>
      <c r="BN160" s="72">
        <f t="shared" si="780"/>
        <v>0</v>
      </c>
      <c r="BO160" s="72">
        <f t="shared" si="781"/>
        <v>0</v>
      </c>
      <c r="BP160" s="72">
        <f t="shared" si="782"/>
        <v>0</v>
      </c>
      <c r="BQ160" s="72">
        <f t="shared" si="783"/>
        <v>0</v>
      </c>
      <c r="BR160" s="72">
        <f t="shared" si="784"/>
        <v>0</v>
      </c>
      <c r="BS160" s="72">
        <f t="shared" si="785"/>
        <v>0</v>
      </c>
      <c r="BT160" s="72">
        <f t="shared" si="786"/>
        <v>0</v>
      </c>
      <c r="BU160" s="72">
        <f t="shared" si="787"/>
        <v>0</v>
      </c>
      <c r="BW160">
        <f t="shared" si="788"/>
        <v>0</v>
      </c>
      <c r="BX160">
        <f t="shared" si="789"/>
        <v>0</v>
      </c>
      <c r="BY160">
        <f t="shared" si="790"/>
        <v>0</v>
      </c>
      <c r="BZ160">
        <f t="shared" si="791"/>
        <v>0</v>
      </c>
      <c r="CA160">
        <f t="shared" si="792"/>
        <v>0</v>
      </c>
      <c r="CB160">
        <f t="shared" si="793"/>
        <v>0</v>
      </c>
      <c r="CD160">
        <f t="shared" si="794"/>
        <v>0</v>
      </c>
      <c r="CE160">
        <f t="shared" si="795"/>
        <v>0</v>
      </c>
      <c r="CF160">
        <f t="shared" si="796"/>
        <v>0</v>
      </c>
      <c r="CG160">
        <f t="shared" si="797"/>
        <v>0</v>
      </c>
      <c r="CH160">
        <f t="shared" si="798"/>
        <v>0</v>
      </c>
      <c r="CI160">
        <f t="shared" si="799"/>
        <v>0</v>
      </c>
      <c r="CK160">
        <f t="shared" si="800"/>
        <v>0</v>
      </c>
      <c r="CL160">
        <f t="shared" si="801"/>
        <v>0</v>
      </c>
      <c r="CM160">
        <f t="shared" si="802"/>
        <v>0</v>
      </c>
      <c r="CN160">
        <f t="shared" si="803"/>
        <v>0</v>
      </c>
      <c r="CO160">
        <f t="shared" si="804"/>
        <v>0</v>
      </c>
      <c r="CP160">
        <f t="shared" si="805"/>
        <v>0</v>
      </c>
      <c r="CR160">
        <f t="shared" si="806"/>
        <v>0</v>
      </c>
      <c r="CS160">
        <f t="shared" si="807"/>
        <v>0</v>
      </c>
      <c r="CT160">
        <f t="shared" si="808"/>
        <v>0</v>
      </c>
      <c r="CU160">
        <f t="shared" si="809"/>
        <v>0</v>
      </c>
      <c r="CV160">
        <f t="shared" si="810"/>
        <v>0</v>
      </c>
      <c r="CW160">
        <f t="shared" si="811"/>
        <v>0</v>
      </c>
      <c r="CY160">
        <f t="shared" si="812"/>
        <v>0</v>
      </c>
      <c r="CZ160">
        <f t="shared" si="813"/>
        <v>0</v>
      </c>
      <c r="DA160">
        <f t="shared" si="814"/>
        <v>0</v>
      </c>
      <c r="DB160">
        <f t="shared" si="815"/>
        <v>0</v>
      </c>
      <c r="DC160">
        <f t="shared" si="816"/>
        <v>0</v>
      </c>
      <c r="DD160">
        <f t="shared" si="817"/>
        <v>0</v>
      </c>
      <c r="DF160" s="79">
        <f t="shared" si="818"/>
        <v>0</v>
      </c>
      <c r="DG160" s="79">
        <f t="shared" si="819"/>
        <v>0</v>
      </c>
      <c r="DH160">
        <f t="shared" si="820"/>
        <v>0</v>
      </c>
      <c r="DI160">
        <f t="shared" si="821"/>
        <v>1</v>
      </c>
      <c r="DK160" s="79">
        <f t="shared" si="822"/>
        <v>0</v>
      </c>
      <c r="DL160" s="79">
        <f t="shared" si="823"/>
        <v>0</v>
      </c>
      <c r="DM160">
        <f t="shared" si="824"/>
        <v>1</v>
      </c>
      <c r="DN160">
        <f t="shared" si="825"/>
        <v>0</v>
      </c>
      <c r="DP160" s="79">
        <f t="shared" si="826"/>
        <v>0</v>
      </c>
      <c r="DQ160" s="79">
        <f t="shared" si="827"/>
        <v>0</v>
      </c>
      <c r="DR160">
        <f t="shared" si="828"/>
        <v>0</v>
      </c>
      <c r="DS160">
        <f t="shared" si="829"/>
        <v>1</v>
      </c>
      <c r="DU160" s="79">
        <f t="shared" si="830"/>
        <v>0</v>
      </c>
      <c r="DV160" s="79">
        <f t="shared" si="831"/>
        <v>0</v>
      </c>
      <c r="DW160">
        <f t="shared" si="832"/>
        <v>0</v>
      </c>
      <c r="DX160">
        <f t="shared" si="833"/>
        <v>1</v>
      </c>
      <c r="DZ160" s="79">
        <f t="shared" si="834"/>
        <v>0</v>
      </c>
      <c r="EA160" s="79">
        <f t="shared" si="835"/>
        <v>0</v>
      </c>
      <c r="EB160">
        <f t="shared" si="836"/>
        <v>0</v>
      </c>
      <c r="EC160">
        <f t="shared" si="837"/>
        <v>1</v>
      </c>
    </row>
    <row r="161" spans="1:133">
      <c r="A161" s="164"/>
      <c r="B161" s="164"/>
      <c r="C161" s="164"/>
      <c r="D161" s="164"/>
      <c r="E161" s="164"/>
      <c r="F161" s="163"/>
      <c r="G161" s="164"/>
      <c r="H161" s="164"/>
      <c r="I161" s="164"/>
      <c r="J161" s="164"/>
      <c r="AH161" s="72">
        <f t="shared" si="748"/>
        <v>0</v>
      </c>
      <c r="AI161" s="72">
        <f t="shared" si="749"/>
        <v>0</v>
      </c>
      <c r="AJ161" s="72">
        <f t="shared" si="750"/>
        <v>0</v>
      </c>
      <c r="AK161" s="72">
        <f t="shared" si="751"/>
        <v>0</v>
      </c>
      <c r="AL161" s="72">
        <f t="shared" si="752"/>
        <v>0</v>
      </c>
      <c r="AM161" s="72">
        <f t="shared" si="753"/>
        <v>0</v>
      </c>
      <c r="AN161" s="72">
        <f t="shared" si="754"/>
        <v>0</v>
      </c>
      <c r="AO161" s="72">
        <f t="shared" si="755"/>
        <v>0</v>
      </c>
      <c r="AP161" s="72">
        <f t="shared" si="756"/>
        <v>0</v>
      </c>
      <c r="AQ161" s="72">
        <f t="shared" si="757"/>
        <v>0</v>
      </c>
      <c r="AR161" s="72">
        <f t="shared" si="758"/>
        <v>0</v>
      </c>
      <c r="AS161" s="72">
        <f t="shared" si="759"/>
        <v>0</v>
      </c>
      <c r="AT161" s="72">
        <f t="shared" si="760"/>
        <v>0</v>
      </c>
      <c r="AU161" s="72">
        <f t="shared" si="761"/>
        <v>0</v>
      </c>
      <c r="AV161" s="72">
        <f t="shared" si="762"/>
        <v>0</v>
      </c>
      <c r="AW161" s="72">
        <f t="shared" si="763"/>
        <v>0</v>
      </c>
      <c r="AX161" s="72">
        <f t="shared" si="764"/>
        <v>0</v>
      </c>
      <c r="AY161" s="72">
        <f t="shared" si="765"/>
        <v>0</v>
      </c>
      <c r="AZ161" s="72">
        <f t="shared" si="766"/>
        <v>0</v>
      </c>
      <c r="BA161" s="72">
        <f t="shared" si="767"/>
        <v>0</v>
      </c>
      <c r="BB161" s="72">
        <f t="shared" si="768"/>
        <v>0</v>
      </c>
      <c r="BC161" s="72">
        <f t="shared" si="769"/>
        <v>0</v>
      </c>
      <c r="BD161" s="72">
        <f t="shared" si="770"/>
        <v>0</v>
      </c>
      <c r="BE161" s="72">
        <f t="shared" si="771"/>
        <v>0</v>
      </c>
      <c r="BF161" s="72">
        <f t="shared" si="772"/>
        <v>0</v>
      </c>
      <c r="BG161" s="72">
        <f t="shared" si="773"/>
        <v>0</v>
      </c>
      <c r="BH161" s="72">
        <f t="shared" si="774"/>
        <v>0</v>
      </c>
      <c r="BI161" s="72">
        <f t="shared" si="775"/>
        <v>0</v>
      </c>
      <c r="BJ161" s="72">
        <f t="shared" si="776"/>
        <v>0</v>
      </c>
      <c r="BK161" s="72">
        <f t="shared" si="777"/>
        <v>0</v>
      </c>
      <c r="BL161" s="72">
        <f t="shared" si="778"/>
        <v>0</v>
      </c>
      <c r="BM161" s="72">
        <f t="shared" si="779"/>
        <v>0</v>
      </c>
      <c r="BN161" s="72">
        <f t="shared" si="780"/>
        <v>0</v>
      </c>
      <c r="BO161" s="72">
        <f t="shared" si="781"/>
        <v>0</v>
      </c>
      <c r="BP161" s="72">
        <f t="shared" si="782"/>
        <v>0</v>
      </c>
      <c r="BQ161" s="72">
        <f t="shared" si="783"/>
        <v>0</v>
      </c>
      <c r="BR161" s="72">
        <f t="shared" si="784"/>
        <v>0</v>
      </c>
      <c r="BS161" s="72">
        <f t="shared" si="785"/>
        <v>0</v>
      </c>
      <c r="BT161" s="72">
        <f t="shared" si="786"/>
        <v>0</v>
      </c>
      <c r="BU161" s="72">
        <f t="shared" si="787"/>
        <v>0</v>
      </c>
      <c r="BW161">
        <f t="shared" si="788"/>
        <v>0</v>
      </c>
      <c r="BX161">
        <f t="shared" si="789"/>
        <v>0</v>
      </c>
      <c r="BY161">
        <f t="shared" si="790"/>
        <v>0</v>
      </c>
      <c r="BZ161">
        <f t="shared" si="791"/>
        <v>0</v>
      </c>
      <c r="CA161">
        <f t="shared" si="792"/>
        <v>0</v>
      </c>
      <c r="CB161">
        <f t="shared" si="793"/>
        <v>0</v>
      </c>
      <c r="CD161">
        <f t="shared" si="794"/>
        <v>0</v>
      </c>
      <c r="CE161">
        <f t="shared" si="795"/>
        <v>0</v>
      </c>
      <c r="CF161">
        <f t="shared" si="796"/>
        <v>0</v>
      </c>
      <c r="CG161">
        <f t="shared" si="797"/>
        <v>0</v>
      </c>
      <c r="CH161">
        <f t="shared" si="798"/>
        <v>0</v>
      </c>
      <c r="CI161">
        <f t="shared" si="799"/>
        <v>0</v>
      </c>
      <c r="CK161">
        <f t="shared" si="800"/>
        <v>0</v>
      </c>
      <c r="CL161">
        <f t="shared" si="801"/>
        <v>0</v>
      </c>
      <c r="CM161">
        <f t="shared" si="802"/>
        <v>0</v>
      </c>
      <c r="CN161">
        <f t="shared" si="803"/>
        <v>0</v>
      </c>
      <c r="CO161">
        <f t="shared" si="804"/>
        <v>0</v>
      </c>
      <c r="CP161">
        <f t="shared" si="805"/>
        <v>0</v>
      </c>
      <c r="CR161">
        <f t="shared" si="806"/>
        <v>0</v>
      </c>
      <c r="CS161">
        <f t="shared" si="807"/>
        <v>0</v>
      </c>
      <c r="CT161">
        <f t="shared" si="808"/>
        <v>0</v>
      </c>
      <c r="CU161">
        <f t="shared" si="809"/>
        <v>0</v>
      </c>
      <c r="CV161">
        <f t="shared" si="810"/>
        <v>0</v>
      </c>
      <c r="CW161">
        <f t="shared" si="811"/>
        <v>0</v>
      </c>
      <c r="CY161">
        <f t="shared" si="812"/>
        <v>0</v>
      </c>
      <c r="CZ161">
        <f t="shared" si="813"/>
        <v>0</v>
      </c>
      <c r="DA161">
        <f t="shared" si="814"/>
        <v>0</v>
      </c>
      <c r="DB161">
        <f t="shared" si="815"/>
        <v>0</v>
      </c>
      <c r="DC161">
        <f t="shared" si="816"/>
        <v>0</v>
      </c>
      <c r="DD161">
        <f t="shared" si="817"/>
        <v>0</v>
      </c>
      <c r="DF161" s="79">
        <f t="shared" si="818"/>
        <v>0</v>
      </c>
      <c r="DG161" s="79">
        <f t="shared" si="819"/>
        <v>0</v>
      </c>
      <c r="DH161">
        <f t="shared" si="820"/>
        <v>0</v>
      </c>
      <c r="DI161">
        <f t="shared" si="821"/>
        <v>1</v>
      </c>
      <c r="DK161" s="79">
        <f t="shared" si="822"/>
        <v>0</v>
      </c>
      <c r="DL161" s="79">
        <f t="shared" si="823"/>
        <v>0</v>
      </c>
      <c r="DM161">
        <f t="shared" si="824"/>
        <v>1</v>
      </c>
      <c r="DN161">
        <f t="shared" si="825"/>
        <v>0</v>
      </c>
      <c r="DP161" s="79">
        <f t="shared" si="826"/>
        <v>0</v>
      </c>
      <c r="DQ161" s="79">
        <f t="shared" si="827"/>
        <v>0</v>
      </c>
      <c r="DR161">
        <f t="shared" si="828"/>
        <v>0</v>
      </c>
      <c r="DS161">
        <f t="shared" si="829"/>
        <v>1</v>
      </c>
      <c r="DU161" s="79">
        <f t="shared" si="830"/>
        <v>0</v>
      </c>
      <c r="DV161" s="79">
        <f t="shared" si="831"/>
        <v>0</v>
      </c>
      <c r="DW161">
        <f t="shared" si="832"/>
        <v>0</v>
      </c>
      <c r="DX161">
        <f t="shared" si="833"/>
        <v>1</v>
      </c>
      <c r="DZ161" s="79">
        <f t="shared" si="834"/>
        <v>0</v>
      </c>
      <c r="EA161" s="79">
        <f t="shared" si="835"/>
        <v>0</v>
      </c>
      <c r="EB161">
        <f t="shared" si="836"/>
        <v>0</v>
      </c>
      <c r="EC161">
        <f t="shared" si="837"/>
        <v>1</v>
      </c>
    </row>
    <row r="162" spans="1:133">
      <c r="A162" s="164"/>
      <c r="B162" s="164"/>
      <c r="C162" s="164"/>
      <c r="D162" s="164"/>
      <c r="E162" s="164"/>
      <c r="F162" s="163"/>
      <c r="G162" s="164"/>
      <c r="H162" s="164"/>
      <c r="I162" s="164"/>
      <c r="J162" s="164"/>
      <c r="AH162" s="72">
        <f t="shared" si="748"/>
        <v>0</v>
      </c>
      <c r="AI162" s="72">
        <f t="shared" si="749"/>
        <v>0</v>
      </c>
      <c r="AJ162" s="72">
        <f t="shared" si="750"/>
        <v>0</v>
      </c>
      <c r="AK162" s="72">
        <f t="shared" si="751"/>
        <v>0</v>
      </c>
      <c r="AL162" s="72">
        <f t="shared" si="752"/>
        <v>0</v>
      </c>
      <c r="AM162" s="72">
        <f t="shared" si="753"/>
        <v>0</v>
      </c>
      <c r="AN162" s="72">
        <f t="shared" si="754"/>
        <v>0</v>
      </c>
      <c r="AO162" s="72">
        <f t="shared" si="755"/>
        <v>0</v>
      </c>
      <c r="AP162" s="72">
        <f t="shared" si="756"/>
        <v>0</v>
      </c>
      <c r="AQ162" s="72">
        <f t="shared" si="757"/>
        <v>0</v>
      </c>
      <c r="AR162" s="72">
        <f t="shared" si="758"/>
        <v>0</v>
      </c>
      <c r="AS162" s="72">
        <f t="shared" si="759"/>
        <v>0</v>
      </c>
      <c r="AT162" s="72">
        <f t="shared" si="760"/>
        <v>0</v>
      </c>
      <c r="AU162" s="72">
        <f t="shared" si="761"/>
        <v>0</v>
      </c>
      <c r="AV162" s="72">
        <f t="shared" si="762"/>
        <v>0</v>
      </c>
      <c r="AW162" s="72">
        <f t="shared" si="763"/>
        <v>0</v>
      </c>
      <c r="AX162" s="72">
        <f t="shared" si="764"/>
        <v>0</v>
      </c>
      <c r="AY162" s="72">
        <f t="shared" si="765"/>
        <v>0</v>
      </c>
      <c r="AZ162" s="72">
        <f t="shared" si="766"/>
        <v>0</v>
      </c>
      <c r="BA162" s="72">
        <f t="shared" si="767"/>
        <v>0</v>
      </c>
      <c r="BB162" s="72">
        <f t="shared" si="768"/>
        <v>0</v>
      </c>
      <c r="BC162" s="72">
        <f t="shared" si="769"/>
        <v>0</v>
      </c>
      <c r="BD162" s="72">
        <f t="shared" si="770"/>
        <v>0</v>
      </c>
      <c r="BE162" s="72">
        <f t="shared" si="771"/>
        <v>0</v>
      </c>
      <c r="BF162" s="72">
        <f t="shared" si="772"/>
        <v>0</v>
      </c>
      <c r="BG162" s="72">
        <f t="shared" si="773"/>
        <v>0</v>
      </c>
      <c r="BH162" s="72">
        <f t="shared" si="774"/>
        <v>0</v>
      </c>
      <c r="BI162" s="72">
        <f t="shared" si="775"/>
        <v>0</v>
      </c>
      <c r="BJ162" s="72">
        <f t="shared" si="776"/>
        <v>0</v>
      </c>
      <c r="BK162" s="72">
        <f t="shared" si="777"/>
        <v>0</v>
      </c>
      <c r="BL162" s="72">
        <f t="shared" si="778"/>
        <v>0</v>
      </c>
      <c r="BM162" s="72">
        <f t="shared" si="779"/>
        <v>0</v>
      </c>
      <c r="BN162" s="72">
        <f t="shared" si="780"/>
        <v>0</v>
      </c>
      <c r="BO162" s="72">
        <f t="shared" si="781"/>
        <v>0</v>
      </c>
      <c r="BP162" s="72">
        <f t="shared" si="782"/>
        <v>0</v>
      </c>
      <c r="BQ162" s="72">
        <f t="shared" si="783"/>
        <v>0</v>
      </c>
      <c r="BR162" s="72">
        <f t="shared" si="784"/>
        <v>0</v>
      </c>
      <c r="BS162" s="72">
        <f t="shared" si="785"/>
        <v>0</v>
      </c>
      <c r="BT162" s="72">
        <f t="shared" si="786"/>
        <v>0</v>
      </c>
      <c r="BU162" s="72">
        <f t="shared" si="787"/>
        <v>0</v>
      </c>
      <c r="BW162">
        <f t="shared" si="788"/>
        <v>0</v>
      </c>
      <c r="BX162">
        <f t="shared" si="789"/>
        <v>0</v>
      </c>
      <c r="BY162">
        <f t="shared" si="790"/>
        <v>0</v>
      </c>
      <c r="BZ162">
        <f t="shared" si="791"/>
        <v>0</v>
      </c>
      <c r="CA162">
        <f t="shared" si="792"/>
        <v>0</v>
      </c>
      <c r="CB162">
        <f t="shared" si="793"/>
        <v>0</v>
      </c>
      <c r="CD162">
        <f t="shared" si="794"/>
        <v>0</v>
      </c>
      <c r="CE162">
        <f t="shared" si="795"/>
        <v>0</v>
      </c>
      <c r="CF162">
        <f t="shared" si="796"/>
        <v>0</v>
      </c>
      <c r="CG162">
        <f t="shared" si="797"/>
        <v>0</v>
      </c>
      <c r="CH162">
        <f t="shared" si="798"/>
        <v>0</v>
      </c>
      <c r="CI162">
        <f t="shared" si="799"/>
        <v>0</v>
      </c>
      <c r="CK162">
        <f t="shared" si="800"/>
        <v>0</v>
      </c>
      <c r="CL162">
        <f t="shared" si="801"/>
        <v>0</v>
      </c>
      <c r="CM162">
        <f t="shared" si="802"/>
        <v>0</v>
      </c>
      <c r="CN162">
        <f t="shared" si="803"/>
        <v>0</v>
      </c>
      <c r="CO162">
        <f t="shared" si="804"/>
        <v>0</v>
      </c>
      <c r="CP162">
        <f t="shared" si="805"/>
        <v>0</v>
      </c>
      <c r="CR162">
        <f t="shared" si="806"/>
        <v>0</v>
      </c>
      <c r="CS162">
        <f t="shared" si="807"/>
        <v>0</v>
      </c>
      <c r="CT162">
        <f t="shared" si="808"/>
        <v>0</v>
      </c>
      <c r="CU162">
        <f t="shared" si="809"/>
        <v>0</v>
      </c>
      <c r="CV162">
        <f t="shared" si="810"/>
        <v>0</v>
      </c>
      <c r="CW162">
        <f t="shared" si="811"/>
        <v>0</v>
      </c>
      <c r="CY162">
        <f t="shared" si="812"/>
        <v>0</v>
      </c>
      <c r="CZ162">
        <f t="shared" si="813"/>
        <v>0</v>
      </c>
      <c r="DA162">
        <f t="shared" si="814"/>
        <v>0</v>
      </c>
      <c r="DB162">
        <f t="shared" si="815"/>
        <v>0</v>
      </c>
      <c r="DC162">
        <f t="shared" si="816"/>
        <v>0</v>
      </c>
      <c r="DD162">
        <f t="shared" si="817"/>
        <v>0</v>
      </c>
      <c r="DF162" s="79">
        <f t="shared" si="818"/>
        <v>0</v>
      </c>
      <c r="DG162" s="79">
        <f t="shared" si="819"/>
        <v>0</v>
      </c>
      <c r="DH162">
        <f t="shared" si="820"/>
        <v>0</v>
      </c>
      <c r="DI162">
        <f t="shared" si="821"/>
        <v>1</v>
      </c>
      <c r="DK162" s="79">
        <f t="shared" si="822"/>
        <v>0</v>
      </c>
      <c r="DL162" s="79">
        <f t="shared" si="823"/>
        <v>0</v>
      </c>
      <c r="DM162">
        <f t="shared" si="824"/>
        <v>1</v>
      </c>
      <c r="DN162">
        <f t="shared" si="825"/>
        <v>0</v>
      </c>
      <c r="DP162" s="79">
        <f t="shared" si="826"/>
        <v>0</v>
      </c>
      <c r="DQ162" s="79">
        <f t="shared" si="827"/>
        <v>0</v>
      </c>
      <c r="DR162">
        <f t="shared" si="828"/>
        <v>0</v>
      </c>
      <c r="DS162">
        <f t="shared" si="829"/>
        <v>1</v>
      </c>
      <c r="DU162" s="79">
        <f t="shared" si="830"/>
        <v>0</v>
      </c>
      <c r="DV162" s="79">
        <f t="shared" si="831"/>
        <v>0</v>
      </c>
      <c r="DW162">
        <f t="shared" si="832"/>
        <v>0</v>
      </c>
      <c r="DX162">
        <f t="shared" si="833"/>
        <v>1</v>
      </c>
      <c r="DZ162" s="79">
        <f t="shared" si="834"/>
        <v>0</v>
      </c>
      <c r="EA162" s="79">
        <f t="shared" si="835"/>
        <v>0</v>
      </c>
      <c r="EB162">
        <f t="shared" si="836"/>
        <v>0</v>
      </c>
      <c r="EC162">
        <f t="shared" si="837"/>
        <v>1</v>
      </c>
    </row>
    <row r="163" spans="1:133">
      <c r="A163" s="164"/>
      <c r="B163" s="164"/>
      <c r="C163" s="164"/>
      <c r="D163" s="164"/>
      <c r="E163" s="164"/>
      <c r="F163" s="163"/>
      <c r="G163" s="164"/>
      <c r="H163" s="164"/>
      <c r="I163" s="164"/>
      <c r="J163" s="164"/>
      <c r="AH163" s="72">
        <f t="shared" si="748"/>
        <v>0</v>
      </c>
      <c r="AI163" s="72">
        <f t="shared" si="749"/>
        <v>0</v>
      </c>
      <c r="AJ163" s="72">
        <f t="shared" si="750"/>
        <v>0</v>
      </c>
      <c r="AK163" s="72">
        <f t="shared" si="751"/>
        <v>0</v>
      </c>
      <c r="AL163" s="72">
        <f t="shared" si="752"/>
        <v>0</v>
      </c>
      <c r="AM163" s="72">
        <f t="shared" si="753"/>
        <v>0</v>
      </c>
      <c r="AN163" s="72">
        <f t="shared" si="754"/>
        <v>0</v>
      </c>
      <c r="AO163" s="72">
        <f t="shared" si="755"/>
        <v>0</v>
      </c>
      <c r="AP163" s="72">
        <f t="shared" si="756"/>
        <v>0</v>
      </c>
      <c r="AQ163" s="72">
        <f t="shared" si="757"/>
        <v>0</v>
      </c>
      <c r="AR163" s="72">
        <f t="shared" si="758"/>
        <v>0</v>
      </c>
      <c r="AS163" s="72">
        <f t="shared" si="759"/>
        <v>0</v>
      </c>
      <c r="AT163" s="72">
        <f t="shared" si="760"/>
        <v>0</v>
      </c>
      <c r="AU163" s="72">
        <f t="shared" si="761"/>
        <v>0</v>
      </c>
      <c r="AV163" s="72">
        <f t="shared" si="762"/>
        <v>0</v>
      </c>
      <c r="AW163" s="72">
        <f t="shared" si="763"/>
        <v>0</v>
      </c>
      <c r="AX163" s="72">
        <f t="shared" si="764"/>
        <v>0</v>
      </c>
      <c r="AY163" s="72">
        <f t="shared" si="765"/>
        <v>0</v>
      </c>
      <c r="AZ163" s="72">
        <f t="shared" si="766"/>
        <v>0</v>
      </c>
      <c r="BA163" s="72">
        <f t="shared" si="767"/>
        <v>0</v>
      </c>
      <c r="BB163" s="72">
        <f t="shared" si="768"/>
        <v>0</v>
      </c>
      <c r="BC163" s="72">
        <f t="shared" si="769"/>
        <v>0</v>
      </c>
      <c r="BD163" s="72">
        <f t="shared" si="770"/>
        <v>0</v>
      </c>
      <c r="BE163" s="72">
        <f t="shared" si="771"/>
        <v>0</v>
      </c>
      <c r="BF163" s="72">
        <f t="shared" si="772"/>
        <v>0</v>
      </c>
      <c r="BG163" s="72">
        <f t="shared" si="773"/>
        <v>0</v>
      </c>
      <c r="BH163" s="72">
        <f t="shared" si="774"/>
        <v>0</v>
      </c>
      <c r="BI163" s="72">
        <f t="shared" si="775"/>
        <v>0</v>
      </c>
      <c r="BJ163" s="72">
        <f t="shared" si="776"/>
        <v>0</v>
      </c>
      <c r="BK163" s="72">
        <f t="shared" si="777"/>
        <v>0</v>
      </c>
      <c r="BL163" s="72">
        <f t="shared" si="778"/>
        <v>0</v>
      </c>
      <c r="BM163" s="72">
        <f t="shared" si="779"/>
        <v>0</v>
      </c>
      <c r="BN163" s="72">
        <f t="shared" si="780"/>
        <v>0</v>
      </c>
      <c r="BO163" s="72">
        <f t="shared" si="781"/>
        <v>0</v>
      </c>
      <c r="BP163" s="72">
        <f t="shared" si="782"/>
        <v>0</v>
      </c>
      <c r="BQ163" s="72">
        <f t="shared" si="783"/>
        <v>0</v>
      </c>
      <c r="BR163" s="72">
        <f t="shared" si="784"/>
        <v>0</v>
      </c>
      <c r="BS163" s="72">
        <f t="shared" si="785"/>
        <v>0</v>
      </c>
      <c r="BT163" s="72">
        <f t="shared" si="786"/>
        <v>0</v>
      </c>
      <c r="BU163" s="72">
        <f t="shared" si="787"/>
        <v>0</v>
      </c>
      <c r="BW163">
        <f t="shared" si="788"/>
        <v>0</v>
      </c>
      <c r="BX163">
        <f t="shared" si="789"/>
        <v>0</v>
      </c>
      <c r="BY163">
        <f t="shared" si="790"/>
        <v>0</v>
      </c>
      <c r="BZ163">
        <f t="shared" si="791"/>
        <v>0</v>
      </c>
      <c r="CA163">
        <f t="shared" si="792"/>
        <v>0</v>
      </c>
      <c r="CB163">
        <f t="shared" si="793"/>
        <v>0</v>
      </c>
      <c r="CD163">
        <f t="shared" si="794"/>
        <v>0</v>
      </c>
      <c r="CE163">
        <f t="shared" si="795"/>
        <v>0</v>
      </c>
      <c r="CF163">
        <f t="shared" si="796"/>
        <v>0</v>
      </c>
      <c r="CG163">
        <f t="shared" si="797"/>
        <v>0</v>
      </c>
      <c r="CH163">
        <f t="shared" si="798"/>
        <v>0</v>
      </c>
      <c r="CI163">
        <f t="shared" si="799"/>
        <v>0</v>
      </c>
      <c r="CK163">
        <f t="shared" si="800"/>
        <v>0</v>
      </c>
      <c r="CL163">
        <f t="shared" si="801"/>
        <v>0</v>
      </c>
      <c r="CM163">
        <f t="shared" si="802"/>
        <v>0</v>
      </c>
      <c r="CN163">
        <f t="shared" si="803"/>
        <v>0</v>
      </c>
      <c r="CO163">
        <f t="shared" si="804"/>
        <v>0</v>
      </c>
      <c r="CP163">
        <f t="shared" si="805"/>
        <v>0</v>
      </c>
      <c r="CR163">
        <f t="shared" si="806"/>
        <v>0</v>
      </c>
      <c r="CS163">
        <f t="shared" si="807"/>
        <v>0</v>
      </c>
      <c r="CT163">
        <f t="shared" si="808"/>
        <v>0</v>
      </c>
      <c r="CU163">
        <f t="shared" si="809"/>
        <v>0</v>
      </c>
      <c r="CV163">
        <f t="shared" si="810"/>
        <v>0</v>
      </c>
      <c r="CW163">
        <f t="shared" si="811"/>
        <v>0</v>
      </c>
      <c r="CY163">
        <f t="shared" si="812"/>
        <v>0</v>
      </c>
      <c r="CZ163">
        <f t="shared" si="813"/>
        <v>0</v>
      </c>
      <c r="DA163">
        <f t="shared" si="814"/>
        <v>0</v>
      </c>
      <c r="DB163">
        <f t="shared" si="815"/>
        <v>0</v>
      </c>
      <c r="DC163">
        <f t="shared" si="816"/>
        <v>0</v>
      </c>
      <c r="DD163">
        <f t="shared" si="817"/>
        <v>0</v>
      </c>
      <c r="DF163" s="79">
        <f t="shared" si="818"/>
        <v>0</v>
      </c>
      <c r="DG163" s="79">
        <f t="shared" si="819"/>
        <v>0</v>
      </c>
      <c r="DH163">
        <f t="shared" si="820"/>
        <v>0</v>
      </c>
      <c r="DI163">
        <f t="shared" si="821"/>
        <v>1</v>
      </c>
      <c r="DK163" s="79">
        <f t="shared" si="822"/>
        <v>0</v>
      </c>
      <c r="DL163" s="79">
        <f t="shared" si="823"/>
        <v>0</v>
      </c>
      <c r="DM163">
        <f t="shared" si="824"/>
        <v>1</v>
      </c>
      <c r="DN163">
        <f t="shared" si="825"/>
        <v>0</v>
      </c>
      <c r="DP163" s="79">
        <f t="shared" si="826"/>
        <v>0</v>
      </c>
      <c r="DQ163" s="79">
        <f t="shared" si="827"/>
        <v>0</v>
      </c>
      <c r="DR163">
        <f t="shared" si="828"/>
        <v>0</v>
      </c>
      <c r="DS163">
        <f t="shared" si="829"/>
        <v>1</v>
      </c>
      <c r="DU163" s="79">
        <f t="shared" si="830"/>
        <v>0</v>
      </c>
      <c r="DV163" s="79">
        <f t="shared" si="831"/>
        <v>0</v>
      </c>
      <c r="DW163">
        <f t="shared" si="832"/>
        <v>0</v>
      </c>
      <c r="DX163">
        <f t="shared" si="833"/>
        <v>1</v>
      </c>
      <c r="DZ163" s="79">
        <f t="shared" si="834"/>
        <v>0</v>
      </c>
      <c r="EA163" s="79">
        <f t="shared" si="835"/>
        <v>0</v>
      </c>
      <c r="EB163">
        <f t="shared" si="836"/>
        <v>0</v>
      </c>
      <c r="EC163">
        <f t="shared" si="837"/>
        <v>1</v>
      </c>
    </row>
    <row r="164" spans="1:133">
      <c r="A164" s="164"/>
      <c r="B164" s="164"/>
      <c r="C164" s="164"/>
      <c r="D164" s="164"/>
      <c r="E164" s="164"/>
      <c r="F164" s="163"/>
      <c r="G164" s="164"/>
      <c r="H164" s="164"/>
      <c r="I164" s="164"/>
      <c r="J164" s="164"/>
      <c r="AH164" s="72">
        <f t="shared" si="748"/>
        <v>0</v>
      </c>
      <c r="AI164" s="72">
        <f t="shared" si="749"/>
        <v>0</v>
      </c>
      <c r="AJ164" s="72">
        <f t="shared" si="750"/>
        <v>0</v>
      </c>
      <c r="AK164" s="72">
        <f t="shared" si="751"/>
        <v>0</v>
      </c>
      <c r="AL164" s="72">
        <f t="shared" si="752"/>
        <v>0</v>
      </c>
      <c r="AM164" s="72">
        <f t="shared" si="753"/>
        <v>0</v>
      </c>
      <c r="AN164" s="72">
        <f t="shared" si="754"/>
        <v>0</v>
      </c>
      <c r="AO164" s="72">
        <f t="shared" si="755"/>
        <v>0</v>
      </c>
      <c r="AP164" s="72">
        <f t="shared" si="756"/>
        <v>0</v>
      </c>
      <c r="AQ164" s="72">
        <f t="shared" si="757"/>
        <v>0</v>
      </c>
      <c r="AR164" s="72">
        <f t="shared" si="758"/>
        <v>0</v>
      </c>
      <c r="AS164" s="72">
        <f t="shared" si="759"/>
        <v>0</v>
      </c>
      <c r="AT164" s="72">
        <f t="shared" si="760"/>
        <v>0</v>
      </c>
      <c r="AU164" s="72">
        <f t="shared" si="761"/>
        <v>0</v>
      </c>
      <c r="AV164" s="72">
        <f t="shared" si="762"/>
        <v>0</v>
      </c>
      <c r="AW164" s="72">
        <f t="shared" si="763"/>
        <v>0</v>
      </c>
      <c r="AX164" s="72">
        <f t="shared" si="764"/>
        <v>0</v>
      </c>
      <c r="AY164" s="72">
        <f t="shared" si="765"/>
        <v>0</v>
      </c>
      <c r="AZ164" s="72">
        <f t="shared" si="766"/>
        <v>0</v>
      </c>
      <c r="BA164" s="72">
        <f t="shared" si="767"/>
        <v>0</v>
      </c>
      <c r="BB164" s="72">
        <f t="shared" si="768"/>
        <v>0</v>
      </c>
      <c r="BC164" s="72">
        <f t="shared" si="769"/>
        <v>0</v>
      </c>
      <c r="BD164" s="72">
        <f t="shared" si="770"/>
        <v>0</v>
      </c>
      <c r="BE164" s="72">
        <f t="shared" si="771"/>
        <v>0</v>
      </c>
      <c r="BF164" s="72">
        <f t="shared" si="772"/>
        <v>0</v>
      </c>
      <c r="BG164" s="72">
        <f t="shared" si="773"/>
        <v>0</v>
      </c>
      <c r="BH164" s="72">
        <f t="shared" si="774"/>
        <v>0</v>
      </c>
      <c r="BI164" s="72">
        <f t="shared" si="775"/>
        <v>0</v>
      </c>
      <c r="BJ164" s="72">
        <f t="shared" si="776"/>
        <v>0</v>
      </c>
      <c r="BK164" s="72">
        <f t="shared" si="777"/>
        <v>0</v>
      </c>
      <c r="BL164" s="72">
        <f t="shared" si="778"/>
        <v>0</v>
      </c>
      <c r="BM164" s="72">
        <f t="shared" si="779"/>
        <v>0</v>
      </c>
      <c r="BN164" s="72">
        <f t="shared" si="780"/>
        <v>0</v>
      </c>
      <c r="BO164" s="72">
        <f t="shared" si="781"/>
        <v>0</v>
      </c>
      <c r="BP164" s="72">
        <f t="shared" si="782"/>
        <v>0</v>
      </c>
      <c r="BQ164" s="72">
        <f t="shared" si="783"/>
        <v>0</v>
      </c>
      <c r="BR164" s="72">
        <f t="shared" si="784"/>
        <v>0</v>
      </c>
      <c r="BS164" s="72">
        <f t="shared" si="785"/>
        <v>0</v>
      </c>
      <c r="BT164" s="72">
        <f t="shared" si="786"/>
        <v>0</v>
      </c>
      <c r="BU164" s="72">
        <f t="shared" si="787"/>
        <v>0</v>
      </c>
      <c r="BW164">
        <f t="shared" si="788"/>
        <v>0</v>
      </c>
      <c r="BX164">
        <f t="shared" si="789"/>
        <v>0</v>
      </c>
      <c r="BY164">
        <f t="shared" si="790"/>
        <v>0</v>
      </c>
      <c r="BZ164">
        <f t="shared" si="791"/>
        <v>0</v>
      </c>
      <c r="CA164">
        <f t="shared" si="792"/>
        <v>0</v>
      </c>
      <c r="CB164">
        <f t="shared" si="793"/>
        <v>0</v>
      </c>
      <c r="CD164">
        <f t="shared" si="794"/>
        <v>0</v>
      </c>
      <c r="CE164">
        <f t="shared" si="795"/>
        <v>0</v>
      </c>
      <c r="CF164">
        <f t="shared" si="796"/>
        <v>0</v>
      </c>
      <c r="CG164">
        <f t="shared" si="797"/>
        <v>0</v>
      </c>
      <c r="CH164">
        <f t="shared" si="798"/>
        <v>0</v>
      </c>
      <c r="CI164">
        <f t="shared" si="799"/>
        <v>0</v>
      </c>
      <c r="CK164">
        <f t="shared" si="800"/>
        <v>0</v>
      </c>
      <c r="CL164">
        <f t="shared" si="801"/>
        <v>0</v>
      </c>
      <c r="CM164">
        <f t="shared" si="802"/>
        <v>0</v>
      </c>
      <c r="CN164">
        <f t="shared" si="803"/>
        <v>0</v>
      </c>
      <c r="CO164">
        <f t="shared" si="804"/>
        <v>0</v>
      </c>
      <c r="CP164">
        <f t="shared" si="805"/>
        <v>0</v>
      </c>
      <c r="CR164">
        <f t="shared" si="806"/>
        <v>0</v>
      </c>
      <c r="CS164">
        <f t="shared" si="807"/>
        <v>0</v>
      </c>
      <c r="CT164">
        <f t="shared" si="808"/>
        <v>0</v>
      </c>
      <c r="CU164">
        <f t="shared" si="809"/>
        <v>0</v>
      </c>
      <c r="CV164">
        <f t="shared" si="810"/>
        <v>0</v>
      </c>
      <c r="CW164">
        <f t="shared" si="811"/>
        <v>0</v>
      </c>
      <c r="CY164">
        <f t="shared" si="812"/>
        <v>0</v>
      </c>
      <c r="CZ164">
        <f t="shared" si="813"/>
        <v>0</v>
      </c>
      <c r="DA164">
        <f t="shared" si="814"/>
        <v>0</v>
      </c>
      <c r="DB164">
        <f t="shared" si="815"/>
        <v>0</v>
      </c>
      <c r="DC164">
        <f t="shared" si="816"/>
        <v>0</v>
      </c>
      <c r="DD164">
        <f t="shared" si="817"/>
        <v>0</v>
      </c>
      <c r="DF164" s="79">
        <f t="shared" si="818"/>
        <v>0</v>
      </c>
      <c r="DG164" s="79">
        <f t="shared" si="819"/>
        <v>0</v>
      </c>
      <c r="DH164">
        <f t="shared" si="820"/>
        <v>0</v>
      </c>
      <c r="DI164">
        <f t="shared" si="821"/>
        <v>1</v>
      </c>
      <c r="DK164" s="79">
        <f t="shared" si="822"/>
        <v>0</v>
      </c>
      <c r="DL164" s="79">
        <f t="shared" si="823"/>
        <v>0</v>
      </c>
      <c r="DM164">
        <f t="shared" si="824"/>
        <v>1</v>
      </c>
      <c r="DN164">
        <f t="shared" si="825"/>
        <v>0</v>
      </c>
      <c r="DP164" s="79">
        <f t="shared" si="826"/>
        <v>0</v>
      </c>
      <c r="DQ164" s="79">
        <f t="shared" si="827"/>
        <v>0</v>
      </c>
      <c r="DR164">
        <f t="shared" si="828"/>
        <v>0</v>
      </c>
      <c r="DS164">
        <f t="shared" si="829"/>
        <v>1</v>
      </c>
      <c r="DU164" s="79">
        <f t="shared" si="830"/>
        <v>0</v>
      </c>
      <c r="DV164" s="79">
        <f t="shared" si="831"/>
        <v>0</v>
      </c>
      <c r="DW164">
        <f t="shared" si="832"/>
        <v>0</v>
      </c>
      <c r="DX164">
        <f t="shared" si="833"/>
        <v>1</v>
      </c>
      <c r="DZ164" s="79">
        <f t="shared" si="834"/>
        <v>0</v>
      </c>
      <c r="EA164" s="79">
        <f t="shared" si="835"/>
        <v>0</v>
      </c>
      <c r="EB164">
        <f t="shared" si="836"/>
        <v>0</v>
      </c>
      <c r="EC164">
        <f t="shared" si="837"/>
        <v>1</v>
      </c>
    </row>
    <row r="165" spans="1:133">
      <c r="A165" s="164"/>
      <c r="B165" s="164"/>
      <c r="C165" s="164"/>
      <c r="D165" s="164"/>
      <c r="E165" s="164"/>
      <c r="F165" s="163"/>
      <c r="G165" s="164"/>
      <c r="H165" s="164"/>
      <c r="I165" s="164"/>
      <c r="J165" s="164"/>
      <c r="AH165" s="72">
        <f t="shared" si="748"/>
        <v>0</v>
      </c>
      <c r="AI165" s="72">
        <f t="shared" si="749"/>
        <v>0</v>
      </c>
      <c r="AJ165" s="72">
        <f t="shared" si="750"/>
        <v>0</v>
      </c>
      <c r="AK165" s="72">
        <f t="shared" si="751"/>
        <v>0</v>
      </c>
      <c r="AL165" s="72">
        <f t="shared" si="752"/>
        <v>0</v>
      </c>
      <c r="AM165" s="72">
        <f t="shared" si="753"/>
        <v>0</v>
      </c>
      <c r="AN165" s="72">
        <f t="shared" si="754"/>
        <v>0</v>
      </c>
      <c r="AO165" s="72">
        <f t="shared" si="755"/>
        <v>0</v>
      </c>
      <c r="AP165" s="72">
        <f t="shared" si="756"/>
        <v>0</v>
      </c>
      <c r="AQ165" s="72">
        <f t="shared" si="757"/>
        <v>0</v>
      </c>
      <c r="AR165" s="72">
        <f t="shared" si="758"/>
        <v>0</v>
      </c>
      <c r="AS165" s="72">
        <f t="shared" si="759"/>
        <v>0</v>
      </c>
      <c r="AT165" s="72">
        <f t="shared" si="760"/>
        <v>0</v>
      </c>
      <c r="AU165" s="72">
        <f t="shared" si="761"/>
        <v>0</v>
      </c>
      <c r="AV165" s="72">
        <f t="shared" si="762"/>
        <v>0</v>
      </c>
      <c r="AW165" s="72">
        <f t="shared" si="763"/>
        <v>0</v>
      </c>
      <c r="AX165" s="72">
        <f t="shared" si="764"/>
        <v>0</v>
      </c>
      <c r="AY165" s="72">
        <f t="shared" si="765"/>
        <v>0</v>
      </c>
      <c r="AZ165" s="72">
        <f t="shared" si="766"/>
        <v>0</v>
      </c>
      <c r="BA165" s="72">
        <f t="shared" si="767"/>
        <v>0</v>
      </c>
      <c r="BB165" s="72">
        <f t="shared" si="768"/>
        <v>0</v>
      </c>
      <c r="BC165" s="72">
        <f t="shared" si="769"/>
        <v>0</v>
      </c>
      <c r="BD165" s="72">
        <f t="shared" si="770"/>
        <v>0</v>
      </c>
      <c r="BE165" s="72">
        <f t="shared" si="771"/>
        <v>0</v>
      </c>
      <c r="BF165" s="72">
        <f t="shared" si="772"/>
        <v>0</v>
      </c>
      <c r="BG165" s="72">
        <f t="shared" si="773"/>
        <v>0</v>
      </c>
      <c r="BH165" s="72">
        <f t="shared" si="774"/>
        <v>0</v>
      </c>
      <c r="BI165" s="72">
        <f t="shared" si="775"/>
        <v>0</v>
      </c>
      <c r="BJ165" s="72">
        <f t="shared" si="776"/>
        <v>0</v>
      </c>
      <c r="BK165" s="72">
        <f t="shared" si="777"/>
        <v>0</v>
      </c>
      <c r="BL165" s="72">
        <f t="shared" si="778"/>
        <v>0</v>
      </c>
      <c r="BM165" s="72">
        <f t="shared" si="779"/>
        <v>0</v>
      </c>
      <c r="BN165" s="72">
        <f t="shared" si="780"/>
        <v>0</v>
      </c>
      <c r="BO165" s="72">
        <f t="shared" si="781"/>
        <v>0</v>
      </c>
      <c r="BP165" s="72">
        <f t="shared" si="782"/>
        <v>0</v>
      </c>
      <c r="BQ165" s="72">
        <f t="shared" si="783"/>
        <v>0</v>
      </c>
      <c r="BR165" s="72">
        <f t="shared" si="784"/>
        <v>0</v>
      </c>
      <c r="BS165" s="72">
        <f t="shared" si="785"/>
        <v>0</v>
      </c>
      <c r="BT165" s="72">
        <f t="shared" si="786"/>
        <v>0</v>
      </c>
      <c r="BU165" s="72">
        <f t="shared" si="787"/>
        <v>0</v>
      </c>
      <c r="BW165">
        <f t="shared" si="788"/>
        <v>0</v>
      </c>
      <c r="BX165">
        <f t="shared" si="789"/>
        <v>0</v>
      </c>
      <c r="BY165">
        <f t="shared" si="790"/>
        <v>0</v>
      </c>
      <c r="BZ165">
        <f t="shared" si="791"/>
        <v>0</v>
      </c>
      <c r="CA165">
        <f t="shared" si="792"/>
        <v>0</v>
      </c>
      <c r="CB165">
        <f t="shared" si="793"/>
        <v>0</v>
      </c>
      <c r="CD165">
        <f t="shared" si="794"/>
        <v>0</v>
      </c>
      <c r="CE165">
        <f t="shared" si="795"/>
        <v>0</v>
      </c>
      <c r="CF165">
        <f t="shared" si="796"/>
        <v>0</v>
      </c>
      <c r="CG165">
        <f t="shared" si="797"/>
        <v>0</v>
      </c>
      <c r="CH165">
        <f t="shared" si="798"/>
        <v>0</v>
      </c>
      <c r="CI165">
        <f t="shared" si="799"/>
        <v>0</v>
      </c>
      <c r="CK165">
        <f t="shared" si="800"/>
        <v>0</v>
      </c>
      <c r="CL165">
        <f t="shared" si="801"/>
        <v>0</v>
      </c>
      <c r="CM165">
        <f t="shared" si="802"/>
        <v>0</v>
      </c>
      <c r="CN165">
        <f t="shared" si="803"/>
        <v>0</v>
      </c>
      <c r="CO165">
        <f t="shared" si="804"/>
        <v>0</v>
      </c>
      <c r="CP165">
        <f t="shared" si="805"/>
        <v>0</v>
      </c>
      <c r="CR165">
        <f t="shared" si="806"/>
        <v>0</v>
      </c>
      <c r="CS165">
        <f t="shared" si="807"/>
        <v>0</v>
      </c>
      <c r="CT165">
        <f t="shared" si="808"/>
        <v>0</v>
      </c>
      <c r="CU165">
        <f t="shared" si="809"/>
        <v>0</v>
      </c>
      <c r="CV165">
        <f t="shared" si="810"/>
        <v>0</v>
      </c>
      <c r="CW165">
        <f t="shared" si="811"/>
        <v>0</v>
      </c>
      <c r="CY165">
        <f t="shared" si="812"/>
        <v>0</v>
      </c>
      <c r="CZ165">
        <f t="shared" si="813"/>
        <v>0</v>
      </c>
      <c r="DA165">
        <f t="shared" si="814"/>
        <v>0</v>
      </c>
      <c r="DB165">
        <f t="shared" si="815"/>
        <v>0</v>
      </c>
      <c r="DC165">
        <f t="shared" si="816"/>
        <v>0</v>
      </c>
      <c r="DD165">
        <f t="shared" si="817"/>
        <v>0</v>
      </c>
      <c r="DF165" s="79">
        <f t="shared" si="818"/>
        <v>0</v>
      </c>
      <c r="DG165" s="79">
        <f t="shared" si="819"/>
        <v>0</v>
      </c>
      <c r="DH165">
        <f t="shared" si="820"/>
        <v>0</v>
      </c>
      <c r="DI165">
        <f t="shared" si="821"/>
        <v>1</v>
      </c>
      <c r="DK165" s="79">
        <f t="shared" si="822"/>
        <v>0</v>
      </c>
      <c r="DL165" s="79">
        <f t="shared" si="823"/>
        <v>0</v>
      </c>
      <c r="DM165">
        <f t="shared" si="824"/>
        <v>1</v>
      </c>
      <c r="DN165">
        <f t="shared" si="825"/>
        <v>0</v>
      </c>
      <c r="DP165" s="79">
        <f t="shared" si="826"/>
        <v>0</v>
      </c>
      <c r="DQ165" s="79">
        <f t="shared" si="827"/>
        <v>0</v>
      </c>
      <c r="DR165">
        <f t="shared" si="828"/>
        <v>0</v>
      </c>
      <c r="DS165">
        <f t="shared" si="829"/>
        <v>1</v>
      </c>
      <c r="DU165" s="79">
        <f t="shared" si="830"/>
        <v>0</v>
      </c>
      <c r="DV165" s="79">
        <f t="shared" si="831"/>
        <v>0</v>
      </c>
      <c r="DW165">
        <f t="shared" si="832"/>
        <v>0</v>
      </c>
      <c r="DX165">
        <f t="shared" si="833"/>
        <v>1</v>
      </c>
      <c r="DZ165" s="79">
        <f t="shared" si="834"/>
        <v>0</v>
      </c>
      <c r="EA165" s="79">
        <f t="shared" si="835"/>
        <v>0</v>
      </c>
      <c r="EB165">
        <f t="shared" si="836"/>
        <v>0</v>
      </c>
      <c r="EC165">
        <f t="shared" si="837"/>
        <v>1</v>
      </c>
    </row>
    <row r="166" spans="1:133">
      <c r="A166" s="164"/>
      <c r="B166" s="164"/>
      <c r="C166" s="164"/>
      <c r="D166" s="164"/>
      <c r="E166" s="164"/>
      <c r="F166" s="163"/>
      <c r="G166" s="164"/>
      <c r="H166" s="164"/>
      <c r="I166" s="164"/>
      <c r="J166" s="164"/>
      <c r="AH166" s="72">
        <f t="shared" si="748"/>
        <v>0</v>
      </c>
      <c r="AI166" s="72">
        <f t="shared" si="749"/>
        <v>0</v>
      </c>
      <c r="AJ166" s="72">
        <f t="shared" si="750"/>
        <v>0</v>
      </c>
      <c r="AK166" s="72">
        <f t="shared" si="751"/>
        <v>0</v>
      </c>
      <c r="AL166" s="72">
        <f t="shared" si="752"/>
        <v>0</v>
      </c>
      <c r="AM166" s="72">
        <f t="shared" si="753"/>
        <v>0</v>
      </c>
      <c r="AN166" s="72">
        <f t="shared" si="754"/>
        <v>0</v>
      </c>
      <c r="AO166" s="72">
        <f t="shared" si="755"/>
        <v>0</v>
      </c>
      <c r="AP166" s="72">
        <f t="shared" si="756"/>
        <v>0</v>
      </c>
      <c r="AQ166" s="72">
        <f t="shared" si="757"/>
        <v>0</v>
      </c>
      <c r="AR166" s="72">
        <f t="shared" si="758"/>
        <v>0</v>
      </c>
      <c r="AS166" s="72">
        <f t="shared" si="759"/>
        <v>0</v>
      </c>
      <c r="AT166" s="72">
        <f t="shared" si="760"/>
        <v>0</v>
      </c>
      <c r="AU166" s="72">
        <f t="shared" si="761"/>
        <v>0</v>
      </c>
      <c r="AV166" s="72">
        <f t="shared" si="762"/>
        <v>0</v>
      </c>
      <c r="AW166" s="72">
        <f t="shared" si="763"/>
        <v>0</v>
      </c>
      <c r="AX166" s="72">
        <f t="shared" si="764"/>
        <v>0</v>
      </c>
      <c r="AY166" s="72">
        <f t="shared" si="765"/>
        <v>0</v>
      </c>
      <c r="AZ166" s="72">
        <f t="shared" si="766"/>
        <v>0</v>
      </c>
      <c r="BA166" s="72">
        <f t="shared" si="767"/>
        <v>0</v>
      </c>
      <c r="BB166" s="72">
        <f t="shared" si="768"/>
        <v>0</v>
      </c>
      <c r="BC166" s="72">
        <f t="shared" si="769"/>
        <v>0</v>
      </c>
      <c r="BD166" s="72">
        <f t="shared" si="770"/>
        <v>0</v>
      </c>
      <c r="BE166" s="72">
        <f t="shared" si="771"/>
        <v>0</v>
      </c>
      <c r="BF166" s="72">
        <f t="shared" si="772"/>
        <v>0</v>
      </c>
      <c r="BG166" s="72">
        <f t="shared" si="773"/>
        <v>0</v>
      </c>
      <c r="BH166" s="72">
        <f t="shared" si="774"/>
        <v>0</v>
      </c>
      <c r="BI166" s="72">
        <f t="shared" si="775"/>
        <v>0</v>
      </c>
      <c r="BJ166" s="72">
        <f t="shared" si="776"/>
        <v>0</v>
      </c>
      <c r="BK166" s="72">
        <f t="shared" si="777"/>
        <v>0</v>
      </c>
      <c r="BL166" s="72">
        <f t="shared" si="778"/>
        <v>0</v>
      </c>
      <c r="BM166" s="72">
        <f t="shared" si="779"/>
        <v>0</v>
      </c>
      <c r="BN166" s="72">
        <f t="shared" si="780"/>
        <v>0</v>
      </c>
      <c r="BO166" s="72">
        <f t="shared" si="781"/>
        <v>0</v>
      </c>
      <c r="BP166" s="72">
        <f t="shared" si="782"/>
        <v>0</v>
      </c>
      <c r="BQ166" s="72">
        <f t="shared" si="783"/>
        <v>0</v>
      </c>
      <c r="BR166" s="72">
        <f t="shared" si="784"/>
        <v>0</v>
      </c>
      <c r="BS166" s="72">
        <f t="shared" si="785"/>
        <v>0</v>
      </c>
      <c r="BT166" s="72">
        <f t="shared" si="786"/>
        <v>0</v>
      </c>
      <c r="BU166" s="72">
        <f t="shared" si="787"/>
        <v>0</v>
      </c>
      <c r="BW166">
        <f t="shared" si="788"/>
        <v>0</v>
      </c>
      <c r="BX166">
        <f t="shared" si="789"/>
        <v>0</v>
      </c>
      <c r="BY166">
        <f t="shared" si="790"/>
        <v>0</v>
      </c>
      <c r="BZ166">
        <f t="shared" si="791"/>
        <v>0</v>
      </c>
      <c r="CA166">
        <f t="shared" si="792"/>
        <v>0</v>
      </c>
      <c r="CB166">
        <f t="shared" si="793"/>
        <v>0</v>
      </c>
      <c r="CD166">
        <f t="shared" si="794"/>
        <v>0</v>
      </c>
      <c r="CE166">
        <f t="shared" si="795"/>
        <v>0</v>
      </c>
      <c r="CF166">
        <f t="shared" si="796"/>
        <v>0</v>
      </c>
      <c r="CG166">
        <f t="shared" si="797"/>
        <v>0</v>
      </c>
      <c r="CH166">
        <f t="shared" si="798"/>
        <v>0</v>
      </c>
      <c r="CI166">
        <f t="shared" si="799"/>
        <v>0</v>
      </c>
      <c r="CK166">
        <f t="shared" si="800"/>
        <v>0</v>
      </c>
      <c r="CL166">
        <f t="shared" si="801"/>
        <v>0</v>
      </c>
      <c r="CM166">
        <f t="shared" si="802"/>
        <v>0</v>
      </c>
      <c r="CN166">
        <f t="shared" si="803"/>
        <v>0</v>
      </c>
      <c r="CO166">
        <f t="shared" si="804"/>
        <v>0</v>
      </c>
      <c r="CP166">
        <f t="shared" si="805"/>
        <v>0</v>
      </c>
      <c r="CR166">
        <f t="shared" si="806"/>
        <v>0</v>
      </c>
      <c r="CS166">
        <f t="shared" si="807"/>
        <v>0</v>
      </c>
      <c r="CT166">
        <f t="shared" si="808"/>
        <v>0</v>
      </c>
      <c r="CU166">
        <f t="shared" si="809"/>
        <v>0</v>
      </c>
      <c r="CV166">
        <f t="shared" si="810"/>
        <v>0</v>
      </c>
      <c r="CW166">
        <f t="shared" si="811"/>
        <v>0</v>
      </c>
      <c r="CY166">
        <f t="shared" si="812"/>
        <v>0</v>
      </c>
      <c r="CZ166">
        <f t="shared" si="813"/>
        <v>0</v>
      </c>
      <c r="DA166">
        <f t="shared" si="814"/>
        <v>0</v>
      </c>
      <c r="DB166">
        <f t="shared" si="815"/>
        <v>0</v>
      </c>
      <c r="DC166">
        <f t="shared" si="816"/>
        <v>0</v>
      </c>
      <c r="DD166">
        <f t="shared" si="817"/>
        <v>0</v>
      </c>
      <c r="DF166" s="79">
        <f t="shared" si="818"/>
        <v>0</v>
      </c>
      <c r="DG166" s="79">
        <f t="shared" si="819"/>
        <v>0</v>
      </c>
      <c r="DH166">
        <f t="shared" si="820"/>
        <v>0</v>
      </c>
      <c r="DI166">
        <f t="shared" si="821"/>
        <v>1</v>
      </c>
      <c r="DK166" s="79">
        <f t="shared" si="822"/>
        <v>0</v>
      </c>
      <c r="DL166" s="79">
        <f t="shared" si="823"/>
        <v>0</v>
      </c>
      <c r="DM166">
        <f t="shared" si="824"/>
        <v>1</v>
      </c>
      <c r="DN166">
        <f t="shared" si="825"/>
        <v>0</v>
      </c>
      <c r="DP166" s="79">
        <f t="shared" si="826"/>
        <v>0</v>
      </c>
      <c r="DQ166" s="79">
        <f t="shared" si="827"/>
        <v>0</v>
      </c>
      <c r="DR166">
        <f t="shared" si="828"/>
        <v>0</v>
      </c>
      <c r="DS166">
        <f t="shared" si="829"/>
        <v>1</v>
      </c>
      <c r="DU166" s="79">
        <f t="shared" si="830"/>
        <v>0</v>
      </c>
      <c r="DV166" s="79">
        <f t="shared" si="831"/>
        <v>0</v>
      </c>
      <c r="DW166">
        <f t="shared" si="832"/>
        <v>0</v>
      </c>
      <c r="DX166">
        <f t="shared" si="833"/>
        <v>1</v>
      </c>
      <c r="DZ166" s="79">
        <f t="shared" si="834"/>
        <v>0</v>
      </c>
      <c r="EA166" s="79">
        <f t="shared" si="835"/>
        <v>0</v>
      </c>
      <c r="EB166">
        <f t="shared" si="836"/>
        <v>0</v>
      </c>
      <c r="EC166">
        <f t="shared" si="837"/>
        <v>1</v>
      </c>
    </row>
    <row r="167" spans="1:133">
      <c r="A167" s="164"/>
      <c r="B167" s="164"/>
      <c r="C167" s="164"/>
      <c r="D167" s="164"/>
      <c r="E167" s="164"/>
      <c r="F167" s="163"/>
      <c r="G167" s="164"/>
      <c r="H167" s="164"/>
      <c r="I167" s="164"/>
      <c r="J167" s="164"/>
      <c r="AH167" s="72">
        <f t="shared" si="748"/>
        <v>0</v>
      </c>
      <c r="AI167" s="72">
        <f t="shared" si="749"/>
        <v>0</v>
      </c>
      <c r="AJ167" s="72">
        <f t="shared" si="750"/>
        <v>0</v>
      </c>
      <c r="AK167" s="72">
        <f t="shared" si="751"/>
        <v>0</v>
      </c>
      <c r="AL167" s="72">
        <f t="shared" si="752"/>
        <v>0</v>
      </c>
      <c r="AM167" s="72">
        <f t="shared" si="753"/>
        <v>0</v>
      </c>
      <c r="AN167" s="72">
        <f t="shared" si="754"/>
        <v>0</v>
      </c>
      <c r="AO167" s="72">
        <f t="shared" si="755"/>
        <v>0</v>
      </c>
      <c r="AP167" s="72">
        <f t="shared" si="756"/>
        <v>0</v>
      </c>
      <c r="AQ167" s="72">
        <f t="shared" si="757"/>
        <v>0</v>
      </c>
      <c r="AR167" s="72">
        <f t="shared" si="758"/>
        <v>0</v>
      </c>
      <c r="AS167" s="72">
        <f t="shared" si="759"/>
        <v>0</v>
      </c>
      <c r="AT167" s="72">
        <f t="shared" si="760"/>
        <v>0</v>
      </c>
      <c r="AU167" s="72">
        <f t="shared" si="761"/>
        <v>0</v>
      </c>
      <c r="AV167" s="72">
        <f t="shared" si="762"/>
        <v>0</v>
      </c>
      <c r="AW167" s="72">
        <f t="shared" si="763"/>
        <v>0</v>
      </c>
      <c r="AX167" s="72">
        <f t="shared" si="764"/>
        <v>0</v>
      </c>
      <c r="AY167" s="72">
        <f t="shared" si="765"/>
        <v>0</v>
      </c>
      <c r="AZ167" s="72">
        <f t="shared" si="766"/>
        <v>0</v>
      </c>
      <c r="BA167" s="72">
        <f t="shared" si="767"/>
        <v>0</v>
      </c>
      <c r="BB167" s="72">
        <f t="shared" si="768"/>
        <v>0</v>
      </c>
      <c r="BC167" s="72">
        <f t="shared" si="769"/>
        <v>0</v>
      </c>
      <c r="BD167" s="72">
        <f t="shared" si="770"/>
        <v>0</v>
      </c>
      <c r="BE167" s="72">
        <f t="shared" si="771"/>
        <v>0</v>
      </c>
      <c r="BF167" s="72">
        <f t="shared" si="772"/>
        <v>0</v>
      </c>
      <c r="BG167" s="72">
        <f t="shared" si="773"/>
        <v>0</v>
      </c>
      <c r="BH167" s="72">
        <f t="shared" si="774"/>
        <v>0</v>
      </c>
      <c r="BI167" s="72">
        <f t="shared" si="775"/>
        <v>0</v>
      </c>
      <c r="BJ167" s="72">
        <f t="shared" si="776"/>
        <v>0</v>
      </c>
      <c r="BK167" s="72">
        <f t="shared" si="777"/>
        <v>0</v>
      </c>
      <c r="BL167" s="72">
        <f t="shared" si="778"/>
        <v>0</v>
      </c>
      <c r="BM167" s="72">
        <f t="shared" si="779"/>
        <v>0</v>
      </c>
      <c r="BN167" s="72">
        <f t="shared" si="780"/>
        <v>0</v>
      </c>
      <c r="BO167" s="72">
        <f t="shared" si="781"/>
        <v>0</v>
      </c>
      <c r="BP167" s="72">
        <f t="shared" si="782"/>
        <v>0</v>
      </c>
      <c r="BQ167" s="72">
        <f t="shared" si="783"/>
        <v>0</v>
      </c>
      <c r="BR167" s="72">
        <f t="shared" si="784"/>
        <v>0</v>
      </c>
      <c r="BS167" s="72">
        <f t="shared" si="785"/>
        <v>0</v>
      </c>
      <c r="BT167" s="72">
        <f t="shared" si="786"/>
        <v>0</v>
      </c>
      <c r="BU167" s="72">
        <f t="shared" si="787"/>
        <v>0</v>
      </c>
      <c r="BW167">
        <f t="shared" si="788"/>
        <v>0</v>
      </c>
      <c r="BX167">
        <f t="shared" si="789"/>
        <v>0</v>
      </c>
      <c r="BY167">
        <f t="shared" si="790"/>
        <v>0</v>
      </c>
      <c r="BZ167">
        <f t="shared" si="791"/>
        <v>0</v>
      </c>
      <c r="CA167">
        <f t="shared" si="792"/>
        <v>0</v>
      </c>
      <c r="CB167">
        <f t="shared" si="793"/>
        <v>0</v>
      </c>
      <c r="CD167">
        <f t="shared" si="794"/>
        <v>0</v>
      </c>
      <c r="CE167">
        <f t="shared" si="795"/>
        <v>0</v>
      </c>
      <c r="CF167">
        <f t="shared" si="796"/>
        <v>0</v>
      </c>
      <c r="CG167">
        <f t="shared" si="797"/>
        <v>0</v>
      </c>
      <c r="CH167">
        <f t="shared" si="798"/>
        <v>0</v>
      </c>
      <c r="CI167">
        <f t="shared" si="799"/>
        <v>0</v>
      </c>
      <c r="CK167">
        <f t="shared" si="800"/>
        <v>0</v>
      </c>
      <c r="CL167">
        <f t="shared" si="801"/>
        <v>0</v>
      </c>
      <c r="CM167">
        <f t="shared" si="802"/>
        <v>0</v>
      </c>
      <c r="CN167">
        <f t="shared" si="803"/>
        <v>0</v>
      </c>
      <c r="CO167">
        <f t="shared" si="804"/>
        <v>0</v>
      </c>
      <c r="CP167">
        <f t="shared" si="805"/>
        <v>0</v>
      </c>
      <c r="CR167">
        <f t="shared" si="806"/>
        <v>0</v>
      </c>
      <c r="CS167">
        <f t="shared" si="807"/>
        <v>0</v>
      </c>
      <c r="CT167">
        <f t="shared" si="808"/>
        <v>0</v>
      </c>
      <c r="CU167">
        <f t="shared" si="809"/>
        <v>0</v>
      </c>
      <c r="CV167">
        <f t="shared" si="810"/>
        <v>0</v>
      </c>
      <c r="CW167">
        <f t="shared" si="811"/>
        <v>0</v>
      </c>
      <c r="CY167">
        <f t="shared" si="812"/>
        <v>0</v>
      </c>
      <c r="CZ167">
        <f t="shared" si="813"/>
        <v>0</v>
      </c>
      <c r="DA167">
        <f t="shared" si="814"/>
        <v>0</v>
      </c>
      <c r="DB167">
        <f t="shared" si="815"/>
        <v>0</v>
      </c>
      <c r="DC167">
        <f t="shared" si="816"/>
        <v>0</v>
      </c>
      <c r="DD167">
        <f t="shared" si="817"/>
        <v>0</v>
      </c>
      <c r="DF167" s="79">
        <f t="shared" si="818"/>
        <v>0</v>
      </c>
      <c r="DG167" s="79">
        <f t="shared" si="819"/>
        <v>0</v>
      </c>
      <c r="DH167">
        <f t="shared" si="820"/>
        <v>0</v>
      </c>
      <c r="DI167">
        <f t="shared" si="821"/>
        <v>1</v>
      </c>
      <c r="DK167" s="79">
        <f t="shared" si="822"/>
        <v>0</v>
      </c>
      <c r="DL167" s="79">
        <f t="shared" si="823"/>
        <v>0</v>
      </c>
      <c r="DM167">
        <f t="shared" si="824"/>
        <v>1</v>
      </c>
      <c r="DN167">
        <f t="shared" si="825"/>
        <v>0</v>
      </c>
      <c r="DP167" s="79">
        <f t="shared" si="826"/>
        <v>0</v>
      </c>
      <c r="DQ167" s="79">
        <f t="shared" si="827"/>
        <v>0</v>
      </c>
      <c r="DR167">
        <f t="shared" si="828"/>
        <v>0</v>
      </c>
      <c r="DS167">
        <f t="shared" si="829"/>
        <v>1</v>
      </c>
      <c r="DU167" s="79">
        <f t="shared" si="830"/>
        <v>0</v>
      </c>
      <c r="DV167" s="79">
        <f t="shared" si="831"/>
        <v>0</v>
      </c>
      <c r="DW167">
        <f t="shared" si="832"/>
        <v>0</v>
      </c>
      <c r="DX167">
        <f t="shared" si="833"/>
        <v>1</v>
      </c>
      <c r="DZ167" s="79">
        <f t="shared" si="834"/>
        <v>0</v>
      </c>
      <c r="EA167" s="79">
        <f t="shared" si="835"/>
        <v>0</v>
      </c>
      <c r="EB167">
        <f t="shared" si="836"/>
        <v>0</v>
      </c>
      <c r="EC167">
        <f t="shared" si="837"/>
        <v>1</v>
      </c>
    </row>
    <row r="168" spans="1:133">
      <c r="A168" s="164"/>
      <c r="B168" s="164"/>
      <c r="C168" s="164"/>
      <c r="D168" s="164"/>
      <c r="E168" s="164"/>
      <c r="F168" s="163"/>
      <c r="G168" s="164"/>
      <c r="H168" s="164"/>
      <c r="I168" s="164"/>
      <c r="J168" s="164"/>
      <c r="AH168" s="72">
        <f t="shared" si="748"/>
        <v>0</v>
      </c>
      <c r="AI168" s="72">
        <f t="shared" si="749"/>
        <v>0</v>
      </c>
      <c r="AJ168" s="72">
        <f t="shared" si="750"/>
        <v>0</v>
      </c>
      <c r="AK168" s="72">
        <f t="shared" si="751"/>
        <v>0</v>
      </c>
      <c r="AL168" s="72">
        <f t="shared" si="752"/>
        <v>0</v>
      </c>
      <c r="AM168" s="72">
        <f t="shared" si="753"/>
        <v>0</v>
      </c>
      <c r="AN168" s="72">
        <f t="shared" si="754"/>
        <v>0</v>
      </c>
      <c r="AO168" s="72">
        <f t="shared" si="755"/>
        <v>0</v>
      </c>
      <c r="AP168" s="72">
        <f t="shared" si="756"/>
        <v>0</v>
      </c>
      <c r="AQ168" s="72">
        <f t="shared" si="757"/>
        <v>0</v>
      </c>
      <c r="AR168" s="72">
        <f t="shared" si="758"/>
        <v>0</v>
      </c>
      <c r="AS168" s="72">
        <f t="shared" si="759"/>
        <v>0</v>
      </c>
      <c r="AT168" s="72">
        <f t="shared" si="760"/>
        <v>0</v>
      </c>
      <c r="AU168" s="72">
        <f t="shared" si="761"/>
        <v>0</v>
      </c>
      <c r="AV168" s="72">
        <f t="shared" si="762"/>
        <v>0</v>
      </c>
      <c r="AW168" s="72">
        <f t="shared" si="763"/>
        <v>0</v>
      </c>
      <c r="AX168" s="72">
        <f t="shared" si="764"/>
        <v>0</v>
      </c>
      <c r="AY168" s="72">
        <f t="shared" si="765"/>
        <v>0</v>
      </c>
      <c r="AZ168" s="72">
        <f t="shared" si="766"/>
        <v>0</v>
      </c>
      <c r="BA168" s="72">
        <f t="shared" si="767"/>
        <v>0</v>
      </c>
      <c r="BB168" s="72">
        <f t="shared" si="768"/>
        <v>0</v>
      </c>
      <c r="BC168" s="72">
        <f t="shared" si="769"/>
        <v>0</v>
      </c>
      <c r="BD168" s="72">
        <f t="shared" si="770"/>
        <v>0</v>
      </c>
      <c r="BE168" s="72">
        <f t="shared" si="771"/>
        <v>0</v>
      </c>
      <c r="BF168" s="72">
        <f t="shared" si="772"/>
        <v>0</v>
      </c>
      <c r="BG168" s="72">
        <f t="shared" si="773"/>
        <v>0</v>
      </c>
      <c r="BH168" s="72">
        <f t="shared" si="774"/>
        <v>0</v>
      </c>
      <c r="BI168" s="72">
        <f t="shared" si="775"/>
        <v>0</v>
      </c>
      <c r="BJ168" s="72">
        <f t="shared" si="776"/>
        <v>0</v>
      </c>
      <c r="BK168" s="72">
        <f t="shared" si="777"/>
        <v>0</v>
      </c>
      <c r="BL168" s="72">
        <f t="shared" si="778"/>
        <v>0</v>
      </c>
      <c r="BM168" s="72">
        <f t="shared" si="779"/>
        <v>0</v>
      </c>
      <c r="BN168" s="72">
        <f t="shared" si="780"/>
        <v>0</v>
      </c>
      <c r="BO168" s="72">
        <f t="shared" si="781"/>
        <v>0</v>
      </c>
      <c r="BP168" s="72">
        <f t="shared" si="782"/>
        <v>0</v>
      </c>
      <c r="BQ168" s="72">
        <f t="shared" si="783"/>
        <v>0</v>
      </c>
      <c r="BR168" s="72">
        <f t="shared" si="784"/>
        <v>0</v>
      </c>
      <c r="BS168" s="72">
        <f t="shared" si="785"/>
        <v>0</v>
      </c>
      <c r="BT168" s="72">
        <f t="shared" si="786"/>
        <v>0</v>
      </c>
      <c r="BU168" s="72">
        <f t="shared" si="787"/>
        <v>0</v>
      </c>
      <c r="BW168">
        <f t="shared" si="788"/>
        <v>0</v>
      </c>
      <c r="BX168">
        <f t="shared" si="789"/>
        <v>0</v>
      </c>
      <c r="BY168">
        <f t="shared" si="790"/>
        <v>0</v>
      </c>
      <c r="BZ168">
        <f t="shared" si="791"/>
        <v>0</v>
      </c>
      <c r="CA168">
        <f t="shared" si="792"/>
        <v>0</v>
      </c>
      <c r="CB168">
        <f t="shared" si="793"/>
        <v>0</v>
      </c>
      <c r="CD168">
        <f t="shared" si="794"/>
        <v>0</v>
      </c>
      <c r="CE168">
        <f t="shared" si="795"/>
        <v>0</v>
      </c>
      <c r="CF168">
        <f t="shared" si="796"/>
        <v>0</v>
      </c>
      <c r="CG168">
        <f t="shared" si="797"/>
        <v>0</v>
      </c>
      <c r="CH168">
        <f t="shared" si="798"/>
        <v>0</v>
      </c>
      <c r="CI168">
        <f t="shared" si="799"/>
        <v>0</v>
      </c>
      <c r="CK168">
        <f t="shared" si="800"/>
        <v>0</v>
      </c>
      <c r="CL168">
        <f t="shared" si="801"/>
        <v>0</v>
      </c>
      <c r="CM168">
        <f t="shared" si="802"/>
        <v>0</v>
      </c>
      <c r="CN168">
        <f t="shared" si="803"/>
        <v>0</v>
      </c>
      <c r="CO168">
        <f t="shared" si="804"/>
        <v>0</v>
      </c>
      <c r="CP168">
        <f t="shared" si="805"/>
        <v>0</v>
      </c>
      <c r="CR168">
        <f t="shared" si="806"/>
        <v>0</v>
      </c>
      <c r="CS168">
        <f t="shared" si="807"/>
        <v>0</v>
      </c>
      <c r="CT168">
        <f t="shared" si="808"/>
        <v>0</v>
      </c>
      <c r="CU168">
        <f t="shared" si="809"/>
        <v>0</v>
      </c>
      <c r="CV168">
        <f t="shared" si="810"/>
        <v>0</v>
      </c>
      <c r="CW168">
        <f t="shared" si="811"/>
        <v>0</v>
      </c>
      <c r="CY168">
        <f t="shared" si="812"/>
        <v>0</v>
      </c>
      <c r="CZ168">
        <f t="shared" si="813"/>
        <v>0</v>
      </c>
      <c r="DA168">
        <f t="shared" si="814"/>
        <v>0</v>
      </c>
      <c r="DB168">
        <f t="shared" si="815"/>
        <v>0</v>
      </c>
      <c r="DC168">
        <f t="shared" si="816"/>
        <v>0</v>
      </c>
      <c r="DD168">
        <f t="shared" si="817"/>
        <v>0</v>
      </c>
      <c r="DF168" s="79">
        <f t="shared" si="818"/>
        <v>0</v>
      </c>
      <c r="DG168" s="79">
        <f t="shared" si="819"/>
        <v>0</v>
      </c>
      <c r="DH168">
        <f t="shared" si="820"/>
        <v>0</v>
      </c>
      <c r="DI168">
        <f t="shared" si="821"/>
        <v>1</v>
      </c>
      <c r="DK168" s="79">
        <f t="shared" si="822"/>
        <v>0</v>
      </c>
      <c r="DL168" s="79">
        <f t="shared" si="823"/>
        <v>0</v>
      </c>
      <c r="DM168">
        <f t="shared" si="824"/>
        <v>1</v>
      </c>
      <c r="DN168">
        <f t="shared" si="825"/>
        <v>0</v>
      </c>
      <c r="DP168" s="79">
        <f t="shared" si="826"/>
        <v>0</v>
      </c>
      <c r="DQ168" s="79">
        <f t="shared" si="827"/>
        <v>0</v>
      </c>
      <c r="DR168">
        <f t="shared" si="828"/>
        <v>0</v>
      </c>
      <c r="DS168">
        <f t="shared" si="829"/>
        <v>1</v>
      </c>
      <c r="DU168" s="79">
        <f t="shared" si="830"/>
        <v>0</v>
      </c>
      <c r="DV168" s="79">
        <f t="shared" si="831"/>
        <v>0</v>
      </c>
      <c r="DW168">
        <f t="shared" si="832"/>
        <v>0</v>
      </c>
      <c r="DX168">
        <f t="shared" si="833"/>
        <v>1</v>
      </c>
      <c r="DZ168" s="79">
        <f t="shared" si="834"/>
        <v>0</v>
      </c>
      <c r="EA168" s="79">
        <f t="shared" si="835"/>
        <v>0</v>
      </c>
      <c r="EB168">
        <f t="shared" si="836"/>
        <v>0</v>
      </c>
      <c r="EC168">
        <f t="shared" si="837"/>
        <v>1</v>
      </c>
    </row>
    <row r="169" spans="1:133">
      <c r="A169" s="164"/>
      <c r="B169" s="164"/>
      <c r="C169" s="164"/>
      <c r="D169" s="164"/>
      <c r="E169" s="164"/>
      <c r="F169" s="163"/>
      <c r="G169" s="164"/>
      <c r="H169" s="164"/>
      <c r="I169" s="164"/>
      <c r="J169" s="164"/>
      <c r="AH169" s="72">
        <f t="shared" si="748"/>
        <v>0</v>
      </c>
      <c r="AI169" s="72">
        <f t="shared" si="749"/>
        <v>0</v>
      </c>
      <c r="AJ169" s="72">
        <f t="shared" si="750"/>
        <v>0</v>
      </c>
      <c r="AK169" s="72">
        <f t="shared" si="751"/>
        <v>0</v>
      </c>
      <c r="AL169" s="72">
        <f t="shared" si="752"/>
        <v>0</v>
      </c>
      <c r="AM169" s="72">
        <f t="shared" si="753"/>
        <v>0</v>
      </c>
      <c r="AN169" s="72">
        <f t="shared" si="754"/>
        <v>0</v>
      </c>
      <c r="AO169" s="72">
        <f t="shared" si="755"/>
        <v>0</v>
      </c>
      <c r="AP169" s="72">
        <f t="shared" si="756"/>
        <v>0</v>
      </c>
      <c r="AQ169" s="72">
        <f t="shared" si="757"/>
        <v>0</v>
      </c>
      <c r="AR169" s="72">
        <f t="shared" si="758"/>
        <v>0</v>
      </c>
      <c r="AS169" s="72">
        <f t="shared" si="759"/>
        <v>0</v>
      </c>
      <c r="AT169" s="72">
        <f t="shared" si="760"/>
        <v>0</v>
      </c>
      <c r="AU169" s="72">
        <f t="shared" si="761"/>
        <v>0</v>
      </c>
      <c r="AV169" s="72">
        <f t="shared" si="762"/>
        <v>0</v>
      </c>
      <c r="AW169" s="72">
        <f t="shared" si="763"/>
        <v>0</v>
      </c>
      <c r="AX169" s="72">
        <f t="shared" si="764"/>
        <v>0</v>
      </c>
      <c r="AY169" s="72">
        <f t="shared" si="765"/>
        <v>0</v>
      </c>
      <c r="AZ169" s="72">
        <f t="shared" si="766"/>
        <v>0</v>
      </c>
      <c r="BA169" s="72">
        <f t="shared" si="767"/>
        <v>0</v>
      </c>
      <c r="BB169" s="72">
        <f t="shared" si="768"/>
        <v>0</v>
      </c>
      <c r="BC169" s="72">
        <f t="shared" si="769"/>
        <v>0</v>
      </c>
      <c r="BD169" s="72">
        <f t="shared" si="770"/>
        <v>0</v>
      </c>
      <c r="BE169" s="72">
        <f t="shared" si="771"/>
        <v>0</v>
      </c>
      <c r="BF169" s="72">
        <f t="shared" si="772"/>
        <v>0</v>
      </c>
      <c r="BG169" s="72">
        <f t="shared" si="773"/>
        <v>0</v>
      </c>
      <c r="BH169" s="72">
        <f t="shared" si="774"/>
        <v>0</v>
      </c>
      <c r="BI169" s="72">
        <f t="shared" si="775"/>
        <v>0</v>
      </c>
      <c r="BJ169" s="72">
        <f t="shared" si="776"/>
        <v>0</v>
      </c>
      <c r="BK169" s="72">
        <f t="shared" si="777"/>
        <v>0</v>
      </c>
      <c r="BL169" s="72">
        <f t="shared" si="778"/>
        <v>0</v>
      </c>
      <c r="BM169" s="72">
        <f t="shared" si="779"/>
        <v>0</v>
      </c>
      <c r="BN169" s="72">
        <f t="shared" si="780"/>
        <v>0</v>
      </c>
      <c r="BO169" s="72">
        <f t="shared" si="781"/>
        <v>0</v>
      </c>
      <c r="BP169" s="72">
        <f t="shared" si="782"/>
        <v>0</v>
      </c>
      <c r="BQ169" s="72">
        <f t="shared" si="783"/>
        <v>0</v>
      </c>
      <c r="BR169" s="72">
        <f t="shared" si="784"/>
        <v>0</v>
      </c>
      <c r="BS169" s="72">
        <f t="shared" si="785"/>
        <v>0</v>
      </c>
      <c r="BT169" s="72">
        <f t="shared" si="786"/>
        <v>0</v>
      </c>
      <c r="BU169" s="72">
        <f t="shared" si="787"/>
        <v>0</v>
      </c>
      <c r="BW169">
        <f t="shared" si="788"/>
        <v>0</v>
      </c>
      <c r="BX169">
        <f t="shared" si="789"/>
        <v>0</v>
      </c>
      <c r="BY169">
        <f t="shared" si="790"/>
        <v>0</v>
      </c>
      <c r="BZ169">
        <f t="shared" si="791"/>
        <v>0</v>
      </c>
      <c r="CA169">
        <f t="shared" si="792"/>
        <v>0</v>
      </c>
      <c r="CB169">
        <f t="shared" si="793"/>
        <v>0</v>
      </c>
      <c r="CD169">
        <f t="shared" si="794"/>
        <v>0</v>
      </c>
      <c r="CE169">
        <f t="shared" si="795"/>
        <v>0</v>
      </c>
      <c r="CF169">
        <f t="shared" si="796"/>
        <v>0</v>
      </c>
      <c r="CG169">
        <f t="shared" si="797"/>
        <v>0</v>
      </c>
      <c r="CH169">
        <f t="shared" si="798"/>
        <v>0</v>
      </c>
      <c r="CI169">
        <f t="shared" si="799"/>
        <v>0</v>
      </c>
      <c r="CK169">
        <f t="shared" si="800"/>
        <v>0</v>
      </c>
      <c r="CL169">
        <f t="shared" si="801"/>
        <v>0</v>
      </c>
      <c r="CM169">
        <f t="shared" si="802"/>
        <v>0</v>
      </c>
      <c r="CN169">
        <f t="shared" si="803"/>
        <v>0</v>
      </c>
      <c r="CO169">
        <f t="shared" si="804"/>
        <v>0</v>
      </c>
      <c r="CP169">
        <f t="shared" si="805"/>
        <v>0</v>
      </c>
      <c r="CR169">
        <f t="shared" si="806"/>
        <v>0</v>
      </c>
      <c r="CS169">
        <f t="shared" si="807"/>
        <v>0</v>
      </c>
      <c r="CT169">
        <f t="shared" si="808"/>
        <v>0</v>
      </c>
      <c r="CU169">
        <f t="shared" si="809"/>
        <v>0</v>
      </c>
      <c r="CV169">
        <f t="shared" si="810"/>
        <v>0</v>
      </c>
      <c r="CW169">
        <f t="shared" si="811"/>
        <v>0</v>
      </c>
      <c r="CY169">
        <f t="shared" si="812"/>
        <v>0</v>
      </c>
      <c r="CZ169">
        <f t="shared" si="813"/>
        <v>0</v>
      </c>
      <c r="DA169">
        <f t="shared" si="814"/>
        <v>0</v>
      </c>
      <c r="DB169">
        <f t="shared" si="815"/>
        <v>0</v>
      </c>
      <c r="DC169">
        <f t="shared" si="816"/>
        <v>0</v>
      </c>
      <c r="DD169">
        <f t="shared" si="817"/>
        <v>0</v>
      </c>
      <c r="DF169" s="79">
        <f t="shared" si="818"/>
        <v>0</v>
      </c>
      <c r="DG169" s="79">
        <f t="shared" si="819"/>
        <v>0</v>
      </c>
      <c r="DH169">
        <f t="shared" si="820"/>
        <v>0</v>
      </c>
      <c r="DI169">
        <f t="shared" si="821"/>
        <v>1</v>
      </c>
      <c r="DK169" s="79">
        <f t="shared" si="822"/>
        <v>0</v>
      </c>
      <c r="DL169" s="79">
        <f t="shared" si="823"/>
        <v>0</v>
      </c>
      <c r="DM169">
        <f t="shared" si="824"/>
        <v>1</v>
      </c>
      <c r="DN169">
        <f t="shared" si="825"/>
        <v>0</v>
      </c>
      <c r="DP169" s="79">
        <f t="shared" si="826"/>
        <v>0</v>
      </c>
      <c r="DQ169" s="79">
        <f t="shared" si="827"/>
        <v>0</v>
      </c>
      <c r="DR169">
        <f t="shared" si="828"/>
        <v>0</v>
      </c>
      <c r="DS169">
        <f t="shared" si="829"/>
        <v>1</v>
      </c>
      <c r="DU169" s="79">
        <f t="shared" si="830"/>
        <v>0</v>
      </c>
      <c r="DV169" s="79">
        <f t="shared" si="831"/>
        <v>0</v>
      </c>
      <c r="DW169">
        <f t="shared" si="832"/>
        <v>0</v>
      </c>
      <c r="DX169">
        <f t="shared" si="833"/>
        <v>1</v>
      </c>
      <c r="DZ169" s="79">
        <f t="shared" si="834"/>
        <v>0</v>
      </c>
      <c r="EA169" s="79">
        <f t="shared" si="835"/>
        <v>0</v>
      </c>
      <c r="EB169">
        <f t="shared" si="836"/>
        <v>0</v>
      </c>
      <c r="EC169">
        <f t="shared" si="837"/>
        <v>1</v>
      </c>
    </row>
    <row r="170" spans="1:133">
      <c r="A170" s="164"/>
      <c r="B170" s="164"/>
      <c r="C170" s="164"/>
      <c r="D170" s="164"/>
      <c r="E170" s="164"/>
      <c r="F170" s="163"/>
      <c r="G170" s="164"/>
      <c r="H170" s="164"/>
      <c r="I170" s="164"/>
      <c r="J170" s="164"/>
      <c r="AH170" s="72">
        <f t="shared" si="748"/>
        <v>0</v>
      </c>
      <c r="AI170" s="72">
        <f t="shared" si="749"/>
        <v>0</v>
      </c>
      <c r="AJ170" s="72">
        <f t="shared" si="750"/>
        <v>0</v>
      </c>
      <c r="AK170" s="72">
        <f t="shared" si="751"/>
        <v>0</v>
      </c>
      <c r="AL170" s="72">
        <f t="shared" si="752"/>
        <v>0</v>
      </c>
      <c r="AM170" s="72">
        <f t="shared" si="753"/>
        <v>0</v>
      </c>
      <c r="AN170" s="72">
        <f t="shared" si="754"/>
        <v>0</v>
      </c>
      <c r="AO170" s="72">
        <f t="shared" si="755"/>
        <v>0</v>
      </c>
      <c r="AP170" s="72">
        <f t="shared" si="756"/>
        <v>0</v>
      </c>
      <c r="AQ170" s="72">
        <f t="shared" si="757"/>
        <v>0</v>
      </c>
      <c r="AR170" s="72">
        <f t="shared" si="758"/>
        <v>0</v>
      </c>
      <c r="AS170" s="72">
        <f t="shared" si="759"/>
        <v>0</v>
      </c>
      <c r="AT170" s="72">
        <f t="shared" si="760"/>
        <v>0</v>
      </c>
      <c r="AU170" s="72">
        <f t="shared" si="761"/>
        <v>0</v>
      </c>
      <c r="AV170" s="72">
        <f t="shared" si="762"/>
        <v>0</v>
      </c>
      <c r="AW170" s="72">
        <f t="shared" si="763"/>
        <v>0</v>
      </c>
      <c r="AX170" s="72">
        <f t="shared" si="764"/>
        <v>0</v>
      </c>
      <c r="AY170" s="72">
        <f t="shared" si="765"/>
        <v>0</v>
      </c>
      <c r="AZ170" s="72">
        <f t="shared" si="766"/>
        <v>0</v>
      </c>
      <c r="BA170" s="72">
        <f t="shared" si="767"/>
        <v>0</v>
      </c>
      <c r="BB170" s="72">
        <f t="shared" si="768"/>
        <v>0</v>
      </c>
      <c r="BC170" s="72">
        <f t="shared" si="769"/>
        <v>0</v>
      </c>
      <c r="BD170" s="72">
        <f t="shared" si="770"/>
        <v>0</v>
      </c>
      <c r="BE170" s="72">
        <f t="shared" si="771"/>
        <v>0</v>
      </c>
      <c r="BF170" s="72">
        <f t="shared" si="772"/>
        <v>0</v>
      </c>
      <c r="BG170" s="72">
        <f t="shared" si="773"/>
        <v>0</v>
      </c>
      <c r="BH170" s="72">
        <f t="shared" si="774"/>
        <v>0</v>
      </c>
      <c r="BI170" s="72">
        <f t="shared" si="775"/>
        <v>0</v>
      </c>
      <c r="BJ170" s="72">
        <f t="shared" si="776"/>
        <v>0</v>
      </c>
      <c r="BK170" s="72">
        <f t="shared" si="777"/>
        <v>0</v>
      </c>
      <c r="BL170" s="72">
        <f t="shared" si="778"/>
        <v>0</v>
      </c>
      <c r="BM170" s="72">
        <f t="shared" si="779"/>
        <v>0</v>
      </c>
      <c r="BN170" s="72">
        <f t="shared" si="780"/>
        <v>0</v>
      </c>
      <c r="BO170" s="72">
        <f t="shared" si="781"/>
        <v>0</v>
      </c>
      <c r="BP170" s="72">
        <f t="shared" si="782"/>
        <v>0</v>
      </c>
      <c r="BQ170" s="72">
        <f t="shared" si="783"/>
        <v>0</v>
      </c>
      <c r="BR170" s="72">
        <f t="shared" si="784"/>
        <v>0</v>
      </c>
      <c r="BS170" s="72">
        <f t="shared" si="785"/>
        <v>0</v>
      </c>
      <c r="BT170" s="72">
        <f t="shared" si="786"/>
        <v>0</v>
      </c>
      <c r="BU170" s="72">
        <f t="shared" si="787"/>
        <v>0</v>
      </c>
      <c r="BW170">
        <f t="shared" si="788"/>
        <v>0</v>
      </c>
      <c r="BX170">
        <f t="shared" si="789"/>
        <v>0</v>
      </c>
      <c r="BY170">
        <f t="shared" si="790"/>
        <v>0</v>
      </c>
      <c r="BZ170">
        <f t="shared" si="791"/>
        <v>0</v>
      </c>
      <c r="CA170">
        <f t="shared" si="792"/>
        <v>0</v>
      </c>
      <c r="CB170">
        <f t="shared" si="793"/>
        <v>0</v>
      </c>
      <c r="CD170">
        <f t="shared" si="794"/>
        <v>0</v>
      </c>
      <c r="CE170">
        <f t="shared" si="795"/>
        <v>0</v>
      </c>
      <c r="CF170">
        <f t="shared" si="796"/>
        <v>0</v>
      </c>
      <c r="CG170">
        <f t="shared" si="797"/>
        <v>0</v>
      </c>
      <c r="CH170">
        <f t="shared" si="798"/>
        <v>0</v>
      </c>
      <c r="CI170">
        <f t="shared" si="799"/>
        <v>0</v>
      </c>
      <c r="CK170">
        <f t="shared" si="800"/>
        <v>0</v>
      </c>
      <c r="CL170">
        <f t="shared" si="801"/>
        <v>0</v>
      </c>
      <c r="CM170">
        <f t="shared" si="802"/>
        <v>0</v>
      </c>
      <c r="CN170">
        <f t="shared" si="803"/>
        <v>0</v>
      </c>
      <c r="CO170">
        <f t="shared" si="804"/>
        <v>0</v>
      </c>
      <c r="CP170">
        <f t="shared" si="805"/>
        <v>0</v>
      </c>
      <c r="CR170">
        <f t="shared" si="806"/>
        <v>0</v>
      </c>
      <c r="CS170">
        <f t="shared" si="807"/>
        <v>0</v>
      </c>
      <c r="CT170">
        <f t="shared" si="808"/>
        <v>0</v>
      </c>
      <c r="CU170">
        <f t="shared" si="809"/>
        <v>0</v>
      </c>
      <c r="CV170">
        <f t="shared" si="810"/>
        <v>0</v>
      </c>
      <c r="CW170">
        <f t="shared" si="811"/>
        <v>0</v>
      </c>
      <c r="CY170">
        <f t="shared" si="812"/>
        <v>0</v>
      </c>
      <c r="CZ170">
        <f t="shared" si="813"/>
        <v>0</v>
      </c>
      <c r="DA170">
        <f t="shared" si="814"/>
        <v>0</v>
      </c>
      <c r="DB170">
        <f t="shared" si="815"/>
        <v>0</v>
      </c>
      <c r="DC170">
        <f t="shared" si="816"/>
        <v>0</v>
      </c>
      <c r="DD170">
        <f t="shared" si="817"/>
        <v>0</v>
      </c>
      <c r="DF170" s="79">
        <f t="shared" si="818"/>
        <v>0</v>
      </c>
      <c r="DG170" s="79">
        <f t="shared" si="819"/>
        <v>0</v>
      </c>
      <c r="DH170">
        <f t="shared" si="820"/>
        <v>0</v>
      </c>
      <c r="DI170">
        <f t="shared" si="821"/>
        <v>1</v>
      </c>
      <c r="DK170" s="79">
        <f t="shared" si="822"/>
        <v>0</v>
      </c>
      <c r="DL170" s="79">
        <f t="shared" si="823"/>
        <v>0</v>
      </c>
      <c r="DM170">
        <f t="shared" si="824"/>
        <v>1</v>
      </c>
      <c r="DN170">
        <f t="shared" si="825"/>
        <v>0</v>
      </c>
      <c r="DP170" s="79">
        <f t="shared" si="826"/>
        <v>0</v>
      </c>
      <c r="DQ170" s="79">
        <f t="shared" si="827"/>
        <v>0</v>
      </c>
      <c r="DR170">
        <f t="shared" si="828"/>
        <v>0</v>
      </c>
      <c r="DS170">
        <f t="shared" si="829"/>
        <v>1</v>
      </c>
      <c r="DU170" s="79">
        <f t="shared" si="830"/>
        <v>0</v>
      </c>
      <c r="DV170" s="79">
        <f t="shared" si="831"/>
        <v>0</v>
      </c>
      <c r="DW170">
        <f t="shared" si="832"/>
        <v>0</v>
      </c>
      <c r="DX170">
        <f t="shared" si="833"/>
        <v>1</v>
      </c>
      <c r="DZ170" s="79">
        <f t="shared" si="834"/>
        <v>0</v>
      </c>
      <c r="EA170" s="79">
        <f t="shared" si="835"/>
        <v>0</v>
      </c>
      <c r="EB170">
        <f t="shared" si="836"/>
        <v>0</v>
      </c>
      <c r="EC170">
        <f t="shared" si="837"/>
        <v>1</v>
      </c>
    </row>
    <row r="171" spans="1:133">
      <c r="A171" s="164"/>
      <c r="B171" s="164"/>
      <c r="C171" s="164"/>
      <c r="D171" s="164"/>
      <c r="E171" s="164"/>
      <c r="F171" s="163"/>
      <c r="G171" s="164"/>
      <c r="H171" s="164"/>
      <c r="I171" s="164"/>
      <c r="J171" s="164"/>
      <c r="AH171" s="72">
        <f t="shared" si="748"/>
        <v>0</v>
      </c>
      <c r="AI171" s="72">
        <f t="shared" si="749"/>
        <v>0</v>
      </c>
      <c r="AJ171" s="72">
        <f t="shared" si="750"/>
        <v>0</v>
      </c>
      <c r="AK171" s="72">
        <f t="shared" si="751"/>
        <v>0</v>
      </c>
      <c r="AL171" s="72">
        <f t="shared" si="752"/>
        <v>0</v>
      </c>
      <c r="AM171" s="72">
        <f t="shared" si="753"/>
        <v>0</v>
      </c>
      <c r="AN171" s="72">
        <f t="shared" si="754"/>
        <v>0</v>
      </c>
      <c r="AO171" s="72">
        <f t="shared" si="755"/>
        <v>0</v>
      </c>
      <c r="AP171" s="72">
        <f t="shared" si="756"/>
        <v>0</v>
      </c>
      <c r="AQ171" s="72">
        <f t="shared" si="757"/>
        <v>0</v>
      </c>
      <c r="AR171" s="72">
        <f t="shared" si="758"/>
        <v>0</v>
      </c>
      <c r="AS171" s="72">
        <f t="shared" si="759"/>
        <v>0</v>
      </c>
      <c r="AT171" s="72">
        <f t="shared" si="760"/>
        <v>0</v>
      </c>
      <c r="AU171" s="72">
        <f t="shared" si="761"/>
        <v>0</v>
      </c>
      <c r="AV171" s="72">
        <f t="shared" si="762"/>
        <v>0</v>
      </c>
      <c r="AW171" s="72">
        <f t="shared" si="763"/>
        <v>0</v>
      </c>
      <c r="AX171" s="72">
        <f t="shared" si="764"/>
        <v>0</v>
      </c>
      <c r="AY171" s="72">
        <f t="shared" si="765"/>
        <v>0</v>
      </c>
      <c r="AZ171" s="72">
        <f t="shared" si="766"/>
        <v>0</v>
      </c>
      <c r="BA171" s="72">
        <f t="shared" si="767"/>
        <v>0</v>
      </c>
      <c r="BB171" s="72">
        <f t="shared" si="768"/>
        <v>0</v>
      </c>
      <c r="BC171" s="72">
        <f t="shared" si="769"/>
        <v>0</v>
      </c>
      <c r="BD171" s="72">
        <f t="shared" si="770"/>
        <v>0</v>
      </c>
      <c r="BE171" s="72">
        <f t="shared" si="771"/>
        <v>0</v>
      </c>
      <c r="BF171" s="72">
        <f t="shared" si="772"/>
        <v>0</v>
      </c>
      <c r="BG171" s="72">
        <f t="shared" si="773"/>
        <v>0</v>
      </c>
      <c r="BH171" s="72">
        <f t="shared" si="774"/>
        <v>0</v>
      </c>
      <c r="BI171" s="72">
        <f t="shared" si="775"/>
        <v>0</v>
      </c>
      <c r="BJ171" s="72">
        <f t="shared" si="776"/>
        <v>0</v>
      </c>
      <c r="BK171" s="72">
        <f t="shared" si="777"/>
        <v>0</v>
      </c>
      <c r="BL171" s="72">
        <f t="shared" si="778"/>
        <v>0</v>
      </c>
      <c r="BM171" s="72">
        <f t="shared" si="779"/>
        <v>0</v>
      </c>
      <c r="BN171" s="72">
        <f t="shared" si="780"/>
        <v>0</v>
      </c>
      <c r="BO171" s="72">
        <f t="shared" si="781"/>
        <v>0</v>
      </c>
      <c r="BP171" s="72">
        <f t="shared" si="782"/>
        <v>0</v>
      </c>
      <c r="BQ171" s="72">
        <f t="shared" si="783"/>
        <v>0</v>
      </c>
      <c r="BR171" s="72">
        <f t="shared" si="784"/>
        <v>0</v>
      </c>
      <c r="BS171" s="72">
        <f t="shared" si="785"/>
        <v>0</v>
      </c>
      <c r="BT171" s="72">
        <f t="shared" si="786"/>
        <v>0</v>
      </c>
      <c r="BU171" s="72">
        <f t="shared" si="787"/>
        <v>0</v>
      </c>
      <c r="BW171">
        <f t="shared" si="788"/>
        <v>0</v>
      </c>
      <c r="BX171">
        <f t="shared" si="789"/>
        <v>0</v>
      </c>
      <c r="BY171">
        <f t="shared" si="790"/>
        <v>0</v>
      </c>
      <c r="BZ171">
        <f t="shared" si="791"/>
        <v>0</v>
      </c>
      <c r="CA171">
        <f t="shared" si="792"/>
        <v>0</v>
      </c>
      <c r="CB171">
        <f t="shared" si="793"/>
        <v>0</v>
      </c>
      <c r="CD171">
        <f t="shared" si="794"/>
        <v>0</v>
      </c>
      <c r="CE171">
        <f t="shared" si="795"/>
        <v>0</v>
      </c>
      <c r="CF171">
        <f t="shared" si="796"/>
        <v>0</v>
      </c>
      <c r="CG171">
        <f t="shared" si="797"/>
        <v>0</v>
      </c>
      <c r="CH171">
        <f t="shared" si="798"/>
        <v>0</v>
      </c>
      <c r="CI171">
        <f t="shared" si="799"/>
        <v>0</v>
      </c>
      <c r="CK171">
        <f t="shared" si="800"/>
        <v>0</v>
      </c>
      <c r="CL171">
        <f t="shared" si="801"/>
        <v>0</v>
      </c>
      <c r="CM171">
        <f t="shared" si="802"/>
        <v>0</v>
      </c>
      <c r="CN171">
        <f t="shared" si="803"/>
        <v>0</v>
      </c>
      <c r="CO171">
        <f t="shared" si="804"/>
        <v>0</v>
      </c>
      <c r="CP171">
        <f t="shared" si="805"/>
        <v>0</v>
      </c>
      <c r="CR171">
        <f t="shared" si="806"/>
        <v>0</v>
      </c>
      <c r="CS171">
        <f t="shared" si="807"/>
        <v>0</v>
      </c>
      <c r="CT171">
        <f t="shared" si="808"/>
        <v>0</v>
      </c>
      <c r="CU171">
        <f t="shared" si="809"/>
        <v>0</v>
      </c>
      <c r="CV171">
        <f t="shared" si="810"/>
        <v>0</v>
      </c>
      <c r="CW171">
        <f t="shared" si="811"/>
        <v>0</v>
      </c>
      <c r="CY171">
        <f t="shared" si="812"/>
        <v>0</v>
      </c>
      <c r="CZ171">
        <f t="shared" si="813"/>
        <v>0</v>
      </c>
      <c r="DA171">
        <f t="shared" si="814"/>
        <v>0</v>
      </c>
      <c r="DB171">
        <f t="shared" si="815"/>
        <v>0</v>
      </c>
      <c r="DC171">
        <f t="shared" si="816"/>
        <v>0</v>
      </c>
      <c r="DD171">
        <f t="shared" si="817"/>
        <v>0</v>
      </c>
      <c r="DF171" s="79">
        <f t="shared" si="818"/>
        <v>0</v>
      </c>
      <c r="DG171" s="79">
        <f t="shared" si="819"/>
        <v>0</v>
      </c>
      <c r="DH171">
        <f t="shared" si="820"/>
        <v>0</v>
      </c>
      <c r="DI171">
        <f t="shared" si="821"/>
        <v>1</v>
      </c>
      <c r="DK171" s="79">
        <f t="shared" si="822"/>
        <v>0</v>
      </c>
      <c r="DL171" s="79">
        <f t="shared" si="823"/>
        <v>0</v>
      </c>
      <c r="DM171">
        <f t="shared" si="824"/>
        <v>1</v>
      </c>
      <c r="DN171">
        <f t="shared" si="825"/>
        <v>0</v>
      </c>
      <c r="DP171" s="79">
        <f t="shared" si="826"/>
        <v>0</v>
      </c>
      <c r="DQ171" s="79">
        <f t="shared" si="827"/>
        <v>0</v>
      </c>
      <c r="DR171">
        <f t="shared" si="828"/>
        <v>0</v>
      </c>
      <c r="DS171">
        <f t="shared" si="829"/>
        <v>1</v>
      </c>
      <c r="DU171" s="79">
        <f t="shared" si="830"/>
        <v>0</v>
      </c>
      <c r="DV171" s="79">
        <f t="shared" si="831"/>
        <v>0</v>
      </c>
      <c r="DW171">
        <f t="shared" si="832"/>
        <v>0</v>
      </c>
      <c r="DX171">
        <f t="shared" si="833"/>
        <v>1</v>
      </c>
      <c r="DZ171" s="79">
        <f t="shared" si="834"/>
        <v>0</v>
      </c>
      <c r="EA171" s="79">
        <f t="shared" si="835"/>
        <v>0</v>
      </c>
      <c r="EB171">
        <f t="shared" si="836"/>
        <v>0</v>
      </c>
      <c r="EC171">
        <f t="shared" si="837"/>
        <v>1</v>
      </c>
    </row>
    <row r="172" spans="1:133">
      <c r="A172" s="164"/>
      <c r="B172" s="164"/>
      <c r="C172" s="164"/>
      <c r="D172" s="164"/>
      <c r="E172" s="164"/>
      <c r="F172" s="163"/>
      <c r="G172" s="164"/>
      <c r="H172" s="164"/>
      <c r="I172" s="164"/>
      <c r="J172" s="164"/>
      <c r="AH172" s="72">
        <f t="shared" si="748"/>
        <v>0</v>
      </c>
      <c r="AI172" s="72">
        <f t="shared" si="749"/>
        <v>0</v>
      </c>
      <c r="AJ172" s="72">
        <f t="shared" si="750"/>
        <v>0</v>
      </c>
      <c r="AK172" s="72">
        <f t="shared" si="751"/>
        <v>0</v>
      </c>
      <c r="AL172" s="72">
        <f t="shared" si="752"/>
        <v>0</v>
      </c>
      <c r="AM172" s="72">
        <f t="shared" si="753"/>
        <v>0</v>
      </c>
      <c r="AN172" s="72">
        <f t="shared" si="754"/>
        <v>0</v>
      </c>
      <c r="AO172" s="72">
        <f t="shared" si="755"/>
        <v>0</v>
      </c>
      <c r="AP172" s="72">
        <f t="shared" si="756"/>
        <v>0</v>
      </c>
      <c r="AQ172" s="72">
        <f t="shared" si="757"/>
        <v>0</v>
      </c>
      <c r="AR172" s="72">
        <f t="shared" si="758"/>
        <v>0</v>
      </c>
      <c r="AS172" s="72">
        <f t="shared" si="759"/>
        <v>0</v>
      </c>
      <c r="AT172" s="72">
        <f t="shared" si="760"/>
        <v>0</v>
      </c>
      <c r="AU172" s="72">
        <f t="shared" si="761"/>
        <v>0</v>
      </c>
      <c r="AV172" s="72">
        <f t="shared" si="762"/>
        <v>0</v>
      </c>
      <c r="AW172" s="72">
        <f t="shared" si="763"/>
        <v>0</v>
      </c>
      <c r="AX172" s="72">
        <f t="shared" si="764"/>
        <v>0</v>
      </c>
      <c r="AY172" s="72">
        <f t="shared" si="765"/>
        <v>0</v>
      </c>
      <c r="AZ172" s="72">
        <f t="shared" si="766"/>
        <v>0</v>
      </c>
      <c r="BA172" s="72">
        <f t="shared" si="767"/>
        <v>0</v>
      </c>
      <c r="BB172" s="72">
        <f t="shared" si="768"/>
        <v>0</v>
      </c>
      <c r="BC172" s="72">
        <f t="shared" si="769"/>
        <v>0</v>
      </c>
      <c r="BD172" s="72">
        <f t="shared" si="770"/>
        <v>0</v>
      </c>
      <c r="BE172" s="72">
        <f t="shared" si="771"/>
        <v>0</v>
      </c>
      <c r="BF172" s="72">
        <f t="shared" si="772"/>
        <v>0</v>
      </c>
      <c r="BG172" s="72">
        <f t="shared" si="773"/>
        <v>0</v>
      </c>
      <c r="BH172" s="72">
        <f t="shared" si="774"/>
        <v>0</v>
      </c>
      <c r="BI172" s="72">
        <f t="shared" si="775"/>
        <v>0</v>
      </c>
      <c r="BJ172" s="72">
        <f t="shared" si="776"/>
        <v>0</v>
      </c>
      <c r="BK172" s="72">
        <f t="shared" si="777"/>
        <v>0</v>
      </c>
      <c r="BL172" s="72">
        <f t="shared" si="778"/>
        <v>0</v>
      </c>
      <c r="BM172" s="72">
        <f t="shared" si="779"/>
        <v>0</v>
      </c>
      <c r="BN172" s="72">
        <f t="shared" si="780"/>
        <v>0</v>
      </c>
      <c r="BO172" s="72">
        <f t="shared" si="781"/>
        <v>0</v>
      </c>
      <c r="BP172" s="72">
        <f t="shared" si="782"/>
        <v>0</v>
      </c>
      <c r="BQ172" s="72">
        <f t="shared" si="783"/>
        <v>0</v>
      </c>
      <c r="BR172" s="72">
        <f t="shared" si="784"/>
        <v>0</v>
      </c>
      <c r="BS172" s="72">
        <f t="shared" si="785"/>
        <v>0</v>
      </c>
      <c r="BT172" s="72">
        <f t="shared" si="786"/>
        <v>0</v>
      </c>
      <c r="BU172" s="72">
        <f t="shared" si="787"/>
        <v>0</v>
      </c>
      <c r="BW172">
        <f t="shared" si="788"/>
        <v>0</v>
      </c>
      <c r="BX172">
        <f t="shared" si="789"/>
        <v>0</v>
      </c>
      <c r="BY172">
        <f t="shared" si="790"/>
        <v>0</v>
      </c>
      <c r="BZ172">
        <f t="shared" si="791"/>
        <v>0</v>
      </c>
      <c r="CA172">
        <f t="shared" si="792"/>
        <v>0</v>
      </c>
      <c r="CB172">
        <f t="shared" si="793"/>
        <v>0</v>
      </c>
      <c r="CD172">
        <f t="shared" si="794"/>
        <v>0</v>
      </c>
      <c r="CE172">
        <f t="shared" si="795"/>
        <v>0</v>
      </c>
      <c r="CF172">
        <f t="shared" si="796"/>
        <v>0</v>
      </c>
      <c r="CG172">
        <f t="shared" si="797"/>
        <v>0</v>
      </c>
      <c r="CH172">
        <f t="shared" si="798"/>
        <v>0</v>
      </c>
      <c r="CI172">
        <f t="shared" si="799"/>
        <v>0</v>
      </c>
      <c r="CK172">
        <f t="shared" si="800"/>
        <v>0</v>
      </c>
      <c r="CL172">
        <f t="shared" si="801"/>
        <v>0</v>
      </c>
      <c r="CM172">
        <f t="shared" si="802"/>
        <v>0</v>
      </c>
      <c r="CN172">
        <f t="shared" si="803"/>
        <v>0</v>
      </c>
      <c r="CO172">
        <f t="shared" si="804"/>
        <v>0</v>
      </c>
      <c r="CP172">
        <f t="shared" si="805"/>
        <v>0</v>
      </c>
      <c r="CR172">
        <f t="shared" si="806"/>
        <v>0</v>
      </c>
      <c r="CS172">
        <f t="shared" si="807"/>
        <v>0</v>
      </c>
      <c r="CT172">
        <f t="shared" si="808"/>
        <v>0</v>
      </c>
      <c r="CU172">
        <f t="shared" si="809"/>
        <v>0</v>
      </c>
      <c r="CV172">
        <f t="shared" si="810"/>
        <v>0</v>
      </c>
      <c r="CW172">
        <f t="shared" si="811"/>
        <v>0</v>
      </c>
      <c r="CY172">
        <f t="shared" si="812"/>
        <v>0</v>
      </c>
      <c r="CZ172">
        <f t="shared" si="813"/>
        <v>0</v>
      </c>
      <c r="DA172">
        <f t="shared" si="814"/>
        <v>0</v>
      </c>
      <c r="DB172">
        <f t="shared" si="815"/>
        <v>0</v>
      </c>
      <c r="DC172">
        <f t="shared" si="816"/>
        <v>0</v>
      </c>
      <c r="DD172">
        <f t="shared" si="817"/>
        <v>0</v>
      </c>
      <c r="DF172" s="79">
        <f t="shared" si="818"/>
        <v>0</v>
      </c>
      <c r="DG172" s="79">
        <f t="shared" si="819"/>
        <v>0</v>
      </c>
      <c r="DH172">
        <f t="shared" si="820"/>
        <v>0</v>
      </c>
      <c r="DI172">
        <f t="shared" si="821"/>
        <v>1</v>
      </c>
      <c r="DK172" s="79">
        <f t="shared" si="822"/>
        <v>0</v>
      </c>
      <c r="DL172" s="79">
        <f t="shared" si="823"/>
        <v>0</v>
      </c>
      <c r="DM172">
        <f t="shared" si="824"/>
        <v>1</v>
      </c>
      <c r="DN172">
        <f t="shared" si="825"/>
        <v>0</v>
      </c>
      <c r="DP172" s="79">
        <f t="shared" si="826"/>
        <v>0</v>
      </c>
      <c r="DQ172" s="79">
        <f t="shared" si="827"/>
        <v>0</v>
      </c>
      <c r="DR172">
        <f t="shared" si="828"/>
        <v>0</v>
      </c>
      <c r="DS172">
        <f t="shared" si="829"/>
        <v>1</v>
      </c>
      <c r="DU172" s="79">
        <f t="shared" si="830"/>
        <v>0</v>
      </c>
      <c r="DV172" s="79">
        <f t="shared" si="831"/>
        <v>0</v>
      </c>
      <c r="DW172">
        <f t="shared" si="832"/>
        <v>0</v>
      </c>
      <c r="DX172">
        <f t="shared" si="833"/>
        <v>1</v>
      </c>
      <c r="DZ172" s="79">
        <f t="shared" si="834"/>
        <v>0</v>
      </c>
      <c r="EA172" s="79">
        <f t="shared" si="835"/>
        <v>0</v>
      </c>
      <c r="EB172">
        <f t="shared" si="836"/>
        <v>0</v>
      </c>
      <c r="EC172">
        <f t="shared" si="837"/>
        <v>1</v>
      </c>
    </row>
    <row r="173" spans="1:133">
      <c r="A173" s="164"/>
      <c r="B173" s="164"/>
      <c r="C173" s="164"/>
      <c r="D173" s="164"/>
      <c r="E173" s="164"/>
      <c r="F173" s="163"/>
      <c r="G173" s="164"/>
      <c r="H173" s="164"/>
      <c r="I173" s="164"/>
      <c r="J173" s="164"/>
      <c r="AH173" s="72">
        <f t="shared" si="748"/>
        <v>0</v>
      </c>
      <c r="AI173" s="72">
        <f t="shared" si="749"/>
        <v>0</v>
      </c>
      <c r="AJ173" s="72">
        <f t="shared" si="750"/>
        <v>0</v>
      </c>
      <c r="AK173" s="72">
        <f t="shared" si="751"/>
        <v>0</v>
      </c>
      <c r="AL173" s="72">
        <f t="shared" si="752"/>
        <v>0</v>
      </c>
      <c r="AM173" s="72">
        <f t="shared" si="753"/>
        <v>0</v>
      </c>
      <c r="AN173" s="72">
        <f t="shared" si="754"/>
        <v>0</v>
      </c>
      <c r="AO173" s="72">
        <f t="shared" si="755"/>
        <v>0</v>
      </c>
      <c r="AP173" s="72">
        <f t="shared" si="756"/>
        <v>0</v>
      </c>
      <c r="AQ173" s="72">
        <f t="shared" si="757"/>
        <v>0</v>
      </c>
      <c r="AR173" s="72">
        <f t="shared" si="758"/>
        <v>0</v>
      </c>
      <c r="AS173" s="72">
        <f t="shared" si="759"/>
        <v>0</v>
      </c>
      <c r="AT173" s="72">
        <f t="shared" si="760"/>
        <v>0</v>
      </c>
      <c r="AU173" s="72">
        <f t="shared" si="761"/>
        <v>0</v>
      </c>
      <c r="AV173" s="72">
        <f t="shared" si="762"/>
        <v>0</v>
      </c>
      <c r="AW173" s="72">
        <f t="shared" si="763"/>
        <v>0</v>
      </c>
      <c r="AX173" s="72">
        <f t="shared" si="764"/>
        <v>0</v>
      </c>
      <c r="AY173" s="72">
        <f t="shared" si="765"/>
        <v>0</v>
      </c>
      <c r="AZ173" s="72">
        <f t="shared" si="766"/>
        <v>0</v>
      </c>
      <c r="BA173" s="72">
        <f t="shared" si="767"/>
        <v>0</v>
      </c>
      <c r="BB173" s="72">
        <f t="shared" si="768"/>
        <v>0</v>
      </c>
      <c r="BC173" s="72">
        <f t="shared" si="769"/>
        <v>0</v>
      </c>
      <c r="BD173" s="72">
        <f t="shared" si="770"/>
        <v>0</v>
      </c>
      <c r="BE173" s="72">
        <f t="shared" si="771"/>
        <v>0</v>
      </c>
      <c r="BF173" s="72">
        <f t="shared" si="772"/>
        <v>0</v>
      </c>
      <c r="BG173" s="72">
        <f t="shared" si="773"/>
        <v>0</v>
      </c>
      <c r="BH173" s="72">
        <f t="shared" si="774"/>
        <v>0</v>
      </c>
      <c r="BI173" s="72">
        <f t="shared" si="775"/>
        <v>0</v>
      </c>
      <c r="BJ173" s="72">
        <f t="shared" si="776"/>
        <v>0</v>
      </c>
      <c r="BK173" s="72">
        <f t="shared" si="777"/>
        <v>0</v>
      </c>
      <c r="BL173" s="72">
        <f t="shared" si="778"/>
        <v>0</v>
      </c>
      <c r="BM173" s="72">
        <f t="shared" si="779"/>
        <v>0</v>
      </c>
      <c r="BN173" s="72">
        <f t="shared" si="780"/>
        <v>0</v>
      </c>
      <c r="BO173" s="72">
        <f t="shared" si="781"/>
        <v>0</v>
      </c>
      <c r="BP173" s="72">
        <f t="shared" si="782"/>
        <v>0</v>
      </c>
      <c r="BQ173" s="72">
        <f t="shared" si="783"/>
        <v>0</v>
      </c>
      <c r="BR173" s="72">
        <f t="shared" si="784"/>
        <v>0</v>
      </c>
      <c r="BS173" s="72">
        <f t="shared" si="785"/>
        <v>0</v>
      </c>
      <c r="BT173" s="72">
        <f t="shared" si="786"/>
        <v>0</v>
      </c>
      <c r="BU173" s="72">
        <f t="shared" si="787"/>
        <v>0</v>
      </c>
      <c r="BW173">
        <f t="shared" si="788"/>
        <v>0</v>
      </c>
      <c r="BX173">
        <f t="shared" si="789"/>
        <v>0</v>
      </c>
      <c r="BY173">
        <f t="shared" si="790"/>
        <v>0</v>
      </c>
      <c r="BZ173">
        <f t="shared" si="791"/>
        <v>0</v>
      </c>
      <c r="CA173">
        <f t="shared" si="792"/>
        <v>0</v>
      </c>
      <c r="CB173">
        <f t="shared" si="793"/>
        <v>0</v>
      </c>
      <c r="CD173">
        <f t="shared" si="794"/>
        <v>0</v>
      </c>
      <c r="CE173">
        <f t="shared" si="795"/>
        <v>0</v>
      </c>
      <c r="CF173">
        <f t="shared" si="796"/>
        <v>0</v>
      </c>
      <c r="CG173">
        <f t="shared" si="797"/>
        <v>0</v>
      </c>
      <c r="CH173">
        <f t="shared" si="798"/>
        <v>0</v>
      </c>
      <c r="CI173">
        <f t="shared" si="799"/>
        <v>0</v>
      </c>
      <c r="CK173">
        <f t="shared" si="800"/>
        <v>0</v>
      </c>
      <c r="CL173">
        <f t="shared" si="801"/>
        <v>0</v>
      </c>
      <c r="CM173">
        <f t="shared" si="802"/>
        <v>0</v>
      </c>
      <c r="CN173">
        <f t="shared" si="803"/>
        <v>0</v>
      </c>
      <c r="CO173">
        <f t="shared" si="804"/>
        <v>0</v>
      </c>
      <c r="CP173">
        <f t="shared" si="805"/>
        <v>0</v>
      </c>
      <c r="CR173">
        <f t="shared" si="806"/>
        <v>0</v>
      </c>
      <c r="CS173">
        <f t="shared" si="807"/>
        <v>0</v>
      </c>
      <c r="CT173">
        <f t="shared" si="808"/>
        <v>0</v>
      </c>
      <c r="CU173">
        <f t="shared" si="809"/>
        <v>0</v>
      </c>
      <c r="CV173">
        <f t="shared" si="810"/>
        <v>0</v>
      </c>
      <c r="CW173">
        <f t="shared" si="811"/>
        <v>0</v>
      </c>
      <c r="CY173">
        <f t="shared" si="812"/>
        <v>0</v>
      </c>
      <c r="CZ173">
        <f t="shared" si="813"/>
        <v>0</v>
      </c>
      <c r="DA173">
        <f t="shared" si="814"/>
        <v>0</v>
      </c>
      <c r="DB173">
        <f t="shared" si="815"/>
        <v>0</v>
      </c>
      <c r="DC173">
        <f t="shared" si="816"/>
        <v>0</v>
      </c>
      <c r="DD173">
        <f t="shared" si="817"/>
        <v>0</v>
      </c>
      <c r="DF173" s="79">
        <f t="shared" si="818"/>
        <v>0</v>
      </c>
      <c r="DG173" s="79">
        <f t="shared" si="819"/>
        <v>0</v>
      </c>
      <c r="DH173">
        <f t="shared" si="820"/>
        <v>0</v>
      </c>
      <c r="DI173">
        <f t="shared" si="821"/>
        <v>1</v>
      </c>
      <c r="DK173" s="79">
        <f t="shared" si="822"/>
        <v>0</v>
      </c>
      <c r="DL173" s="79">
        <f t="shared" si="823"/>
        <v>0</v>
      </c>
      <c r="DM173">
        <f t="shared" si="824"/>
        <v>1</v>
      </c>
      <c r="DN173">
        <f t="shared" si="825"/>
        <v>0</v>
      </c>
      <c r="DP173" s="79">
        <f t="shared" si="826"/>
        <v>0</v>
      </c>
      <c r="DQ173" s="79">
        <f t="shared" si="827"/>
        <v>0</v>
      </c>
      <c r="DR173">
        <f t="shared" si="828"/>
        <v>0</v>
      </c>
      <c r="DS173">
        <f t="shared" si="829"/>
        <v>1</v>
      </c>
      <c r="DU173" s="79">
        <f t="shared" si="830"/>
        <v>0</v>
      </c>
      <c r="DV173" s="79">
        <f t="shared" si="831"/>
        <v>0</v>
      </c>
      <c r="DW173">
        <f t="shared" si="832"/>
        <v>0</v>
      </c>
      <c r="DX173">
        <f t="shared" si="833"/>
        <v>1</v>
      </c>
      <c r="DZ173" s="79">
        <f t="shared" si="834"/>
        <v>0</v>
      </c>
      <c r="EA173" s="79">
        <f t="shared" si="835"/>
        <v>0</v>
      </c>
      <c r="EB173">
        <f t="shared" si="836"/>
        <v>0</v>
      </c>
      <c r="EC173">
        <f t="shared" si="837"/>
        <v>1</v>
      </c>
    </row>
    <row r="174" spans="1:133">
      <c r="A174" s="164"/>
      <c r="B174" s="164"/>
      <c r="C174" s="164"/>
      <c r="D174" s="164"/>
      <c r="E174" s="164"/>
      <c r="F174" s="163"/>
      <c r="G174" s="164"/>
      <c r="H174" s="164"/>
      <c r="I174" s="164"/>
      <c r="J174" s="164"/>
      <c r="AH174" s="72">
        <f t="shared" si="748"/>
        <v>0</v>
      </c>
      <c r="AI174" s="72">
        <f t="shared" si="749"/>
        <v>0</v>
      </c>
      <c r="AJ174" s="72">
        <f t="shared" si="750"/>
        <v>0</v>
      </c>
      <c r="AK174" s="72">
        <f t="shared" si="751"/>
        <v>0</v>
      </c>
      <c r="AL174" s="72">
        <f t="shared" si="752"/>
        <v>0</v>
      </c>
      <c r="AM174" s="72">
        <f t="shared" si="753"/>
        <v>0</v>
      </c>
      <c r="AN174" s="72">
        <f t="shared" si="754"/>
        <v>0</v>
      </c>
      <c r="AO174" s="72">
        <f t="shared" si="755"/>
        <v>0</v>
      </c>
      <c r="AP174" s="72">
        <f t="shared" si="756"/>
        <v>0</v>
      </c>
      <c r="AQ174" s="72">
        <f t="shared" si="757"/>
        <v>0</v>
      </c>
      <c r="AR174" s="72">
        <f t="shared" si="758"/>
        <v>0</v>
      </c>
      <c r="AS174" s="72">
        <f t="shared" si="759"/>
        <v>0</v>
      </c>
      <c r="AT174" s="72">
        <f t="shared" si="760"/>
        <v>0</v>
      </c>
      <c r="AU174" s="72">
        <f t="shared" si="761"/>
        <v>0</v>
      </c>
      <c r="AV174" s="72">
        <f t="shared" si="762"/>
        <v>0</v>
      </c>
      <c r="AW174" s="72">
        <f t="shared" si="763"/>
        <v>0</v>
      </c>
      <c r="AX174" s="72">
        <f t="shared" si="764"/>
        <v>0</v>
      </c>
      <c r="AY174" s="72">
        <f t="shared" si="765"/>
        <v>0</v>
      </c>
      <c r="AZ174" s="72">
        <f t="shared" si="766"/>
        <v>0</v>
      </c>
      <c r="BA174" s="72">
        <f t="shared" si="767"/>
        <v>0</v>
      </c>
      <c r="BB174" s="72">
        <f t="shared" si="768"/>
        <v>0</v>
      </c>
      <c r="BC174" s="72">
        <f t="shared" si="769"/>
        <v>0</v>
      </c>
      <c r="BD174" s="72">
        <f t="shared" si="770"/>
        <v>0</v>
      </c>
      <c r="BE174" s="72">
        <f t="shared" si="771"/>
        <v>0</v>
      </c>
      <c r="BF174" s="72">
        <f t="shared" si="772"/>
        <v>0</v>
      </c>
      <c r="BG174" s="72">
        <f t="shared" si="773"/>
        <v>0</v>
      </c>
      <c r="BH174" s="72">
        <f t="shared" si="774"/>
        <v>0</v>
      </c>
      <c r="BI174" s="72">
        <f t="shared" si="775"/>
        <v>0</v>
      </c>
      <c r="BJ174" s="72">
        <f t="shared" si="776"/>
        <v>0</v>
      </c>
      <c r="BK174" s="72">
        <f t="shared" si="777"/>
        <v>0</v>
      </c>
      <c r="BL174" s="72">
        <f t="shared" si="778"/>
        <v>0</v>
      </c>
      <c r="BM174" s="72">
        <f t="shared" si="779"/>
        <v>0</v>
      </c>
      <c r="BN174" s="72">
        <f t="shared" si="780"/>
        <v>0</v>
      </c>
      <c r="BO174" s="72">
        <f t="shared" si="781"/>
        <v>0</v>
      </c>
      <c r="BP174" s="72">
        <f t="shared" si="782"/>
        <v>0</v>
      </c>
      <c r="BQ174" s="72">
        <f t="shared" si="783"/>
        <v>0</v>
      </c>
      <c r="BR174" s="72">
        <f t="shared" si="784"/>
        <v>0</v>
      </c>
      <c r="BS174" s="72">
        <f t="shared" si="785"/>
        <v>0</v>
      </c>
      <c r="BT174" s="72">
        <f t="shared" si="786"/>
        <v>0</v>
      </c>
      <c r="BU174" s="72">
        <f t="shared" si="787"/>
        <v>0</v>
      </c>
      <c r="BW174">
        <f t="shared" si="788"/>
        <v>0</v>
      </c>
      <c r="BX174">
        <f t="shared" si="789"/>
        <v>0</v>
      </c>
      <c r="BY174">
        <f t="shared" si="790"/>
        <v>0</v>
      </c>
      <c r="BZ174">
        <f t="shared" si="791"/>
        <v>0</v>
      </c>
      <c r="CA174">
        <f t="shared" si="792"/>
        <v>0</v>
      </c>
      <c r="CB174">
        <f t="shared" si="793"/>
        <v>0</v>
      </c>
      <c r="CD174">
        <f t="shared" si="794"/>
        <v>0</v>
      </c>
      <c r="CE174">
        <f t="shared" si="795"/>
        <v>0</v>
      </c>
      <c r="CF174">
        <f t="shared" si="796"/>
        <v>0</v>
      </c>
      <c r="CG174">
        <f t="shared" si="797"/>
        <v>0</v>
      </c>
      <c r="CH174">
        <f t="shared" si="798"/>
        <v>0</v>
      </c>
      <c r="CI174">
        <f t="shared" si="799"/>
        <v>0</v>
      </c>
      <c r="CK174">
        <f t="shared" si="800"/>
        <v>0</v>
      </c>
      <c r="CL174">
        <f t="shared" si="801"/>
        <v>0</v>
      </c>
      <c r="CM174">
        <f t="shared" si="802"/>
        <v>0</v>
      </c>
      <c r="CN174">
        <f t="shared" si="803"/>
        <v>0</v>
      </c>
      <c r="CO174">
        <f t="shared" si="804"/>
        <v>0</v>
      </c>
      <c r="CP174">
        <f t="shared" si="805"/>
        <v>0</v>
      </c>
      <c r="CR174">
        <f t="shared" si="806"/>
        <v>0</v>
      </c>
      <c r="CS174">
        <f t="shared" si="807"/>
        <v>0</v>
      </c>
      <c r="CT174">
        <f t="shared" si="808"/>
        <v>0</v>
      </c>
      <c r="CU174">
        <f t="shared" si="809"/>
        <v>0</v>
      </c>
      <c r="CV174">
        <f t="shared" si="810"/>
        <v>0</v>
      </c>
      <c r="CW174">
        <f t="shared" si="811"/>
        <v>0</v>
      </c>
      <c r="CY174">
        <f t="shared" si="812"/>
        <v>0</v>
      </c>
      <c r="CZ174">
        <f t="shared" si="813"/>
        <v>0</v>
      </c>
      <c r="DA174">
        <f t="shared" si="814"/>
        <v>0</v>
      </c>
      <c r="DB174">
        <f t="shared" si="815"/>
        <v>0</v>
      </c>
      <c r="DC174">
        <f t="shared" si="816"/>
        <v>0</v>
      </c>
      <c r="DD174">
        <f t="shared" si="817"/>
        <v>0</v>
      </c>
      <c r="DF174" s="79">
        <f t="shared" si="818"/>
        <v>0</v>
      </c>
      <c r="DG174" s="79">
        <f t="shared" si="819"/>
        <v>0</v>
      </c>
      <c r="DH174">
        <f t="shared" si="820"/>
        <v>0</v>
      </c>
      <c r="DI174">
        <f t="shared" si="821"/>
        <v>1</v>
      </c>
      <c r="DK174" s="79">
        <f t="shared" si="822"/>
        <v>0</v>
      </c>
      <c r="DL174" s="79">
        <f t="shared" si="823"/>
        <v>0</v>
      </c>
      <c r="DM174">
        <f t="shared" si="824"/>
        <v>1</v>
      </c>
      <c r="DN174">
        <f t="shared" si="825"/>
        <v>0</v>
      </c>
      <c r="DP174" s="79">
        <f t="shared" si="826"/>
        <v>0</v>
      </c>
      <c r="DQ174" s="79">
        <f t="shared" si="827"/>
        <v>0</v>
      </c>
      <c r="DR174">
        <f t="shared" si="828"/>
        <v>0</v>
      </c>
      <c r="DS174">
        <f t="shared" si="829"/>
        <v>1</v>
      </c>
      <c r="DU174" s="79">
        <f t="shared" si="830"/>
        <v>0</v>
      </c>
      <c r="DV174" s="79">
        <f t="shared" si="831"/>
        <v>0</v>
      </c>
      <c r="DW174">
        <f t="shared" si="832"/>
        <v>0</v>
      </c>
      <c r="DX174">
        <f t="shared" si="833"/>
        <v>1</v>
      </c>
      <c r="DZ174" s="79">
        <f t="shared" si="834"/>
        <v>0</v>
      </c>
      <c r="EA174" s="79">
        <f t="shared" si="835"/>
        <v>0</v>
      </c>
      <c r="EB174">
        <f t="shared" si="836"/>
        <v>0</v>
      </c>
      <c r="EC174">
        <f t="shared" si="837"/>
        <v>1</v>
      </c>
    </row>
    <row r="175" spans="1:133">
      <c r="A175" s="164"/>
      <c r="B175" s="164"/>
      <c r="C175" s="164"/>
      <c r="D175" s="164"/>
      <c r="E175" s="164"/>
      <c r="F175" s="163"/>
      <c r="G175" s="164"/>
      <c r="H175" s="164"/>
      <c r="I175" s="164"/>
      <c r="J175" s="164"/>
      <c r="AH175" s="72">
        <f t="shared" si="748"/>
        <v>0</v>
      </c>
      <c r="AI175" s="72">
        <f t="shared" si="749"/>
        <v>0</v>
      </c>
      <c r="AJ175" s="72">
        <f t="shared" si="750"/>
        <v>0</v>
      </c>
      <c r="AK175" s="72">
        <f t="shared" si="751"/>
        <v>0</v>
      </c>
      <c r="AL175" s="72">
        <f t="shared" si="752"/>
        <v>0</v>
      </c>
      <c r="AM175" s="72">
        <f t="shared" si="753"/>
        <v>0</v>
      </c>
      <c r="AN175" s="72">
        <f t="shared" si="754"/>
        <v>0</v>
      </c>
      <c r="AO175" s="72">
        <f t="shared" si="755"/>
        <v>0</v>
      </c>
      <c r="AP175" s="72">
        <f t="shared" si="756"/>
        <v>0</v>
      </c>
      <c r="AQ175" s="72">
        <f t="shared" si="757"/>
        <v>0</v>
      </c>
      <c r="AR175" s="72">
        <f t="shared" si="758"/>
        <v>0</v>
      </c>
      <c r="AS175" s="72">
        <f t="shared" si="759"/>
        <v>0</v>
      </c>
      <c r="AT175" s="72">
        <f t="shared" si="760"/>
        <v>0</v>
      </c>
      <c r="AU175" s="72">
        <f t="shared" si="761"/>
        <v>0</v>
      </c>
      <c r="AV175" s="72">
        <f t="shared" si="762"/>
        <v>0</v>
      </c>
      <c r="AW175" s="72">
        <f t="shared" si="763"/>
        <v>0</v>
      </c>
      <c r="AX175" s="72">
        <f t="shared" si="764"/>
        <v>0</v>
      </c>
      <c r="AY175" s="72">
        <f t="shared" si="765"/>
        <v>0</v>
      </c>
      <c r="AZ175" s="72">
        <f t="shared" si="766"/>
        <v>0</v>
      </c>
      <c r="BA175" s="72">
        <f t="shared" si="767"/>
        <v>0</v>
      </c>
      <c r="BB175" s="72">
        <f t="shared" si="768"/>
        <v>0</v>
      </c>
      <c r="BC175" s="72">
        <f t="shared" si="769"/>
        <v>0</v>
      </c>
      <c r="BD175" s="72">
        <f t="shared" si="770"/>
        <v>0</v>
      </c>
      <c r="BE175" s="72">
        <f t="shared" si="771"/>
        <v>0</v>
      </c>
      <c r="BF175" s="72">
        <f t="shared" si="772"/>
        <v>0</v>
      </c>
      <c r="BG175" s="72">
        <f t="shared" si="773"/>
        <v>0</v>
      </c>
      <c r="BH175" s="72">
        <f t="shared" si="774"/>
        <v>0</v>
      </c>
      <c r="BI175" s="72">
        <f t="shared" si="775"/>
        <v>0</v>
      </c>
      <c r="BJ175" s="72">
        <f t="shared" si="776"/>
        <v>0</v>
      </c>
      <c r="BK175" s="72">
        <f t="shared" si="777"/>
        <v>0</v>
      </c>
      <c r="BL175" s="72">
        <f t="shared" si="778"/>
        <v>0</v>
      </c>
      <c r="BM175" s="72">
        <f t="shared" si="779"/>
        <v>0</v>
      </c>
      <c r="BN175" s="72">
        <f t="shared" si="780"/>
        <v>0</v>
      </c>
      <c r="BO175" s="72">
        <f t="shared" si="781"/>
        <v>0</v>
      </c>
      <c r="BP175" s="72">
        <f t="shared" si="782"/>
        <v>0</v>
      </c>
      <c r="BQ175" s="72">
        <f t="shared" si="783"/>
        <v>0</v>
      </c>
      <c r="BR175" s="72">
        <f t="shared" si="784"/>
        <v>0</v>
      </c>
      <c r="BS175" s="72">
        <f t="shared" si="785"/>
        <v>0</v>
      </c>
      <c r="BT175" s="72">
        <f t="shared" si="786"/>
        <v>0</v>
      </c>
      <c r="BU175" s="72">
        <f t="shared" si="787"/>
        <v>0</v>
      </c>
      <c r="BW175">
        <f t="shared" si="788"/>
        <v>0</v>
      </c>
      <c r="BX175">
        <f t="shared" si="789"/>
        <v>0</v>
      </c>
      <c r="BY175">
        <f t="shared" si="790"/>
        <v>0</v>
      </c>
      <c r="BZ175">
        <f t="shared" si="791"/>
        <v>0</v>
      </c>
      <c r="CA175">
        <f t="shared" si="792"/>
        <v>0</v>
      </c>
      <c r="CB175">
        <f t="shared" si="793"/>
        <v>0</v>
      </c>
      <c r="CD175">
        <f t="shared" si="794"/>
        <v>0</v>
      </c>
      <c r="CE175">
        <f t="shared" si="795"/>
        <v>0</v>
      </c>
      <c r="CF175">
        <f t="shared" si="796"/>
        <v>0</v>
      </c>
      <c r="CG175">
        <f t="shared" si="797"/>
        <v>0</v>
      </c>
      <c r="CH175">
        <f t="shared" si="798"/>
        <v>0</v>
      </c>
      <c r="CI175">
        <f t="shared" si="799"/>
        <v>0</v>
      </c>
      <c r="CK175">
        <f t="shared" si="800"/>
        <v>0</v>
      </c>
      <c r="CL175">
        <f t="shared" si="801"/>
        <v>0</v>
      </c>
      <c r="CM175">
        <f t="shared" si="802"/>
        <v>0</v>
      </c>
      <c r="CN175">
        <f t="shared" si="803"/>
        <v>0</v>
      </c>
      <c r="CO175">
        <f t="shared" si="804"/>
        <v>0</v>
      </c>
      <c r="CP175">
        <f t="shared" si="805"/>
        <v>0</v>
      </c>
      <c r="CR175">
        <f t="shared" si="806"/>
        <v>0</v>
      </c>
      <c r="CS175">
        <f t="shared" si="807"/>
        <v>0</v>
      </c>
      <c r="CT175">
        <f t="shared" si="808"/>
        <v>0</v>
      </c>
      <c r="CU175">
        <f t="shared" si="809"/>
        <v>0</v>
      </c>
      <c r="CV175">
        <f t="shared" si="810"/>
        <v>0</v>
      </c>
      <c r="CW175">
        <f t="shared" si="811"/>
        <v>0</v>
      </c>
      <c r="CY175">
        <f t="shared" si="812"/>
        <v>0</v>
      </c>
      <c r="CZ175">
        <f t="shared" si="813"/>
        <v>0</v>
      </c>
      <c r="DA175">
        <f t="shared" si="814"/>
        <v>0</v>
      </c>
      <c r="DB175">
        <f t="shared" si="815"/>
        <v>0</v>
      </c>
      <c r="DC175">
        <f t="shared" si="816"/>
        <v>0</v>
      </c>
      <c r="DD175">
        <f t="shared" si="817"/>
        <v>0</v>
      </c>
      <c r="DF175" s="79">
        <f t="shared" si="818"/>
        <v>0</v>
      </c>
      <c r="DG175" s="79">
        <f t="shared" si="819"/>
        <v>0</v>
      </c>
      <c r="DH175">
        <f t="shared" si="820"/>
        <v>0</v>
      </c>
      <c r="DI175">
        <f t="shared" si="821"/>
        <v>1</v>
      </c>
      <c r="DK175" s="79">
        <f t="shared" si="822"/>
        <v>0</v>
      </c>
      <c r="DL175" s="79">
        <f t="shared" si="823"/>
        <v>0</v>
      </c>
      <c r="DM175">
        <f t="shared" si="824"/>
        <v>1</v>
      </c>
      <c r="DN175">
        <f t="shared" si="825"/>
        <v>0</v>
      </c>
      <c r="DP175" s="79">
        <f t="shared" si="826"/>
        <v>0</v>
      </c>
      <c r="DQ175" s="79">
        <f t="shared" si="827"/>
        <v>0</v>
      </c>
      <c r="DR175">
        <f t="shared" si="828"/>
        <v>0</v>
      </c>
      <c r="DS175">
        <f t="shared" si="829"/>
        <v>1</v>
      </c>
      <c r="DU175" s="79">
        <f t="shared" si="830"/>
        <v>0</v>
      </c>
      <c r="DV175" s="79">
        <f t="shared" si="831"/>
        <v>0</v>
      </c>
      <c r="DW175">
        <f t="shared" si="832"/>
        <v>0</v>
      </c>
      <c r="DX175">
        <f t="shared" si="833"/>
        <v>1</v>
      </c>
      <c r="DZ175" s="79">
        <f t="shared" si="834"/>
        <v>0</v>
      </c>
      <c r="EA175" s="79">
        <f t="shared" si="835"/>
        <v>0</v>
      </c>
      <c r="EB175">
        <f t="shared" si="836"/>
        <v>0</v>
      </c>
      <c r="EC175">
        <f t="shared" si="837"/>
        <v>1</v>
      </c>
    </row>
    <row r="176" spans="1:133">
      <c r="A176" s="164"/>
      <c r="B176" s="164"/>
      <c r="C176" s="164"/>
      <c r="D176" s="164"/>
      <c r="E176" s="164"/>
      <c r="F176" s="163"/>
      <c r="G176" s="164"/>
      <c r="H176" s="164"/>
      <c r="I176" s="164"/>
      <c r="J176" s="164"/>
      <c r="AH176" s="72">
        <f t="shared" si="748"/>
        <v>0</v>
      </c>
      <c r="AI176" s="72">
        <f t="shared" si="749"/>
        <v>0</v>
      </c>
      <c r="AJ176" s="72">
        <f t="shared" si="750"/>
        <v>0</v>
      </c>
      <c r="AK176" s="72">
        <f t="shared" si="751"/>
        <v>0</v>
      </c>
      <c r="AL176" s="72">
        <f t="shared" si="752"/>
        <v>0</v>
      </c>
      <c r="AM176" s="72">
        <f t="shared" si="753"/>
        <v>0</v>
      </c>
      <c r="AN176" s="72">
        <f t="shared" si="754"/>
        <v>0</v>
      </c>
      <c r="AO176" s="72">
        <f t="shared" si="755"/>
        <v>0</v>
      </c>
      <c r="AP176" s="72">
        <f t="shared" si="756"/>
        <v>0</v>
      </c>
      <c r="AQ176" s="72">
        <f t="shared" si="757"/>
        <v>0</v>
      </c>
      <c r="AR176" s="72">
        <f t="shared" si="758"/>
        <v>0</v>
      </c>
      <c r="AS176" s="72">
        <f t="shared" si="759"/>
        <v>0</v>
      </c>
      <c r="AT176" s="72">
        <f t="shared" si="760"/>
        <v>0</v>
      </c>
      <c r="AU176" s="72">
        <f t="shared" si="761"/>
        <v>0</v>
      </c>
      <c r="AV176" s="72">
        <f t="shared" si="762"/>
        <v>0</v>
      </c>
      <c r="AW176" s="72">
        <f t="shared" si="763"/>
        <v>0</v>
      </c>
      <c r="AX176" s="72">
        <f t="shared" si="764"/>
        <v>0</v>
      </c>
      <c r="AY176" s="72">
        <f t="shared" si="765"/>
        <v>0</v>
      </c>
      <c r="AZ176" s="72">
        <f t="shared" si="766"/>
        <v>0</v>
      </c>
      <c r="BA176" s="72">
        <f t="shared" si="767"/>
        <v>0</v>
      </c>
      <c r="BB176" s="72">
        <f t="shared" si="768"/>
        <v>0</v>
      </c>
      <c r="BC176" s="72">
        <f t="shared" si="769"/>
        <v>0</v>
      </c>
      <c r="BD176" s="72">
        <f t="shared" si="770"/>
        <v>0</v>
      </c>
      <c r="BE176" s="72">
        <f t="shared" si="771"/>
        <v>0</v>
      </c>
      <c r="BF176" s="72">
        <f t="shared" si="772"/>
        <v>0</v>
      </c>
      <c r="BG176" s="72">
        <f t="shared" si="773"/>
        <v>0</v>
      </c>
      <c r="BH176" s="72">
        <f t="shared" si="774"/>
        <v>0</v>
      </c>
      <c r="BI176" s="72">
        <f t="shared" si="775"/>
        <v>0</v>
      </c>
      <c r="BJ176" s="72">
        <f t="shared" si="776"/>
        <v>0</v>
      </c>
      <c r="BK176" s="72">
        <f t="shared" si="777"/>
        <v>0</v>
      </c>
      <c r="BL176" s="72">
        <f t="shared" si="778"/>
        <v>0</v>
      </c>
      <c r="BM176" s="72">
        <f t="shared" si="779"/>
        <v>0</v>
      </c>
      <c r="BN176" s="72">
        <f t="shared" si="780"/>
        <v>0</v>
      </c>
      <c r="BO176" s="72">
        <f t="shared" si="781"/>
        <v>0</v>
      </c>
      <c r="BP176" s="72">
        <f t="shared" si="782"/>
        <v>0</v>
      </c>
      <c r="BQ176" s="72">
        <f t="shared" si="783"/>
        <v>0</v>
      </c>
      <c r="BR176" s="72">
        <f t="shared" si="784"/>
        <v>0</v>
      </c>
      <c r="BS176" s="72">
        <f t="shared" si="785"/>
        <v>0</v>
      </c>
      <c r="BT176" s="72">
        <f t="shared" si="786"/>
        <v>0</v>
      </c>
      <c r="BU176" s="72">
        <f t="shared" si="787"/>
        <v>0</v>
      </c>
      <c r="BW176">
        <f t="shared" si="788"/>
        <v>0</v>
      </c>
      <c r="BX176">
        <f t="shared" si="789"/>
        <v>0</v>
      </c>
      <c r="BY176">
        <f t="shared" si="790"/>
        <v>0</v>
      </c>
      <c r="BZ176">
        <f t="shared" si="791"/>
        <v>0</v>
      </c>
      <c r="CA176">
        <f t="shared" si="792"/>
        <v>0</v>
      </c>
      <c r="CB176">
        <f t="shared" si="793"/>
        <v>0</v>
      </c>
      <c r="CD176">
        <f t="shared" si="794"/>
        <v>0</v>
      </c>
      <c r="CE176">
        <f t="shared" si="795"/>
        <v>0</v>
      </c>
      <c r="CF176">
        <f t="shared" si="796"/>
        <v>0</v>
      </c>
      <c r="CG176">
        <f t="shared" si="797"/>
        <v>0</v>
      </c>
      <c r="CH176">
        <f t="shared" si="798"/>
        <v>0</v>
      </c>
      <c r="CI176">
        <f t="shared" si="799"/>
        <v>0</v>
      </c>
      <c r="CK176">
        <f t="shared" si="800"/>
        <v>0</v>
      </c>
      <c r="CL176">
        <f t="shared" si="801"/>
        <v>0</v>
      </c>
      <c r="CM176">
        <f t="shared" si="802"/>
        <v>0</v>
      </c>
      <c r="CN176">
        <f t="shared" si="803"/>
        <v>0</v>
      </c>
      <c r="CO176">
        <f t="shared" si="804"/>
        <v>0</v>
      </c>
      <c r="CP176">
        <f t="shared" si="805"/>
        <v>0</v>
      </c>
      <c r="CR176">
        <f t="shared" si="806"/>
        <v>0</v>
      </c>
      <c r="CS176">
        <f t="shared" si="807"/>
        <v>0</v>
      </c>
      <c r="CT176">
        <f t="shared" si="808"/>
        <v>0</v>
      </c>
      <c r="CU176">
        <f t="shared" si="809"/>
        <v>0</v>
      </c>
      <c r="CV176">
        <f t="shared" si="810"/>
        <v>0</v>
      </c>
      <c r="CW176">
        <f t="shared" si="811"/>
        <v>0</v>
      </c>
      <c r="CY176">
        <f t="shared" si="812"/>
        <v>0</v>
      </c>
      <c r="CZ176">
        <f t="shared" si="813"/>
        <v>0</v>
      </c>
      <c r="DA176">
        <f t="shared" si="814"/>
        <v>0</v>
      </c>
      <c r="DB176">
        <f t="shared" si="815"/>
        <v>0</v>
      </c>
      <c r="DC176">
        <f t="shared" si="816"/>
        <v>0</v>
      </c>
      <c r="DD176">
        <f t="shared" si="817"/>
        <v>0</v>
      </c>
      <c r="DF176" s="79">
        <f t="shared" si="818"/>
        <v>0</v>
      </c>
      <c r="DG176" s="79">
        <f t="shared" si="819"/>
        <v>0</v>
      </c>
      <c r="DH176">
        <f t="shared" si="820"/>
        <v>0</v>
      </c>
      <c r="DI176">
        <f t="shared" si="821"/>
        <v>1</v>
      </c>
      <c r="DK176" s="79">
        <f t="shared" si="822"/>
        <v>0</v>
      </c>
      <c r="DL176" s="79">
        <f t="shared" si="823"/>
        <v>0</v>
      </c>
      <c r="DM176">
        <f t="shared" si="824"/>
        <v>1</v>
      </c>
      <c r="DN176">
        <f t="shared" si="825"/>
        <v>0</v>
      </c>
      <c r="DP176" s="79">
        <f t="shared" si="826"/>
        <v>0</v>
      </c>
      <c r="DQ176" s="79">
        <f t="shared" si="827"/>
        <v>0</v>
      </c>
      <c r="DR176">
        <f t="shared" si="828"/>
        <v>0</v>
      </c>
      <c r="DS176">
        <f t="shared" si="829"/>
        <v>1</v>
      </c>
      <c r="DU176" s="79">
        <f t="shared" si="830"/>
        <v>0</v>
      </c>
      <c r="DV176" s="79">
        <f t="shared" si="831"/>
        <v>0</v>
      </c>
      <c r="DW176">
        <f t="shared" si="832"/>
        <v>0</v>
      </c>
      <c r="DX176">
        <f t="shared" si="833"/>
        <v>1</v>
      </c>
      <c r="DZ176" s="79">
        <f t="shared" si="834"/>
        <v>0</v>
      </c>
      <c r="EA176" s="79">
        <f t="shared" si="835"/>
        <v>0</v>
      </c>
      <c r="EB176">
        <f t="shared" si="836"/>
        <v>0</v>
      </c>
      <c r="EC176">
        <f t="shared" si="837"/>
        <v>1</v>
      </c>
    </row>
    <row r="177" spans="1:133">
      <c r="A177" s="164"/>
      <c r="B177" s="164"/>
      <c r="C177" s="164"/>
      <c r="D177" s="164"/>
      <c r="E177" s="164"/>
      <c r="F177" s="163"/>
      <c r="G177" s="164"/>
      <c r="H177" s="164"/>
      <c r="I177" s="164"/>
      <c r="J177" s="164"/>
      <c r="AH177" s="72">
        <f t="shared" ref="AH177:AH212" si="838">COUNTIF(B177:E177,$M$56)+COUNTIF(B177:E177,$N$56)</f>
        <v>0</v>
      </c>
      <c r="AI177" s="72">
        <f t="shared" ref="AI177:AI212" si="839">COUNTIF(G177:J177,$M$56)+COUNTIF(G177:J177,$N$56)</f>
        <v>0</v>
      </c>
      <c r="AJ177" s="72">
        <f t="shared" ref="AJ177:AJ212" si="840">COUNTIF(B177:E177,$M$57)+COUNTIF(B177:E177,$N$57)</f>
        <v>0</v>
      </c>
      <c r="AK177" s="72">
        <f t="shared" ref="AK177:AK212" si="841">COUNTIF(G177:J177,$M$57)+COUNTIF(G177:J177,$N$57)</f>
        <v>0</v>
      </c>
      <c r="AL177" s="72">
        <f t="shared" ref="AL177:AL212" si="842">COUNTIF(B177:E177,$M$58)+COUNTIF(B177:E177,$N$58)</f>
        <v>0</v>
      </c>
      <c r="AM177" s="72">
        <f t="shared" ref="AM177:AM212" si="843">COUNTIF(G177:J177,$M$58)+COUNTIF(G177:J177,$N$58)</f>
        <v>0</v>
      </c>
      <c r="AN177" s="72">
        <f t="shared" ref="AN177:AN212" si="844">COUNTIF(B177:E177,$M$59)+COUNTIF(B177:E177,$N$59)</f>
        <v>0</v>
      </c>
      <c r="AO177" s="72">
        <f t="shared" ref="AO177:AO212" si="845">COUNTIF(G177:J177,$M$59)+COUNTIF(G177:J177,$N$59)</f>
        <v>0</v>
      </c>
      <c r="AP177" s="72">
        <f t="shared" ref="AP177:AP212" si="846">COUNTIF(B177:E177,$M$60)+COUNTIF(B177:E177,$N$60)</f>
        <v>0</v>
      </c>
      <c r="AQ177" s="72">
        <f t="shared" ref="AQ177:AQ212" si="847">COUNTIF(G177:J177,$M$60)+COUNTIF(G177:J177,$N$60)</f>
        <v>0</v>
      </c>
      <c r="AR177" s="72">
        <f t="shared" ref="AR177:AR212" si="848">COUNTIF(B177:E177,$M$61)+COUNTIF(B177:E177,$N$61)</f>
        <v>0</v>
      </c>
      <c r="AS177" s="72">
        <f t="shared" ref="AS177:AS212" si="849">COUNTIF(G177:J177,$M$61)+COUNTIF(G177:J177,$N$61)</f>
        <v>0</v>
      </c>
      <c r="AT177" s="72">
        <f t="shared" ref="AT177:AT212" si="850">COUNTIF(B177:E177,$M$62)+COUNTIF(B177:E177,$N$62)</f>
        <v>0</v>
      </c>
      <c r="AU177" s="72">
        <f t="shared" ref="AU177:AU212" si="851">COUNTIF(G177:J177,$M$62)+COUNTIF(G177:J177,$N$62)</f>
        <v>0</v>
      </c>
      <c r="AV177" s="72">
        <f t="shared" ref="AV177:AV212" si="852">COUNTIF(B177:E177,$M$63)+COUNTIF(B177:E177,$N$63)</f>
        <v>0</v>
      </c>
      <c r="AW177" s="72">
        <f t="shared" ref="AW177:AW212" si="853">COUNTIF(G177:J177,$M$63)+COUNTIF(G177:J177,$N$63)</f>
        <v>0</v>
      </c>
      <c r="AX177" s="72">
        <f t="shared" ref="AX177:AX212" si="854">COUNTIF(B177:E177,$M$64)+COUNTIF(B177:E177,$N$64)</f>
        <v>0</v>
      </c>
      <c r="AY177" s="72">
        <f t="shared" ref="AY177:AY212" si="855">COUNTIF(G177:J177,$M$64)+COUNTIF(G177:J177,$N$64)</f>
        <v>0</v>
      </c>
      <c r="AZ177" s="72">
        <f t="shared" ref="AZ177:AZ212" si="856">COUNTIF(B177:E177,$M$65)+COUNTIF(B177:E177,$N$65)</f>
        <v>0</v>
      </c>
      <c r="BA177" s="72">
        <f t="shared" ref="BA177:BA212" si="857">COUNTIF(G177:J177,$M$65)+COUNTIF(G177:J177,$N$65)</f>
        <v>0</v>
      </c>
      <c r="BB177" s="72">
        <f t="shared" ref="BB177:BB212" si="858">COUNTIF(B177:E177,$M$66)+COUNTIF(B177:E177,$N$66)</f>
        <v>0</v>
      </c>
      <c r="BC177" s="72">
        <f t="shared" ref="BC177:BC212" si="859">COUNTIF(G177:J177,$M$66)+COUNTIF(G177:J177,$N$66)</f>
        <v>0</v>
      </c>
      <c r="BD177" s="72">
        <f t="shared" ref="BD177:BD212" si="860">COUNTIF(B177:E177,$M$67)+COUNTIF(B177:E177,$N$67)</f>
        <v>0</v>
      </c>
      <c r="BE177" s="72">
        <f t="shared" ref="BE177:BE212" si="861">COUNTIF(G177:J177,$M$67)+COUNTIF(G177:J177,$N$67)</f>
        <v>0</v>
      </c>
      <c r="BF177" s="72">
        <f t="shared" ref="BF177:BF212" si="862">COUNTIF(B177:E177,$M$68)+COUNTIF(B177:E177,$N$68)</f>
        <v>0</v>
      </c>
      <c r="BG177" s="72">
        <f t="shared" ref="BG177:BG212" si="863">COUNTIF(G177:J177,$M$68)+COUNTIF(G177:J177,$N$68)</f>
        <v>0</v>
      </c>
      <c r="BH177" s="72">
        <f t="shared" ref="BH177:BH212" si="864">COUNTIF(B177:E177,$M$69)+COUNTIF(B177:E177,$N$69)</f>
        <v>0</v>
      </c>
      <c r="BI177" s="72">
        <f t="shared" ref="BI177:BI212" si="865">COUNTIF(G177:J177,$M$69)+COUNTIF(G177:J177,$N$69)</f>
        <v>0</v>
      </c>
      <c r="BJ177" s="72">
        <f t="shared" ref="BJ177:BJ212" si="866">COUNTIF(B177:E177,$M$70)+COUNTIF(B177:E177,$N$70)</f>
        <v>0</v>
      </c>
      <c r="BK177" s="72">
        <f t="shared" ref="BK177:BK212" si="867">COUNTIF(G177:J177,$M$70)+COUNTIF(G177:J177,$N$70)</f>
        <v>0</v>
      </c>
      <c r="BL177" s="72">
        <f t="shared" ref="BL177:BL212" si="868">COUNTIF(B177:E177,$M$71)+COUNTIF(B177:E177,$N$71)</f>
        <v>0</v>
      </c>
      <c r="BM177" s="72">
        <f t="shared" ref="BM177:BM212" si="869">COUNTIF(G177:J177,$M$71)+COUNTIF(G177:J177,$N$71)</f>
        <v>0</v>
      </c>
      <c r="BN177" s="72">
        <f t="shared" ref="BN177:BN212" si="870">COUNTIF(B177:E177,$M$72)+COUNTIF(B177:E177,$N$72)</f>
        <v>0</v>
      </c>
      <c r="BO177" s="72">
        <f t="shared" ref="BO177:BO212" si="871">COUNTIF(G177:J177,$M$72)+COUNTIF(G177:J177,$N$72)</f>
        <v>0</v>
      </c>
      <c r="BP177" s="72">
        <f t="shared" ref="BP177:BP212" si="872">COUNTIF(B177:E177,$M$73)+COUNTIF(B177:E177,$N$73)</f>
        <v>0</v>
      </c>
      <c r="BQ177" s="72">
        <f t="shared" ref="BQ177:BQ212" si="873">COUNTIF(G177:J177,$M$73)+COUNTIF(G177:J177,$N$73)</f>
        <v>0</v>
      </c>
      <c r="BR177" s="72">
        <f t="shared" ref="BR177:BR212" si="874">COUNTIF(B177:E177,$M$74)+COUNTIF(B177:E177,$N$74)</f>
        <v>0</v>
      </c>
      <c r="BS177" s="72">
        <f t="shared" ref="BS177:BS212" si="875">COUNTIF(G177:J177,$M$74)+COUNTIF(G177:J177,$N$74)</f>
        <v>0</v>
      </c>
      <c r="BT177" s="72">
        <f t="shared" ref="BT177:BT212" si="876">COUNTIF(B177:E177,$M$75)+COUNTIF(B177:E177,$N$75)</f>
        <v>0</v>
      </c>
      <c r="BU177" s="72">
        <f t="shared" ref="BU177:BU212" si="877">COUNTIF(G177:J177,$M$75)+COUNTIF(G177:J177,$N$75)</f>
        <v>0</v>
      </c>
      <c r="BW177">
        <f t="shared" ref="BW177:BW212" si="878">COUNTIF(B177:E177,$U$56)</f>
        <v>0</v>
      </c>
      <c r="BX177">
        <f t="shared" ref="BX177:BX212" si="879">COUNTIF(B177:E177,$X$56)</f>
        <v>0</v>
      </c>
      <c r="BY177">
        <f t="shared" ref="BY177:BY212" si="880">COUNTIF(G177:J177,$U$56)</f>
        <v>0</v>
      </c>
      <c r="BZ177">
        <f t="shared" ref="BZ177:BZ212" si="881">COUNTIF(G177:J177,$X$56)</f>
        <v>0</v>
      </c>
      <c r="CA177">
        <f t="shared" ref="CA177:CA212" si="882">IF(BW177+BX177+BY177+BZ177=1,0,IF(BW177+BX177=1,IF(BY177+BZ177=1,IF(BW177=0,0,1)),0))</f>
        <v>0</v>
      </c>
      <c r="CB177">
        <f t="shared" ref="CB177:CB212" si="883">IF(BW177+BX177+BY177+BZ177=1,0,IF(BW177+BX177=1,IF(BY177+BZ177=1,IF(BX177=0,0,1)),0))</f>
        <v>0</v>
      </c>
      <c r="CD177">
        <f t="shared" ref="CD177:CD212" si="884">COUNTIF(B177:E177,$U$57)</f>
        <v>0</v>
      </c>
      <c r="CE177">
        <f t="shared" ref="CE177:CE212" si="885">COUNTIF(B177:E177,$X$57)</f>
        <v>0</v>
      </c>
      <c r="CF177">
        <f t="shared" ref="CF177:CF212" si="886">COUNTIF(G177:J177,$U$57)</f>
        <v>0</v>
      </c>
      <c r="CG177">
        <f t="shared" ref="CG177:CG212" si="887">COUNTIF(G177:J177,$X$57)</f>
        <v>0</v>
      </c>
      <c r="CH177">
        <f t="shared" ref="CH177:CH212" si="888">IF(CD177+CE177+CF177+CG177=1,0,IF(CD177+CE177=1,IF(CF177+CG177=1,IF(CD177=0,0,1)),0))</f>
        <v>0</v>
      </c>
      <c r="CI177">
        <f t="shared" ref="CI177:CI212" si="889">IF(CD177+CE177+CF177+CG177=1,0,IF(CD177+CE177=1,IF(CF177+CG177=1,IF(CE177=0,0,1)),0))</f>
        <v>0</v>
      </c>
      <c r="CK177">
        <f t="shared" ref="CK177:CK212" si="890">COUNTIF(B177:E177,$U$58)</f>
        <v>0</v>
      </c>
      <c r="CL177">
        <f t="shared" ref="CL177:CL212" si="891">COUNTIF(B177:E177,$X$58)</f>
        <v>0</v>
      </c>
      <c r="CM177">
        <f t="shared" ref="CM177:CM212" si="892">COUNTIF(G177:J177,$U$58)</f>
        <v>0</v>
      </c>
      <c r="CN177">
        <f t="shared" ref="CN177:CN212" si="893">COUNTIF(G177:J177,$X$58)</f>
        <v>0</v>
      </c>
      <c r="CO177">
        <f t="shared" ref="CO177:CO212" si="894">IF(CK177+CL177+CM177+CN177=1,0,IF(CK177+CL177=1,IF(CM177+CN177=1,IF(CK177=0,0,1)),0))</f>
        <v>0</v>
      </c>
      <c r="CP177">
        <f t="shared" ref="CP177:CP212" si="895">IF(CK177+CL177+CM177+CN177=1,0,IF(CK177+CL177=1,IF(CM177+CN177=1,IF(CL177=0,0,1)),0))</f>
        <v>0</v>
      </c>
      <c r="CR177">
        <f t="shared" ref="CR177:CR212" si="896">COUNTIF(B177:E177,$U$59)</f>
        <v>0</v>
      </c>
      <c r="CS177">
        <f t="shared" ref="CS177:CS212" si="897">COUNTIF(B177:E177,$X$59)</f>
        <v>0</v>
      </c>
      <c r="CT177">
        <f t="shared" ref="CT177:CT212" si="898">COUNTIF(G177:J177,$U$59)</f>
        <v>0</v>
      </c>
      <c r="CU177">
        <f t="shared" ref="CU177:CU212" si="899">COUNTIF(G177:J177,$X$59)</f>
        <v>0</v>
      </c>
      <c r="CV177">
        <f t="shared" ref="CV177:CV212" si="900">IF(CR177+CS177+CT177+CU177=1,0,IF(CR177+CS177=1,IF(CT177+CU177=1,IF(CR177=0,0,1)),0))</f>
        <v>0</v>
      </c>
      <c r="CW177">
        <f t="shared" ref="CW177:CW212" si="901">IF(CR177+CS177+CT177+CU177=1,0,IF(CR177+CS177=1,IF(CT177+CU177=1,IF(CS177=0,0,1)),0))</f>
        <v>0</v>
      </c>
      <c r="CY177">
        <f t="shared" ref="CY177:CY212" si="902">COUNTIF(B177:E177,$U$60)</f>
        <v>0</v>
      </c>
      <c r="CZ177">
        <f t="shared" ref="CZ177:CZ212" si="903">COUNTIF(B177:E177,$X$60)</f>
        <v>0</v>
      </c>
      <c r="DA177">
        <f t="shared" ref="DA177:DA212" si="904">COUNTIF(G177:J177,$U$60)</f>
        <v>0</v>
      </c>
      <c r="DB177">
        <f t="shared" ref="DB177:DB212" si="905">COUNTIF(G177:J177,$X$60)</f>
        <v>0</v>
      </c>
      <c r="DC177">
        <f t="shared" ref="DC177:DC212" si="906">IF(CY177+CZ177+DA177+DB177=1,0,IF(CY177+CZ177=1,IF(DA177+DB177=1,IF(CY177=0,0,1)),0))</f>
        <v>0</v>
      </c>
      <c r="DD177">
        <f t="shared" ref="DD177:DD212" si="907">IF(CY177+CZ177+DA177+DB177=1,0,IF(CY177+CZ177=1,IF(DA177+DB177=1,IF(CZ177=0,0,1)),0))</f>
        <v>0</v>
      </c>
      <c r="DF177" s="79">
        <f t="shared" ref="DF177:DF212" si="908">COUNTIF(B177:E177,$Z$56)</f>
        <v>0</v>
      </c>
      <c r="DG177" s="79">
        <f t="shared" ref="DG177:DG212" si="909">COUNTIF(G177:J177,$Z$56)</f>
        <v>0</v>
      </c>
      <c r="DH177">
        <f t="shared" ref="DH177:DH212" si="910">IF(DF177+DG177=0,DH176,(DH176+DF177)*DF177)</f>
        <v>0</v>
      </c>
      <c r="DI177">
        <f t="shared" ref="DI177:DI212" si="911">IF(DG177+DH177=0,DI176,(DI176+DG177)*DG177)</f>
        <v>1</v>
      </c>
      <c r="DK177" s="79">
        <f t="shared" ref="DK177:DK212" si="912">COUNTIF(B177:E177,$Z$57)</f>
        <v>0</v>
      </c>
      <c r="DL177" s="79">
        <f t="shared" ref="DL177:DL212" si="913">COUNTIF(G177:J177,$Z$57)</f>
        <v>0</v>
      </c>
      <c r="DM177">
        <f t="shared" ref="DM177:DM212" si="914">IF(DK177+DL177=0,DM176,(DM176+DK177)*DK177)</f>
        <v>1</v>
      </c>
      <c r="DN177">
        <f t="shared" ref="DN177:DN212" si="915">IF(DL177+DM177=0,DN176,(DN176+DL177)*DL177)</f>
        <v>0</v>
      </c>
      <c r="DP177" s="79">
        <f t="shared" ref="DP177:DP212" si="916">COUNTIF(B177:E177,$Z$58)</f>
        <v>0</v>
      </c>
      <c r="DQ177" s="79">
        <f t="shared" ref="DQ177:DQ212" si="917">COUNTIF(G177:J177,$Z$58)</f>
        <v>0</v>
      </c>
      <c r="DR177">
        <f t="shared" ref="DR177:DR212" si="918">IF(DP177+DQ177=0,DR176,(DR176+DP177)*DP177)</f>
        <v>0</v>
      </c>
      <c r="DS177">
        <f t="shared" ref="DS177:DS212" si="919">IF(DQ177+DR177=0,DS176,(DS176+DQ177)*DQ177)</f>
        <v>1</v>
      </c>
      <c r="DU177" s="79">
        <f t="shared" ref="DU177:DU212" si="920">COUNTIF(B177:E177,$Z$59)</f>
        <v>0</v>
      </c>
      <c r="DV177" s="79">
        <f t="shared" ref="DV177:DV212" si="921">COUNTIF(G177:J177,$Z$59)</f>
        <v>0</v>
      </c>
      <c r="DW177">
        <f t="shared" ref="DW177:DW212" si="922">IF(DU177+DV177=0,DW176,(DW176+DU177)*DU177)</f>
        <v>0</v>
      </c>
      <c r="DX177">
        <f t="shared" ref="DX177:DX212" si="923">IF(DV177+DW177=0,DX176,(DX176+DV177)*DV177)</f>
        <v>1</v>
      </c>
      <c r="DZ177" s="79">
        <f t="shared" ref="DZ177:DZ212" si="924">COUNTIF(B177:E177,$Z$60)</f>
        <v>0</v>
      </c>
      <c r="EA177" s="79">
        <f t="shared" ref="EA177:EA212" si="925">COUNTIF(G177:J177,$Z$60)</f>
        <v>0</v>
      </c>
      <c r="EB177">
        <f t="shared" ref="EB177:EB212" si="926">IF(DZ177+EA177=0,EB176,(EB176+DZ177)*DZ177)</f>
        <v>0</v>
      </c>
      <c r="EC177">
        <f t="shared" ref="EC177:EC212" si="927">IF(EA177+EB177=0,EC176,(EC176+EA177)*EA177)</f>
        <v>1</v>
      </c>
    </row>
    <row r="178" spans="1:133">
      <c r="A178" s="164"/>
      <c r="B178" s="164"/>
      <c r="C178" s="164"/>
      <c r="D178" s="164"/>
      <c r="E178" s="164"/>
      <c r="F178" s="163"/>
      <c r="G178" s="164"/>
      <c r="H178" s="164"/>
      <c r="I178" s="164"/>
      <c r="J178" s="164"/>
      <c r="AH178" s="72">
        <f t="shared" si="838"/>
        <v>0</v>
      </c>
      <c r="AI178" s="72">
        <f t="shared" si="839"/>
        <v>0</v>
      </c>
      <c r="AJ178" s="72">
        <f t="shared" si="840"/>
        <v>0</v>
      </c>
      <c r="AK178" s="72">
        <f t="shared" si="841"/>
        <v>0</v>
      </c>
      <c r="AL178" s="72">
        <f t="shared" si="842"/>
        <v>0</v>
      </c>
      <c r="AM178" s="72">
        <f t="shared" si="843"/>
        <v>0</v>
      </c>
      <c r="AN178" s="72">
        <f t="shared" si="844"/>
        <v>0</v>
      </c>
      <c r="AO178" s="72">
        <f t="shared" si="845"/>
        <v>0</v>
      </c>
      <c r="AP178" s="72">
        <f t="shared" si="846"/>
        <v>0</v>
      </c>
      <c r="AQ178" s="72">
        <f t="shared" si="847"/>
        <v>0</v>
      </c>
      <c r="AR178" s="72">
        <f t="shared" si="848"/>
        <v>0</v>
      </c>
      <c r="AS178" s="72">
        <f t="shared" si="849"/>
        <v>0</v>
      </c>
      <c r="AT178" s="72">
        <f t="shared" si="850"/>
        <v>0</v>
      </c>
      <c r="AU178" s="72">
        <f t="shared" si="851"/>
        <v>0</v>
      </c>
      <c r="AV178" s="72">
        <f t="shared" si="852"/>
        <v>0</v>
      </c>
      <c r="AW178" s="72">
        <f t="shared" si="853"/>
        <v>0</v>
      </c>
      <c r="AX178" s="72">
        <f t="shared" si="854"/>
        <v>0</v>
      </c>
      <c r="AY178" s="72">
        <f t="shared" si="855"/>
        <v>0</v>
      </c>
      <c r="AZ178" s="72">
        <f t="shared" si="856"/>
        <v>0</v>
      </c>
      <c r="BA178" s="72">
        <f t="shared" si="857"/>
        <v>0</v>
      </c>
      <c r="BB178" s="72">
        <f t="shared" si="858"/>
        <v>0</v>
      </c>
      <c r="BC178" s="72">
        <f t="shared" si="859"/>
        <v>0</v>
      </c>
      <c r="BD178" s="72">
        <f t="shared" si="860"/>
        <v>0</v>
      </c>
      <c r="BE178" s="72">
        <f t="shared" si="861"/>
        <v>0</v>
      </c>
      <c r="BF178" s="72">
        <f t="shared" si="862"/>
        <v>0</v>
      </c>
      <c r="BG178" s="72">
        <f t="shared" si="863"/>
        <v>0</v>
      </c>
      <c r="BH178" s="72">
        <f t="shared" si="864"/>
        <v>0</v>
      </c>
      <c r="BI178" s="72">
        <f t="shared" si="865"/>
        <v>0</v>
      </c>
      <c r="BJ178" s="72">
        <f t="shared" si="866"/>
        <v>0</v>
      </c>
      <c r="BK178" s="72">
        <f t="shared" si="867"/>
        <v>0</v>
      </c>
      <c r="BL178" s="72">
        <f t="shared" si="868"/>
        <v>0</v>
      </c>
      <c r="BM178" s="72">
        <f t="shared" si="869"/>
        <v>0</v>
      </c>
      <c r="BN178" s="72">
        <f t="shared" si="870"/>
        <v>0</v>
      </c>
      <c r="BO178" s="72">
        <f t="shared" si="871"/>
        <v>0</v>
      </c>
      <c r="BP178" s="72">
        <f t="shared" si="872"/>
        <v>0</v>
      </c>
      <c r="BQ178" s="72">
        <f t="shared" si="873"/>
        <v>0</v>
      </c>
      <c r="BR178" s="72">
        <f t="shared" si="874"/>
        <v>0</v>
      </c>
      <c r="BS178" s="72">
        <f t="shared" si="875"/>
        <v>0</v>
      </c>
      <c r="BT178" s="72">
        <f t="shared" si="876"/>
        <v>0</v>
      </c>
      <c r="BU178" s="72">
        <f t="shared" si="877"/>
        <v>0</v>
      </c>
      <c r="BW178">
        <f t="shared" si="878"/>
        <v>0</v>
      </c>
      <c r="BX178">
        <f t="shared" si="879"/>
        <v>0</v>
      </c>
      <c r="BY178">
        <f t="shared" si="880"/>
        <v>0</v>
      </c>
      <c r="BZ178">
        <f t="shared" si="881"/>
        <v>0</v>
      </c>
      <c r="CA178">
        <f t="shared" si="882"/>
        <v>0</v>
      </c>
      <c r="CB178">
        <f t="shared" si="883"/>
        <v>0</v>
      </c>
      <c r="CD178">
        <f t="shared" si="884"/>
        <v>0</v>
      </c>
      <c r="CE178">
        <f t="shared" si="885"/>
        <v>0</v>
      </c>
      <c r="CF178">
        <f t="shared" si="886"/>
        <v>0</v>
      </c>
      <c r="CG178">
        <f t="shared" si="887"/>
        <v>0</v>
      </c>
      <c r="CH178">
        <f t="shared" si="888"/>
        <v>0</v>
      </c>
      <c r="CI178">
        <f t="shared" si="889"/>
        <v>0</v>
      </c>
      <c r="CK178">
        <f t="shared" si="890"/>
        <v>0</v>
      </c>
      <c r="CL178">
        <f t="shared" si="891"/>
        <v>0</v>
      </c>
      <c r="CM178">
        <f t="shared" si="892"/>
        <v>0</v>
      </c>
      <c r="CN178">
        <f t="shared" si="893"/>
        <v>0</v>
      </c>
      <c r="CO178">
        <f t="shared" si="894"/>
        <v>0</v>
      </c>
      <c r="CP178">
        <f t="shared" si="895"/>
        <v>0</v>
      </c>
      <c r="CR178">
        <f t="shared" si="896"/>
        <v>0</v>
      </c>
      <c r="CS178">
        <f t="shared" si="897"/>
        <v>0</v>
      </c>
      <c r="CT178">
        <f t="shared" si="898"/>
        <v>0</v>
      </c>
      <c r="CU178">
        <f t="shared" si="899"/>
        <v>0</v>
      </c>
      <c r="CV178">
        <f t="shared" si="900"/>
        <v>0</v>
      </c>
      <c r="CW178">
        <f t="shared" si="901"/>
        <v>0</v>
      </c>
      <c r="CY178">
        <f t="shared" si="902"/>
        <v>0</v>
      </c>
      <c r="CZ178">
        <f t="shared" si="903"/>
        <v>0</v>
      </c>
      <c r="DA178">
        <f t="shared" si="904"/>
        <v>0</v>
      </c>
      <c r="DB178">
        <f t="shared" si="905"/>
        <v>0</v>
      </c>
      <c r="DC178">
        <f t="shared" si="906"/>
        <v>0</v>
      </c>
      <c r="DD178">
        <f t="shared" si="907"/>
        <v>0</v>
      </c>
      <c r="DF178" s="79">
        <f t="shared" si="908"/>
        <v>0</v>
      </c>
      <c r="DG178" s="79">
        <f t="shared" si="909"/>
        <v>0</v>
      </c>
      <c r="DH178">
        <f t="shared" si="910"/>
        <v>0</v>
      </c>
      <c r="DI178">
        <f t="shared" si="911"/>
        <v>1</v>
      </c>
      <c r="DK178" s="79">
        <f t="shared" si="912"/>
        <v>0</v>
      </c>
      <c r="DL178" s="79">
        <f t="shared" si="913"/>
        <v>0</v>
      </c>
      <c r="DM178">
        <f t="shared" si="914"/>
        <v>1</v>
      </c>
      <c r="DN178">
        <f t="shared" si="915"/>
        <v>0</v>
      </c>
      <c r="DP178" s="79">
        <f t="shared" si="916"/>
        <v>0</v>
      </c>
      <c r="DQ178" s="79">
        <f t="shared" si="917"/>
        <v>0</v>
      </c>
      <c r="DR178">
        <f t="shared" si="918"/>
        <v>0</v>
      </c>
      <c r="DS178">
        <f t="shared" si="919"/>
        <v>1</v>
      </c>
      <c r="DU178" s="79">
        <f t="shared" si="920"/>
        <v>0</v>
      </c>
      <c r="DV178" s="79">
        <f t="shared" si="921"/>
        <v>0</v>
      </c>
      <c r="DW178">
        <f t="shared" si="922"/>
        <v>0</v>
      </c>
      <c r="DX178">
        <f t="shared" si="923"/>
        <v>1</v>
      </c>
      <c r="DZ178" s="79">
        <f t="shared" si="924"/>
        <v>0</v>
      </c>
      <c r="EA178" s="79">
        <f t="shared" si="925"/>
        <v>0</v>
      </c>
      <c r="EB178">
        <f t="shared" si="926"/>
        <v>0</v>
      </c>
      <c r="EC178">
        <f t="shared" si="927"/>
        <v>1</v>
      </c>
    </row>
    <row r="179" spans="1:133">
      <c r="A179" s="164"/>
      <c r="B179" s="164"/>
      <c r="C179" s="164"/>
      <c r="D179" s="164"/>
      <c r="E179" s="164"/>
      <c r="F179" s="163"/>
      <c r="G179" s="164"/>
      <c r="H179" s="164"/>
      <c r="I179" s="164"/>
      <c r="J179" s="164"/>
      <c r="AH179" s="72">
        <f t="shared" si="838"/>
        <v>0</v>
      </c>
      <c r="AI179" s="72">
        <f t="shared" si="839"/>
        <v>0</v>
      </c>
      <c r="AJ179" s="72">
        <f t="shared" si="840"/>
        <v>0</v>
      </c>
      <c r="AK179" s="72">
        <f t="shared" si="841"/>
        <v>0</v>
      </c>
      <c r="AL179" s="72">
        <f t="shared" si="842"/>
        <v>0</v>
      </c>
      <c r="AM179" s="72">
        <f t="shared" si="843"/>
        <v>0</v>
      </c>
      <c r="AN179" s="72">
        <f t="shared" si="844"/>
        <v>0</v>
      </c>
      <c r="AO179" s="72">
        <f t="shared" si="845"/>
        <v>0</v>
      </c>
      <c r="AP179" s="72">
        <f t="shared" si="846"/>
        <v>0</v>
      </c>
      <c r="AQ179" s="72">
        <f t="shared" si="847"/>
        <v>0</v>
      </c>
      <c r="AR179" s="72">
        <f t="shared" si="848"/>
        <v>0</v>
      </c>
      <c r="AS179" s="72">
        <f t="shared" si="849"/>
        <v>0</v>
      </c>
      <c r="AT179" s="72">
        <f t="shared" si="850"/>
        <v>0</v>
      </c>
      <c r="AU179" s="72">
        <f t="shared" si="851"/>
        <v>0</v>
      </c>
      <c r="AV179" s="72">
        <f t="shared" si="852"/>
        <v>0</v>
      </c>
      <c r="AW179" s="72">
        <f t="shared" si="853"/>
        <v>0</v>
      </c>
      <c r="AX179" s="72">
        <f t="shared" si="854"/>
        <v>0</v>
      </c>
      <c r="AY179" s="72">
        <f t="shared" si="855"/>
        <v>0</v>
      </c>
      <c r="AZ179" s="72">
        <f t="shared" si="856"/>
        <v>0</v>
      </c>
      <c r="BA179" s="72">
        <f t="shared" si="857"/>
        <v>0</v>
      </c>
      <c r="BB179" s="72">
        <f t="shared" si="858"/>
        <v>0</v>
      </c>
      <c r="BC179" s="72">
        <f t="shared" si="859"/>
        <v>0</v>
      </c>
      <c r="BD179" s="72">
        <f t="shared" si="860"/>
        <v>0</v>
      </c>
      <c r="BE179" s="72">
        <f t="shared" si="861"/>
        <v>0</v>
      </c>
      <c r="BF179" s="72">
        <f t="shared" si="862"/>
        <v>0</v>
      </c>
      <c r="BG179" s="72">
        <f t="shared" si="863"/>
        <v>0</v>
      </c>
      <c r="BH179" s="72">
        <f t="shared" si="864"/>
        <v>0</v>
      </c>
      <c r="BI179" s="72">
        <f t="shared" si="865"/>
        <v>0</v>
      </c>
      <c r="BJ179" s="72">
        <f t="shared" si="866"/>
        <v>0</v>
      </c>
      <c r="BK179" s="72">
        <f t="shared" si="867"/>
        <v>0</v>
      </c>
      <c r="BL179" s="72">
        <f t="shared" si="868"/>
        <v>0</v>
      </c>
      <c r="BM179" s="72">
        <f t="shared" si="869"/>
        <v>0</v>
      </c>
      <c r="BN179" s="72">
        <f t="shared" si="870"/>
        <v>0</v>
      </c>
      <c r="BO179" s="72">
        <f t="shared" si="871"/>
        <v>0</v>
      </c>
      <c r="BP179" s="72">
        <f t="shared" si="872"/>
        <v>0</v>
      </c>
      <c r="BQ179" s="72">
        <f t="shared" si="873"/>
        <v>0</v>
      </c>
      <c r="BR179" s="72">
        <f t="shared" si="874"/>
        <v>0</v>
      </c>
      <c r="BS179" s="72">
        <f t="shared" si="875"/>
        <v>0</v>
      </c>
      <c r="BT179" s="72">
        <f t="shared" si="876"/>
        <v>0</v>
      </c>
      <c r="BU179" s="72">
        <f t="shared" si="877"/>
        <v>0</v>
      </c>
      <c r="BW179">
        <f t="shared" si="878"/>
        <v>0</v>
      </c>
      <c r="BX179">
        <f t="shared" si="879"/>
        <v>0</v>
      </c>
      <c r="BY179">
        <f t="shared" si="880"/>
        <v>0</v>
      </c>
      <c r="BZ179">
        <f t="shared" si="881"/>
        <v>0</v>
      </c>
      <c r="CA179">
        <f t="shared" si="882"/>
        <v>0</v>
      </c>
      <c r="CB179">
        <f t="shared" si="883"/>
        <v>0</v>
      </c>
      <c r="CD179">
        <f t="shared" si="884"/>
        <v>0</v>
      </c>
      <c r="CE179">
        <f t="shared" si="885"/>
        <v>0</v>
      </c>
      <c r="CF179">
        <f t="shared" si="886"/>
        <v>0</v>
      </c>
      <c r="CG179">
        <f t="shared" si="887"/>
        <v>0</v>
      </c>
      <c r="CH179">
        <f t="shared" si="888"/>
        <v>0</v>
      </c>
      <c r="CI179">
        <f t="shared" si="889"/>
        <v>0</v>
      </c>
      <c r="CK179">
        <f t="shared" si="890"/>
        <v>0</v>
      </c>
      <c r="CL179">
        <f t="shared" si="891"/>
        <v>0</v>
      </c>
      <c r="CM179">
        <f t="shared" si="892"/>
        <v>0</v>
      </c>
      <c r="CN179">
        <f t="shared" si="893"/>
        <v>0</v>
      </c>
      <c r="CO179">
        <f t="shared" si="894"/>
        <v>0</v>
      </c>
      <c r="CP179">
        <f t="shared" si="895"/>
        <v>0</v>
      </c>
      <c r="CR179">
        <f t="shared" si="896"/>
        <v>0</v>
      </c>
      <c r="CS179">
        <f t="shared" si="897"/>
        <v>0</v>
      </c>
      <c r="CT179">
        <f t="shared" si="898"/>
        <v>0</v>
      </c>
      <c r="CU179">
        <f t="shared" si="899"/>
        <v>0</v>
      </c>
      <c r="CV179">
        <f t="shared" si="900"/>
        <v>0</v>
      </c>
      <c r="CW179">
        <f t="shared" si="901"/>
        <v>0</v>
      </c>
      <c r="CY179">
        <f t="shared" si="902"/>
        <v>0</v>
      </c>
      <c r="CZ179">
        <f t="shared" si="903"/>
        <v>0</v>
      </c>
      <c r="DA179">
        <f t="shared" si="904"/>
        <v>0</v>
      </c>
      <c r="DB179">
        <f t="shared" si="905"/>
        <v>0</v>
      </c>
      <c r="DC179">
        <f t="shared" si="906"/>
        <v>0</v>
      </c>
      <c r="DD179">
        <f t="shared" si="907"/>
        <v>0</v>
      </c>
      <c r="DF179" s="79">
        <f t="shared" si="908"/>
        <v>0</v>
      </c>
      <c r="DG179" s="79">
        <f t="shared" si="909"/>
        <v>0</v>
      </c>
      <c r="DH179">
        <f t="shared" si="910"/>
        <v>0</v>
      </c>
      <c r="DI179">
        <f t="shared" si="911"/>
        <v>1</v>
      </c>
      <c r="DK179" s="79">
        <f t="shared" si="912"/>
        <v>0</v>
      </c>
      <c r="DL179" s="79">
        <f t="shared" si="913"/>
        <v>0</v>
      </c>
      <c r="DM179">
        <f t="shared" si="914"/>
        <v>1</v>
      </c>
      <c r="DN179">
        <f t="shared" si="915"/>
        <v>0</v>
      </c>
      <c r="DP179" s="79">
        <f t="shared" si="916"/>
        <v>0</v>
      </c>
      <c r="DQ179" s="79">
        <f t="shared" si="917"/>
        <v>0</v>
      </c>
      <c r="DR179">
        <f t="shared" si="918"/>
        <v>0</v>
      </c>
      <c r="DS179">
        <f t="shared" si="919"/>
        <v>1</v>
      </c>
      <c r="DU179" s="79">
        <f t="shared" si="920"/>
        <v>0</v>
      </c>
      <c r="DV179" s="79">
        <f t="shared" si="921"/>
        <v>0</v>
      </c>
      <c r="DW179">
        <f t="shared" si="922"/>
        <v>0</v>
      </c>
      <c r="DX179">
        <f t="shared" si="923"/>
        <v>1</v>
      </c>
      <c r="DZ179" s="79">
        <f t="shared" si="924"/>
        <v>0</v>
      </c>
      <c r="EA179" s="79">
        <f t="shared" si="925"/>
        <v>0</v>
      </c>
      <c r="EB179">
        <f t="shared" si="926"/>
        <v>0</v>
      </c>
      <c r="EC179">
        <f t="shared" si="927"/>
        <v>1</v>
      </c>
    </row>
    <row r="180" spans="1:133">
      <c r="A180" s="164"/>
      <c r="B180" s="164"/>
      <c r="C180" s="164"/>
      <c r="D180" s="164"/>
      <c r="E180" s="164"/>
      <c r="F180" s="163"/>
      <c r="G180" s="164"/>
      <c r="H180" s="164"/>
      <c r="I180" s="164"/>
      <c r="J180" s="164"/>
      <c r="AH180" s="72">
        <f t="shared" si="838"/>
        <v>0</v>
      </c>
      <c r="AI180" s="72">
        <f t="shared" si="839"/>
        <v>0</v>
      </c>
      <c r="AJ180" s="72">
        <f t="shared" si="840"/>
        <v>0</v>
      </c>
      <c r="AK180" s="72">
        <f t="shared" si="841"/>
        <v>0</v>
      </c>
      <c r="AL180" s="72">
        <f t="shared" si="842"/>
        <v>0</v>
      </c>
      <c r="AM180" s="72">
        <f t="shared" si="843"/>
        <v>0</v>
      </c>
      <c r="AN180" s="72">
        <f t="shared" si="844"/>
        <v>0</v>
      </c>
      <c r="AO180" s="72">
        <f t="shared" si="845"/>
        <v>0</v>
      </c>
      <c r="AP180" s="72">
        <f t="shared" si="846"/>
        <v>0</v>
      </c>
      <c r="AQ180" s="72">
        <f t="shared" si="847"/>
        <v>0</v>
      </c>
      <c r="AR180" s="72">
        <f t="shared" si="848"/>
        <v>0</v>
      </c>
      <c r="AS180" s="72">
        <f t="shared" si="849"/>
        <v>0</v>
      </c>
      <c r="AT180" s="72">
        <f t="shared" si="850"/>
        <v>0</v>
      </c>
      <c r="AU180" s="72">
        <f t="shared" si="851"/>
        <v>0</v>
      </c>
      <c r="AV180" s="72">
        <f t="shared" si="852"/>
        <v>0</v>
      </c>
      <c r="AW180" s="72">
        <f t="shared" si="853"/>
        <v>0</v>
      </c>
      <c r="AX180" s="72">
        <f t="shared" si="854"/>
        <v>0</v>
      </c>
      <c r="AY180" s="72">
        <f t="shared" si="855"/>
        <v>0</v>
      </c>
      <c r="AZ180" s="72">
        <f t="shared" si="856"/>
        <v>0</v>
      </c>
      <c r="BA180" s="72">
        <f t="shared" si="857"/>
        <v>0</v>
      </c>
      <c r="BB180" s="72">
        <f t="shared" si="858"/>
        <v>0</v>
      </c>
      <c r="BC180" s="72">
        <f t="shared" si="859"/>
        <v>0</v>
      </c>
      <c r="BD180" s="72">
        <f t="shared" si="860"/>
        <v>0</v>
      </c>
      <c r="BE180" s="72">
        <f t="shared" si="861"/>
        <v>0</v>
      </c>
      <c r="BF180" s="72">
        <f t="shared" si="862"/>
        <v>0</v>
      </c>
      <c r="BG180" s="72">
        <f t="shared" si="863"/>
        <v>0</v>
      </c>
      <c r="BH180" s="72">
        <f t="shared" si="864"/>
        <v>0</v>
      </c>
      <c r="BI180" s="72">
        <f t="shared" si="865"/>
        <v>0</v>
      </c>
      <c r="BJ180" s="72">
        <f t="shared" si="866"/>
        <v>0</v>
      </c>
      <c r="BK180" s="72">
        <f t="shared" si="867"/>
        <v>0</v>
      </c>
      <c r="BL180" s="72">
        <f t="shared" si="868"/>
        <v>0</v>
      </c>
      <c r="BM180" s="72">
        <f t="shared" si="869"/>
        <v>0</v>
      </c>
      <c r="BN180" s="72">
        <f t="shared" si="870"/>
        <v>0</v>
      </c>
      <c r="BO180" s="72">
        <f t="shared" si="871"/>
        <v>0</v>
      </c>
      <c r="BP180" s="72">
        <f t="shared" si="872"/>
        <v>0</v>
      </c>
      <c r="BQ180" s="72">
        <f t="shared" si="873"/>
        <v>0</v>
      </c>
      <c r="BR180" s="72">
        <f t="shared" si="874"/>
        <v>0</v>
      </c>
      <c r="BS180" s="72">
        <f t="shared" si="875"/>
        <v>0</v>
      </c>
      <c r="BT180" s="72">
        <f t="shared" si="876"/>
        <v>0</v>
      </c>
      <c r="BU180" s="72">
        <f t="shared" si="877"/>
        <v>0</v>
      </c>
      <c r="BW180">
        <f t="shared" si="878"/>
        <v>0</v>
      </c>
      <c r="BX180">
        <f t="shared" si="879"/>
        <v>0</v>
      </c>
      <c r="BY180">
        <f t="shared" si="880"/>
        <v>0</v>
      </c>
      <c r="BZ180">
        <f t="shared" si="881"/>
        <v>0</v>
      </c>
      <c r="CA180">
        <f t="shared" si="882"/>
        <v>0</v>
      </c>
      <c r="CB180">
        <f t="shared" si="883"/>
        <v>0</v>
      </c>
      <c r="CD180">
        <f t="shared" si="884"/>
        <v>0</v>
      </c>
      <c r="CE180">
        <f t="shared" si="885"/>
        <v>0</v>
      </c>
      <c r="CF180">
        <f t="shared" si="886"/>
        <v>0</v>
      </c>
      <c r="CG180">
        <f t="shared" si="887"/>
        <v>0</v>
      </c>
      <c r="CH180">
        <f t="shared" si="888"/>
        <v>0</v>
      </c>
      <c r="CI180">
        <f t="shared" si="889"/>
        <v>0</v>
      </c>
      <c r="CK180">
        <f t="shared" si="890"/>
        <v>0</v>
      </c>
      <c r="CL180">
        <f t="shared" si="891"/>
        <v>0</v>
      </c>
      <c r="CM180">
        <f t="shared" si="892"/>
        <v>0</v>
      </c>
      <c r="CN180">
        <f t="shared" si="893"/>
        <v>0</v>
      </c>
      <c r="CO180">
        <f t="shared" si="894"/>
        <v>0</v>
      </c>
      <c r="CP180">
        <f t="shared" si="895"/>
        <v>0</v>
      </c>
      <c r="CR180">
        <f t="shared" si="896"/>
        <v>0</v>
      </c>
      <c r="CS180">
        <f t="shared" si="897"/>
        <v>0</v>
      </c>
      <c r="CT180">
        <f t="shared" si="898"/>
        <v>0</v>
      </c>
      <c r="CU180">
        <f t="shared" si="899"/>
        <v>0</v>
      </c>
      <c r="CV180">
        <f t="shared" si="900"/>
        <v>0</v>
      </c>
      <c r="CW180">
        <f t="shared" si="901"/>
        <v>0</v>
      </c>
      <c r="CY180">
        <f t="shared" si="902"/>
        <v>0</v>
      </c>
      <c r="CZ180">
        <f t="shared" si="903"/>
        <v>0</v>
      </c>
      <c r="DA180">
        <f t="shared" si="904"/>
        <v>0</v>
      </c>
      <c r="DB180">
        <f t="shared" si="905"/>
        <v>0</v>
      </c>
      <c r="DC180">
        <f t="shared" si="906"/>
        <v>0</v>
      </c>
      <c r="DD180">
        <f t="shared" si="907"/>
        <v>0</v>
      </c>
      <c r="DF180" s="79">
        <f t="shared" si="908"/>
        <v>0</v>
      </c>
      <c r="DG180" s="79">
        <f t="shared" si="909"/>
        <v>0</v>
      </c>
      <c r="DH180">
        <f t="shared" si="910"/>
        <v>0</v>
      </c>
      <c r="DI180">
        <f t="shared" si="911"/>
        <v>1</v>
      </c>
      <c r="DK180" s="79">
        <f t="shared" si="912"/>
        <v>0</v>
      </c>
      <c r="DL180" s="79">
        <f t="shared" si="913"/>
        <v>0</v>
      </c>
      <c r="DM180">
        <f t="shared" si="914"/>
        <v>1</v>
      </c>
      <c r="DN180">
        <f t="shared" si="915"/>
        <v>0</v>
      </c>
      <c r="DP180" s="79">
        <f t="shared" si="916"/>
        <v>0</v>
      </c>
      <c r="DQ180" s="79">
        <f t="shared" si="917"/>
        <v>0</v>
      </c>
      <c r="DR180">
        <f t="shared" si="918"/>
        <v>0</v>
      </c>
      <c r="DS180">
        <f t="shared" si="919"/>
        <v>1</v>
      </c>
      <c r="DU180" s="79">
        <f t="shared" si="920"/>
        <v>0</v>
      </c>
      <c r="DV180" s="79">
        <f t="shared" si="921"/>
        <v>0</v>
      </c>
      <c r="DW180">
        <f t="shared" si="922"/>
        <v>0</v>
      </c>
      <c r="DX180">
        <f t="shared" si="923"/>
        <v>1</v>
      </c>
      <c r="DZ180" s="79">
        <f t="shared" si="924"/>
        <v>0</v>
      </c>
      <c r="EA180" s="79">
        <f t="shared" si="925"/>
        <v>0</v>
      </c>
      <c r="EB180">
        <f t="shared" si="926"/>
        <v>0</v>
      </c>
      <c r="EC180">
        <f t="shared" si="927"/>
        <v>1</v>
      </c>
    </row>
    <row r="181" spans="1:133">
      <c r="A181" s="164"/>
      <c r="B181" s="164"/>
      <c r="C181" s="164"/>
      <c r="D181" s="164"/>
      <c r="E181" s="164"/>
      <c r="F181" s="163"/>
      <c r="G181" s="164"/>
      <c r="H181" s="164"/>
      <c r="I181" s="164"/>
      <c r="J181" s="164"/>
      <c r="AH181" s="72">
        <f t="shared" si="838"/>
        <v>0</v>
      </c>
      <c r="AI181" s="72">
        <f t="shared" si="839"/>
        <v>0</v>
      </c>
      <c r="AJ181" s="72">
        <f t="shared" si="840"/>
        <v>0</v>
      </c>
      <c r="AK181" s="72">
        <f t="shared" si="841"/>
        <v>0</v>
      </c>
      <c r="AL181" s="72">
        <f t="shared" si="842"/>
        <v>0</v>
      </c>
      <c r="AM181" s="72">
        <f t="shared" si="843"/>
        <v>0</v>
      </c>
      <c r="AN181" s="72">
        <f t="shared" si="844"/>
        <v>0</v>
      </c>
      <c r="AO181" s="72">
        <f t="shared" si="845"/>
        <v>0</v>
      </c>
      <c r="AP181" s="72">
        <f t="shared" si="846"/>
        <v>0</v>
      </c>
      <c r="AQ181" s="72">
        <f t="shared" si="847"/>
        <v>0</v>
      </c>
      <c r="AR181" s="72">
        <f t="shared" si="848"/>
        <v>0</v>
      </c>
      <c r="AS181" s="72">
        <f t="shared" si="849"/>
        <v>0</v>
      </c>
      <c r="AT181" s="72">
        <f t="shared" si="850"/>
        <v>0</v>
      </c>
      <c r="AU181" s="72">
        <f t="shared" si="851"/>
        <v>0</v>
      </c>
      <c r="AV181" s="72">
        <f t="shared" si="852"/>
        <v>0</v>
      </c>
      <c r="AW181" s="72">
        <f t="shared" si="853"/>
        <v>0</v>
      </c>
      <c r="AX181" s="72">
        <f t="shared" si="854"/>
        <v>0</v>
      </c>
      <c r="AY181" s="72">
        <f t="shared" si="855"/>
        <v>0</v>
      </c>
      <c r="AZ181" s="72">
        <f t="shared" si="856"/>
        <v>0</v>
      </c>
      <c r="BA181" s="72">
        <f t="shared" si="857"/>
        <v>0</v>
      </c>
      <c r="BB181" s="72">
        <f t="shared" si="858"/>
        <v>0</v>
      </c>
      <c r="BC181" s="72">
        <f t="shared" si="859"/>
        <v>0</v>
      </c>
      <c r="BD181" s="72">
        <f t="shared" si="860"/>
        <v>0</v>
      </c>
      <c r="BE181" s="72">
        <f t="shared" si="861"/>
        <v>0</v>
      </c>
      <c r="BF181" s="72">
        <f t="shared" si="862"/>
        <v>0</v>
      </c>
      <c r="BG181" s="72">
        <f t="shared" si="863"/>
        <v>0</v>
      </c>
      <c r="BH181" s="72">
        <f t="shared" si="864"/>
        <v>0</v>
      </c>
      <c r="BI181" s="72">
        <f t="shared" si="865"/>
        <v>0</v>
      </c>
      <c r="BJ181" s="72">
        <f t="shared" si="866"/>
        <v>0</v>
      </c>
      <c r="BK181" s="72">
        <f t="shared" si="867"/>
        <v>0</v>
      </c>
      <c r="BL181" s="72">
        <f t="shared" si="868"/>
        <v>0</v>
      </c>
      <c r="BM181" s="72">
        <f t="shared" si="869"/>
        <v>0</v>
      </c>
      <c r="BN181" s="72">
        <f t="shared" si="870"/>
        <v>0</v>
      </c>
      <c r="BO181" s="72">
        <f t="shared" si="871"/>
        <v>0</v>
      </c>
      <c r="BP181" s="72">
        <f t="shared" si="872"/>
        <v>0</v>
      </c>
      <c r="BQ181" s="72">
        <f t="shared" si="873"/>
        <v>0</v>
      </c>
      <c r="BR181" s="72">
        <f t="shared" si="874"/>
        <v>0</v>
      </c>
      <c r="BS181" s="72">
        <f t="shared" si="875"/>
        <v>0</v>
      </c>
      <c r="BT181" s="72">
        <f t="shared" si="876"/>
        <v>0</v>
      </c>
      <c r="BU181" s="72">
        <f t="shared" si="877"/>
        <v>0</v>
      </c>
      <c r="BW181">
        <f t="shared" si="878"/>
        <v>0</v>
      </c>
      <c r="BX181">
        <f t="shared" si="879"/>
        <v>0</v>
      </c>
      <c r="BY181">
        <f t="shared" si="880"/>
        <v>0</v>
      </c>
      <c r="BZ181">
        <f t="shared" si="881"/>
        <v>0</v>
      </c>
      <c r="CA181">
        <f t="shared" si="882"/>
        <v>0</v>
      </c>
      <c r="CB181">
        <f t="shared" si="883"/>
        <v>0</v>
      </c>
      <c r="CD181">
        <f t="shared" si="884"/>
        <v>0</v>
      </c>
      <c r="CE181">
        <f t="shared" si="885"/>
        <v>0</v>
      </c>
      <c r="CF181">
        <f t="shared" si="886"/>
        <v>0</v>
      </c>
      <c r="CG181">
        <f t="shared" si="887"/>
        <v>0</v>
      </c>
      <c r="CH181">
        <f t="shared" si="888"/>
        <v>0</v>
      </c>
      <c r="CI181">
        <f t="shared" si="889"/>
        <v>0</v>
      </c>
      <c r="CK181">
        <f t="shared" si="890"/>
        <v>0</v>
      </c>
      <c r="CL181">
        <f t="shared" si="891"/>
        <v>0</v>
      </c>
      <c r="CM181">
        <f t="shared" si="892"/>
        <v>0</v>
      </c>
      <c r="CN181">
        <f t="shared" si="893"/>
        <v>0</v>
      </c>
      <c r="CO181">
        <f t="shared" si="894"/>
        <v>0</v>
      </c>
      <c r="CP181">
        <f t="shared" si="895"/>
        <v>0</v>
      </c>
      <c r="CR181">
        <f t="shared" si="896"/>
        <v>0</v>
      </c>
      <c r="CS181">
        <f t="shared" si="897"/>
        <v>0</v>
      </c>
      <c r="CT181">
        <f t="shared" si="898"/>
        <v>0</v>
      </c>
      <c r="CU181">
        <f t="shared" si="899"/>
        <v>0</v>
      </c>
      <c r="CV181">
        <f t="shared" si="900"/>
        <v>0</v>
      </c>
      <c r="CW181">
        <f t="shared" si="901"/>
        <v>0</v>
      </c>
      <c r="CY181">
        <f t="shared" si="902"/>
        <v>0</v>
      </c>
      <c r="CZ181">
        <f t="shared" si="903"/>
        <v>0</v>
      </c>
      <c r="DA181">
        <f t="shared" si="904"/>
        <v>0</v>
      </c>
      <c r="DB181">
        <f t="shared" si="905"/>
        <v>0</v>
      </c>
      <c r="DC181">
        <f t="shared" si="906"/>
        <v>0</v>
      </c>
      <c r="DD181">
        <f t="shared" si="907"/>
        <v>0</v>
      </c>
      <c r="DF181" s="79">
        <f t="shared" si="908"/>
        <v>0</v>
      </c>
      <c r="DG181" s="79">
        <f t="shared" si="909"/>
        <v>0</v>
      </c>
      <c r="DH181">
        <f t="shared" si="910"/>
        <v>0</v>
      </c>
      <c r="DI181">
        <f t="shared" si="911"/>
        <v>1</v>
      </c>
      <c r="DK181" s="79">
        <f t="shared" si="912"/>
        <v>0</v>
      </c>
      <c r="DL181" s="79">
        <f t="shared" si="913"/>
        <v>0</v>
      </c>
      <c r="DM181">
        <f t="shared" si="914"/>
        <v>1</v>
      </c>
      <c r="DN181">
        <f t="shared" si="915"/>
        <v>0</v>
      </c>
      <c r="DP181" s="79">
        <f t="shared" si="916"/>
        <v>0</v>
      </c>
      <c r="DQ181" s="79">
        <f t="shared" si="917"/>
        <v>0</v>
      </c>
      <c r="DR181">
        <f t="shared" si="918"/>
        <v>0</v>
      </c>
      <c r="DS181">
        <f t="shared" si="919"/>
        <v>1</v>
      </c>
      <c r="DU181" s="79">
        <f t="shared" si="920"/>
        <v>0</v>
      </c>
      <c r="DV181" s="79">
        <f t="shared" si="921"/>
        <v>0</v>
      </c>
      <c r="DW181">
        <f t="shared" si="922"/>
        <v>0</v>
      </c>
      <c r="DX181">
        <f t="shared" si="923"/>
        <v>1</v>
      </c>
      <c r="DZ181" s="79">
        <f t="shared" si="924"/>
        <v>0</v>
      </c>
      <c r="EA181" s="79">
        <f t="shared" si="925"/>
        <v>0</v>
      </c>
      <c r="EB181">
        <f t="shared" si="926"/>
        <v>0</v>
      </c>
      <c r="EC181">
        <f t="shared" si="927"/>
        <v>1</v>
      </c>
    </row>
    <row r="182" spans="1:133">
      <c r="A182" s="164"/>
      <c r="B182" s="164"/>
      <c r="C182" s="164"/>
      <c r="D182" s="164"/>
      <c r="E182" s="164"/>
      <c r="F182" s="163"/>
      <c r="G182" s="164"/>
      <c r="H182" s="164"/>
      <c r="I182" s="164"/>
      <c r="J182" s="164"/>
      <c r="AH182" s="72">
        <f t="shared" si="838"/>
        <v>0</v>
      </c>
      <c r="AI182" s="72">
        <f t="shared" si="839"/>
        <v>0</v>
      </c>
      <c r="AJ182" s="72">
        <f t="shared" si="840"/>
        <v>0</v>
      </c>
      <c r="AK182" s="72">
        <f t="shared" si="841"/>
        <v>0</v>
      </c>
      <c r="AL182" s="72">
        <f t="shared" si="842"/>
        <v>0</v>
      </c>
      <c r="AM182" s="72">
        <f t="shared" si="843"/>
        <v>0</v>
      </c>
      <c r="AN182" s="72">
        <f t="shared" si="844"/>
        <v>0</v>
      </c>
      <c r="AO182" s="72">
        <f t="shared" si="845"/>
        <v>0</v>
      </c>
      <c r="AP182" s="72">
        <f t="shared" si="846"/>
        <v>0</v>
      </c>
      <c r="AQ182" s="72">
        <f t="shared" si="847"/>
        <v>0</v>
      </c>
      <c r="AR182" s="72">
        <f t="shared" si="848"/>
        <v>0</v>
      </c>
      <c r="AS182" s="72">
        <f t="shared" si="849"/>
        <v>0</v>
      </c>
      <c r="AT182" s="72">
        <f t="shared" si="850"/>
        <v>0</v>
      </c>
      <c r="AU182" s="72">
        <f t="shared" si="851"/>
        <v>0</v>
      </c>
      <c r="AV182" s="72">
        <f t="shared" si="852"/>
        <v>0</v>
      </c>
      <c r="AW182" s="72">
        <f t="shared" si="853"/>
        <v>0</v>
      </c>
      <c r="AX182" s="72">
        <f t="shared" si="854"/>
        <v>0</v>
      </c>
      <c r="AY182" s="72">
        <f t="shared" si="855"/>
        <v>0</v>
      </c>
      <c r="AZ182" s="72">
        <f t="shared" si="856"/>
        <v>0</v>
      </c>
      <c r="BA182" s="72">
        <f t="shared" si="857"/>
        <v>0</v>
      </c>
      <c r="BB182" s="72">
        <f t="shared" si="858"/>
        <v>0</v>
      </c>
      <c r="BC182" s="72">
        <f t="shared" si="859"/>
        <v>0</v>
      </c>
      <c r="BD182" s="72">
        <f t="shared" si="860"/>
        <v>0</v>
      </c>
      <c r="BE182" s="72">
        <f t="shared" si="861"/>
        <v>0</v>
      </c>
      <c r="BF182" s="72">
        <f t="shared" si="862"/>
        <v>0</v>
      </c>
      <c r="BG182" s="72">
        <f t="shared" si="863"/>
        <v>0</v>
      </c>
      <c r="BH182" s="72">
        <f t="shared" si="864"/>
        <v>0</v>
      </c>
      <c r="BI182" s="72">
        <f t="shared" si="865"/>
        <v>0</v>
      </c>
      <c r="BJ182" s="72">
        <f t="shared" si="866"/>
        <v>0</v>
      </c>
      <c r="BK182" s="72">
        <f t="shared" si="867"/>
        <v>0</v>
      </c>
      <c r="BL182" s="72">
        <f t="shared" si="868"/>
        <v>0</v>
      </c>
      <c r="BM182" s="72">
        <f t="shared" si="869"/>
        <v>0</v>
      </c>
      <c r="BN182" s="72">
        <f t="shared" si="870"/>
        <v>0</v>
      </c>
      <c r="BO182" s="72">
        <f t="shared" si="871"/>
        <v>0</v>
      </c>
      <c r="BP182" s="72">
        <f t="shared" si="872"/>
        <v>0</v>
      </c>
      <c r="BQ182" s="72">
        <f t="shared" si="873"/>
        <v>0</v>
      </c>
      <c r="BR182" s="72">
        <f t="shared" si="874"/>
        <v>0</v>
      </c>
      <c r="BS182" s="72">
        <f t="shared" si="875"/>
        <v>0</v>
      </c>
      <c r="BT182" s="72">
        <f t="shared" si="876"/>
        <v>0</v>
      </c>
      <c r="BU182" s="72">
        <f t="shared" si="877"/>
        <v>0</v>
      </c>
      <c r="BW182">
        <f t="shared" si="878"/>
        <v>0</v>
      </c>
      <c r="BX182">
        <f t="shared" si="879"/>
        <v>0</v>
      </c>
      <c r="BY182">
        <f t="shared" si="880"/>
        <v>0</v>
      </c>
      <c r="BZ182">
        <f t="shared" si="881"/>
        <v>0</v>
      </c>
      <c r="CA182">
        <f t="shared" si="882"/>
        <v>0</v>
      </c>
      <c r="CB182">
        <f t="shared" si="883"/>
        <v>0</v>
      </c>
      <c r="CD182">
        <f t="shared" si="884"/>
        <v>0</v>
      </c>
      <c r="CE182">
        <f t="shared" si="885"/>
        <v>0</v>
      </c>
      <c r="CF182">
        <f t="shared" si="886"/>
        <v>0</v>
      </c>
      <c r="CG182">
        <f t="shared" si="887"/>
        <v>0</v>
      </c>
      <c r="CH182">
        <f t="shared" si="888"/>
        <v>0</v>
      </c>
      <c r="CI182">
        <f t="shared" si="889"/>
        <v>0</v>
      </c>
      <c r="CK182">
        <f t="shared" si="890"/>
        <v>0</v>
      </c>
      <c r="CL182">
        <f t="shared" si="891"/>
        <v>0</v>
      </c>
      <c r="CM182">
        <f t="shared" si="892"/>
        <v>0</v>
      </c>
      <c r="CN182">
        <f t="shared" si="893"/>
        <v>0</v>
      </c>
      <c r="CO182">
        <f t="shared" si="894"/>
        <v>0</v>
      </c>
      <c r="CP182">
        <f t="shared" si="895"/>
        <v>0</v>
      </c>
      <c r="CR182">
        <f t="shared" si="896"/>
        <v>0</v>
      </c>
      <c r="CS182">
        <f t="shared" si="897"/>
        <v>0</v>
      </c>
      <c r="CT182">
        <f t="shared" si="898"/>
        <v>0</v>
      </c>
      <c r="CU182">
        <f t="shared" si="899"/>
        <v>0</v>
      </c>
      <c r="CV182">
        <f t="shared" si="900"/>
        <v>0</v>
      </c>
      <c r="CW182">
        <f t="shared" si="901"/>
        <v>0</v>
      </c>
      <c r="CY182">
        <f t="shared" si="902"/>
        <v>0</v>
      </c>
      <c r="CZ182">
        <f t="shared" si="903"/>
        <v>0</v>
      </c>
      <c r="DA182">
        <f t="shared" si="904"/>
        <v>0</v>
      </c>
      <c r="DB182">
        <f t="shared" si="905"/>
        <v>0</v>
      </c>
      <c r="DC182">
        <f t="shared" si="906"/>
        <v>0</v>
      </c>
      <c r="DD182">
        <f t="shared" si="907"/>
        <v>0</v>
      </c>
      <c r="DF182" s="79">
        <f t="shared" si="908"/>
        <v>0</v>
      </c>
      <c r="DG182" s="79">
        <f t="shared" si="909"/>
        <v>0</v>
      </c>
      <c r="DH182">
        <f t="shared" si="910"/>
        <v>0</v>
      </c>
      <c r="DI182">
        <f t="shared" si="911"/>
        <v>1</v>
      </c>
      <c r="DK182" s="79">
        <f t="shared" si="912"/>
        <v>0</v>
      </c>
      <c r="DL182" s="79">
        <f t="shared" si="913"/>
        <v>0</v>
      </c>
      <c r="DM182">
        <f t="shared" si="914"/>
        <v>1</v>
      </c>
      <c r="DN182">
        <f t="shared" si="915"/>
        <v>0</v>
      </c>
      <c r="DP182" s="79">
        <f t="shared" si="916"/>
        <v>0</v>
      </c>
      <c r="DQ182" s="79">
        <f t="shared" si="917"/>
        <v>0</v>
      </c>
      <c r="DR182">
        <f t="shared" si="918"/>
        <v>0</v>
      </c>
      <c r="DS182">
        <f t="shared" si="919"/>
        <v>1</v>
      </c>
      <c r="DU182" s="79">
        <f t="shared" si="920"/>
        <v>0</v>
      </c>
      <c r="DV182" s="79">
        <f t="shared" si="921"/>
        <v>0</v>
      </c>
      <c r="DW182">
        <f t="shared" si="922"/>
        <v>0</v>
      </c>
      <c r="DX182">
        <f t="shared" si="923"/>
        <v>1</v>
      </c>
      <c r="DZ182" s="79">
        <f t="shared" si="924"/>
        <v>0</v>
      </c>
      <c r="EA182" s="79">
        <f t="shared" si="925"/>
        <v>0</v>
      </c>
      <c r="EB182">
        <f t="shared" si="926"/>
        <v>0</v>
      </c>
      <c r="EC182">
        <f t="shared" si="927"/>
        <v>1</v>
      </c>
    </row>
    <row r="183" spans="1:133">
      <c r="A183" s="164"/>
      <c r="B183" s="164"/>
      <c r="C183" s="164"/>
      <c r="D183" s="164"/>
      <c r="E183" s="164"/>
      <c r="F183" s="163"/>
      <c r="G183" s="164"/>
      <c r="H183" s="164"/>
      <c r="I183" s="164"/>
      <c r="J183" s="164"/>
      <c r="AH183" s="72">
        <f t="shared" si="838"/>
        <v>0</v>
      </c>
      <c r="AI183" s="72">
        <f t="shared" si="839"/>
        <v>0</v>
      </c>
      <c r="AJ183" s="72">
        <f t="shared" si="840"/>
        <v>0</v>
      </c>
      <c r="AK183" s="72">
        <f t="shared" si="841"/>
        <v>0</v>
      </c>
      <c r="AL183" s="72">
        <f t="shared" si="842"/>
        <v>0</v>
      </c>
      <c r="AM183" s="72">
        <f t="shared" si="843"/>
        <v>0</v>
      </c>
      <c r="AN183" s="72">
        <f t="shared" si="844"/>
        <v>0</v>
      </c>
      <c r="AO183" s="72">
        <f t="shared" si="845"/>
        <v>0</v>
      </c>
      <c r="AP183" s="72">
        <f t="shared" si="846"/>
        <v>0</v>
      </c>
      <c r="AQ183" s="72">
        <f t="shared" si="847"/>
        <v>0</v>
      </c>
      <c r="AR183" s="72">
        <f t="shared" si="848"/>
        <v>0</v>
      </c>
      <c r="AS183" s="72">
        <f t="shared" si="849"/>
        <v>0</v>
      </c>
      <c r="AT183" s="72">
        <f t="shared" si="850"/>
        <v>0</v>
      </c>
      <c r="AU183" s="72">
        <f t="shared" si="851"/>
        <v>0</v>
      </c>
      <c r="AV183" s="72">
        <f t="shared" si="852"/>
        <v>0</v>
      </c>
      <c r="AW183" s="72">
        <f t="shared" si="853"/>
        <v>0</v>
      </c>
      <c r="AX183" s="72">
        <f t="shared" si="854"/>
        <v>0</v>
      </c>
      <c r="AY183" s="72">
        <f t="shared" si="855"/>
        <v>0</v>
      </c>
      <c r="AZ183" s="72">
        <f t="shared" si="856"/>
        <v>0</v>
      </c>
      <c r="BA183" s="72">
        <f t="shared" si="857"/>
        <v>0</v>
      </c>
      <c r="BB183" s="72">
        <f t="shared" si="858"/>
        <v>0</v>
      </c>
      <c r="BC183" s="72">
        <f t="shared" si="859"/>
        <v>0</v>
      </c>
      <c r="BD183" s="72">
        <f t="shared" si="860"/>
        <v>0</v>
      </c>
      <c r="BE183" s="72">
        <f t="shared" si="861"/>
        <v>0</v>
      </c>
      <c r="BF183" s="72">
        <f t="shared" si="862"/>
        <v>0</v>
      </c>
      <c r="BG183" s="72">
        <f t="shared" si="863"/>
        <v>0</v>
      </c>
      <c r="BH183" s="72">
        <f t="shared" si="864"/>
        <v>0</v>
      </c>
      <c r="BI183" s="72">
        <f t="shared" si="865"/>
        <v>0</v>
      </c>
      <c r="BJ183" s="72">
        <f t="shared" si="866"/>
        <v>0</v>
      </c>
      <c r="BK183" s="72">
        <f t="shared" si="867"/>
        <v>0</v>
      </c>
      <c r="BL183" s="72">
        <f t="shared" si="868"/>
        <v>0</v>
      </c>
      <c r="BM183" s="72">
        <f t="shared" si="869"/>
        <v>0</v>
      </c>
      <c r="BN183" s="72">
        <f t="shared" si="870"/>
        <v>0</v>
      </c>
      <c r="BO183" s="72">
        <f t="shared" si="871"/>
        <v>0</v>
      </c>
      <c r="BP183" s="72">
        <f t="shared" si="872"/>
        <v>0</v>
      </c>
      <c r="BQ183" s="72">
        <f t="shared" si="873"/>
        <v>0</v>
      </c>
      <c r="BR183" s="72">
        <f t="shared" si="874"/>
        <v>0</v>
      </c>
      <c r="BS183" s="72">
        <f t="shared" si="875"/>
        <v>0</v>
      </c>
      <c r="BT183" s="72">
        <f t="shared" si="876"/>
        <v>0</v>
      </c>
      <c r="BU183" s="72">
        <f t="shared" si="877"/>
        <v>0</v>
      </c>
      <c r="BW183">
        <f t="shared" si="878"/>
        <v>0</v>
      </c>
      <c r="BX183">
        <f t="shared" si="879"/>
        <v>0</v>
      </c>
      <c r="BY183">
        <f t="shared" si="880"/>
        <v>0</v>
      </c>
      <c r="BZ183">
        <f t="shared" si="881"/>
        <v>0</v>
      </c>
      <c r="CA183">
        <f t="shared" si="882"/>
        <v>0</v>
      </c>
      <c r="CB183">
        <f t="shared" si="883"/>
        <v>0</v>
      </c>
      <c r="CD183">
        <f t="shared" si="884"/>
        <v>0</v>
      </c>
      <c r="CE183">
        <f t="shared" si="885"/>
        <v>0</v>
      </c>
      <c r="CF183">
        <f t="shared" si="886"/>
        <v>0</v>
      </c>
      <c r="CG183">
        <f t="shared" si="887"/>
        <v>0</v>
      </c>
      <c r="CH183">
        <f t="shared" si="888"/>
        <v>0</v>
      </c>
      <c r="CI183">
        <f t="shared" si="889"/>
        <v>0</v>
      </c>
      <c r="CK183">
        <f t="shared" si="890"/>
        <v>0</v>
      </c>
      <c r="CL183">
        <f t="shared" si="891"/>
        <v>0</v>
      </c>
      <c r="CM183">
        <f t="shared" si="892"/>
        <v>0</v>
      </c>
      <c r="CN183">
        <f t="shared" si="893"/>
        <v>0</v>
      </c>
      <c r="CO183">
        <f t="shared" si="894"/>
        <v>0</v>
      </c>
      <c r="CP183">
        <f t="shared" si="895"/>
        <v>0</v>
      </c>
      <c r="CR183">
        <f t="shared" si="896"/>
        <v>0</v>
      </c>
      <c r="CS183">
        <f t="shared" si="897"/>
        <v>0</v>
      </c>
      <c r="CT183">
        <f t="shared" si="898"/>
        <v>0</v>
      </c>
      <c r="CU183">
        <f t="shared" si="899"/>
        <v>0</v>
      </c>
      <c r="CV183">
        <f t="shared" si="900"/>
        <v>0</v>
      </c>
      <c r="CW183">
        <f t="shared" si="901"/>
        <v>0</v>
      </c>
      <c r="CY183">
        <f t="shared" si="902"/>
        <v>0</v>
      </c>
      <c r="CZ183">
        <f t="shared" si="903"/>
        <v>0</v>
      </c>
      <c r="DA183">
        <f t="shared" si="904"/>
        <v>0</v>
      </c>
      <c r="DB183">
        <f t="shared" si="905"/>
        <v>0</v>
      </c>
      <c r="DC183">
        <f t="shared" si="906"/>
        <v>0</v>
      </c>
      <c r="DD183">
        <f t="shared" si="907"/>
        <v>0</v>
      </c>
      <c r="DF183" s="79">
        <f t="shared" si="908"/>
        <v>0</v>
      </c>
      <c r="DG183" s="79">
        <f t="shared" si="909"/>
        <v>0</v>
      </c>
      <c r="DH183">
        <f t="shared" si="910"/>
        <v>0</v>
      </c>
      <c r="DI183">
        <f t="shared" si="911"/>
        <v>1</v>
      </c>
      <c r="DK183" s="79">
        <f t="shared" si="912"/>
        <v>0</v>
      </c>
      <c r="DL183" s="79">
        <f t="shared" si="913"/>
        <v>0</v>
      </c>
      <c r="DM183">
        <f t="shared" si="914"/>
        <v>1</v>
      </c>
      <c r="DN183">
        <f t="shared" si="915"/>
        <v>0</v>
      </c>
      <c r="DP183" s="79">
        <f t="shared" si="916"/>
        <v>0</v>
      </c>
      <c r="DQ183" s="79">
        <f t="shared" si="917"/>
        <v>0</v>
      </c>
      <c r="DR183">
        <f t="shared" si="918"/>
        <v>0</v>
      </c>
      <c r="DS183">
        <f t="shared" si="919"/>
        <v>1</v>
      </c>
      <c r="DU183" s="79">
        <f t="shared" si="920"/>
        <v>0</v>
      </c>
      <c r="DV183" s="79">
        <f t="shared" si="921"/>
        <v>0</v>
      </c>
      <c r="DW183">
        <f t="shared" si="922"/>
        <v>0</v>
      </c>
      <c r="DX183">
        <f t="shared" si="923"/>
        <v>1</v>
      </c>
      <c r="DZ183" s="79">
        <f t="shared" si="924"/>
        <v>0</v>
      </c>
      <c r="EA183" s="79">
        <f t="shared" si="925"/>
        <v>0</v>
      </c>
      <c r="EB183">
        <f t="shared" si="926"/>
        <v>0</v>
      </c>
      <c r="EC183">
        <f t="shared" si="927"/>
        <v>1</v>
      </c>
    </row>
    <row r="184" spans="1:133">
      <c r="A184" s="164"/>
      <c r="B184" s="164"/>
      <c r="C184" s="164"/>
      <c r="D184" s="164"/>
      <c r="E184" s="164"/>
      <c r="F184" s="163"/>
      <c r="G184" s="164"/>
      <c r="H184" s="164"/>
      <c r="I184" s="164"/>
      <c r="J184" s="164"/>
      <c r="AH184" s="72">
        <f t="shared" si="838"/>
        <v>0</v>
      </c>
      <c r="AI184" s="72">
        <f t="shared" si="839"/>
        <v>0</v>
      </c>
      <c r="AJ184" s="72">
        <f t="shared" si="840"/>
        <v>0</v>
      </c>
      <c r="AK184" s="72">
        <f t="shared" si="841"/>
        <v>0</v>
      </c>
      <c r="AL184" s="72">
        <f t="shared" si="842"/>
        <v>0</v>
      </c>
      <c r="AM184" s="72">
        <f t="shared" si="843"/>
        <v>0</v>
      </c>
      <c r="AN184" s="72">
        <f t="shared" si="844"/>
        <v>0</v>
      </c>
      <c r="AO184" s="72">
        <f t="shared" si="845"/>
        <v>0</v>
      </c>
      <c r="AP184" s="72">
        <f t="shared" si="846"/>
        <v>0</v>
      </c>
      <c r="AQ184" s="72">
        <f t="shared" si="847"/>
        <v>0</v>
      </c>
      <c r="AR184" s="72">
        <f t="shared" si="848"/>
        <v>0</v>
      </c>
      <c r="AS184" s="72">
        <f t="shared" si="849"/>
        <v>0</v>
      </c>
      <c r="AT184" s="72">
        <f t="shared" si="850"/>
        <v>0</v>
      </c>
      <c r="AU184" s="72">
        <f t="shared" si="851"/>
        <v>0</v>
      </c>
      <c r="AV184" s="72">
        <f t="shared" si="852"/>
        <v>0</v>
      </c>
      <c r="AW184" s="72">
        <f t="shared" si="853"/>
        <v>0</v>
      </c>
      <c r="AX184" s="72">
        <f t="shared" si="854"/>
        <v>0</v>
      </c>
      <c r="AY184" s="72">
        <f t="shared" si="855"/>
        <v>0</v>
      </c>
      <c r="AZ184" s="72">
        <f t="shared" si="856"/>
        <v>0</v>
      </c>
      <c r="BA184" s="72">
        <f t="shared" si="857"/>
        <v>0</v>
      </c>
      <c r="BB184" s="72">
        <f t="shared" si="858"/>
        <v>0</v>
      </c>
      <c r="BC184" s="72">
        <f t="shared" si="859"/>
        <v>0</v>
      </c>
      <c r="BD184" s="72">
        <f t="shared" si="860"/>
        <v>0</v>
      </c>
      <c r="BE184" s="72">
        <f t="shared" si="861"/>
        <v>0</v>
      </c>
      <c r="BF184" s="72">
        <f t="shared" si="862"/>
        <v>0</v>
      </c>
      <c r="BG184" s="72">
        <f t="shared" si="863"/>
        <v>0</v>
      </c>
      <c r="BH184" s="72">
        <f t="shared" si="864"/>
        <v>0</v>
      </c>
      <c r="BI184" s="72">
        <f t="shared" si="865"/>
        <v>0</v>
      </c>
      <c r="BJ184" s="72">
        <f t="shared" si="866"/>
        <v>0</v>
      </c>
      <c r="BK184" s="72">
        <f t="shared" si="867"/>
        <v>0</v>
      </c>
      <c r="BL184" s="72">
        <f t="shared" si="868"/>
        <v>0</v>
      </c>
      <c r="BM184" s="72">
        <f t="shared" si="869"/>
        <v>0</v>
      </c>
      <c r="BN184" s="72">
        <f t="shared" si="870"/>
        <v>0</v>
      </c>
      <c r="BO184" s="72">
        <f t="shared" si="871"/>
        <v>0</v>
      </c>
      <c r="BP184" s="72">
        <f t="shared" si="872"/>
        <v>0</v>
      </c>
      <c r="BQ184" s="72">
        <f t="shared" si="873"/>
        <v>0</v>
      </c>
      <c r="BR184" s="72">
        <f t="shared" si="874"/>
        <v>0</v>
      </c>
      <c r="BS184" s="72">
        <f t="shared" si="875"/>
        <v>0</v>
      </c>
      <c r="BT184" s="72">
        <f t="shared" si="876"/>
        <v>0</v>
      </c>
      <c r="BU184" s="72">
        <f t="shared" si="877"/>
        <v>0</v>
      </c>
      <c r="BW184">
        <f t="shared" si="878"/>
        <v>0</v>
      </c>
      <c r="BX184">
        <f t="shared" si="879"/>
        <v>0</v>
      </c>
      <c r="BY184">
        <f t="shared" si="880"/>
        <v>0</v>
      </c>
      <c r="BZ184">
        <f t="shared" si="881"/>
        <v>0</v>
      </c>
      <c r="CA184">
        <f t="shared" si="882"/>
        <v>0</v>
      </c>
      <c r="CB184">
        <f t="shared" si="883"/>
        <v>0</v>
      </c>
      <c r="CD184">
        <f t="shared" si="884"/>
        <v>0</v>
      </c>
      <c r="CE184">
        <f t="shared" si="885"/>
        <v>0</v>
      </c>
      <c r="CF184">
        <f t="shared" si="886"/>
        <v>0</v>
      </c>
      <c r="CG184">
        <f t="shared" si="887"/>
        <v>0</v>
      </c>
      <c r="CH184">
        <f t="shared" si="888"/>
        <v>0</v>
      </c>
      <c r="CI184">
        <f t="shared" si="889"/>
        <v>0</v>
      </c>
      <c r="CK184">
        <f t="shared" si="890"/>
        <v>0</v>
      </c>
      <c r="CL184">
        <f t="shared" si="891"/>
        <v>0</v>
      </c>
      <c r="CM184">
        <f t="shared" si="892"/>
        <v>0</v>
      </c>
      <c r="CN184">
        <f t="shared" si="893"/>
        <v>0</v>
      </c>
      <c r="CO184">
        <f t="shared" si="894"/>
        <v>0</v>
      </c>
      <c r="CP184">
        <f t="shared" si="895"/>
        <v>0</v>
      </c>
      <c r="CR184">
        <f t="shared" si="896"/>
        <v>0</v>
      </c>
      <c r="CS184">
        <f t="shared" si="897"/>
        <v>0</v>
      </c>
      <c r="CT184">
        <f t="shared" si="898"/>
        <v>0</v>
      </c>
      <c r="CU184">
        <f t="shared" si="899"/>
        <v>0</v>
      </c>
      <c r="CV184">
        <f t="shared" si="900"/>
        <v>0</v>
      </c>
      <c r="CW184">
        <f t="shared" si="901"/>
        <v>0</v>
      </c>
      <c r="CY184">
        <f t="shared" si="902"/>
        <v>0</v>
      </c>
      <c r="CZ184">
        <f t="shared" si="903"/>
        <v>0</v>
      </c>
      <c r="DA184">
        <f t="shared" si="904"/>
        <v>0</v>
      </c>
      <c r="DB184">
        <f t="shared" si="905"/>
        <v>0</v>
      </c>
      <c r="DC184">
        <f t="shared" si="906"/>
        <v>0</v>
      </c>
      <c r="DD184">
        <f t="shared" si="907"/>
        <v>0</v>
      </c>
      <c r="DF184" s="79">
        <f t="shared" si="908"/>
        <v>0</v>
      </c>
      <c r="DG184" s="79">
        <f t="shared" si="909"/>
        <v>0</v>
      </c>
      <c r="DH184">
        <f t="shared" si="910"/>
        <v>0</v>
      </c>
      <c r="DI184">
        <f t="shared" si="911"/>
        <v>1</v>
      </c>
      <c r="DK184" s="79">
        <f t="shared" si="912"/>
        <v>0</v>
      </c>
      <c r="DL184" s="79">
        <f t="shared" si="913"/>
        <v>0</v>
      </c>
      <c r="DM184">
        <f t="shared" si="914"/>
        <v>1</v>
      </c>
      <c r="DN184">
        <f t="shared" si="915"/>
        <v>0</v>
      </c>
      <c r="DP184" s="79">
        <f t="shared" si="916"/>
        <v>0</v>
      </c>
      <c r="DQ184" s="79">
        <f t="shared" si="917"/>
        <v>0</v>
      </c>
      <c r="DR184">
        <f t="shared" si="918"/>
        <v>0</v>
      </c>
      <c r="DS184">
        <f t="shared" si="919"/>
        <v>1</v>
      </c>
      <c r="DU184" s="79">
        <f t="shared" si="920"/>
        <v>0</v>
      </c>
      <c r="DV184" s="79">
        <f t="shared" si="921"/>
        <v>0</v>
      </c>
      <c r="DW184">
        <f t="shared" si="922"/>
        <v>0</v>
      </c>
      <c r="DX184">
        <f t="shared" si="923"/>
        <v>1</v>
      </c>
      <c r="DZ184" s="79">
        <f t="shared" si="924"/>
        <v>0</v>
      </c>
      <c r="EA184" s="79">
        <f t="shared" si="925"/>
        <v>0</v>
      </c>
      <c r="EB184">
        <f t="shared" si="926"/>
        <v>0</v>
      </c>
      <c r="EC184">
        <f t="shared" si="927"/>
        <v>1</v>
      </c>
    </row>
    <row r="185" spans="1:133">
      <c r="A185" s="164"/>
      <c r="B185" s="164"/>
      <c r="C185" s="164"/>
      <c r="D185" s="164"/>
      <c r="E185" s="164"/>
      <c r="F185" s="163"/>
      <c r="G185" s="164"/>
      <c r="H185" s="164"/>
      <c r="I185" s="164"/>
      <c r="J185" s="164"/>
      <c r="AH185" s="72">
        <f t="shared" si="838"/>
        <v>0</v>
      </c>
      <c r="AI185" s="72">
        <f t="shared" si="839"/>
        <v>0</v>
      </c>
      <c r="AJ185" s="72">
        <f t="shared" si="840"/>
        <v>0</v>
      </c>
      <c r="AK185" s="72">
        <f t="shared" si="841"/>
        <v>0</v>
      </c>
      <c r="AL185" s="72">
        <f t="shared" si="842"/>
        <v>0</v>
      </c>
      <c r="AM185" s="72">
        <f t="shared" si="843"/>
        <v>0</v>
      </c>
      <c r="AN185" s="72">
        <f t="shared" si="844"/>
        <v>0</v>
      </c>
      <c r="AO185" s="72">
        <f t="shared" si="845"/>
        <v>0</v>
      </c>
      <c r="AP185" s="72">
        <f t="shared" si="846"/>
        <v>0</v>
      </c>
      <c r="AQ185" s="72">
        <f t="shared" si="847"/>
        <v>0</v>
      </c>
      <c r="AR185" s="72">
        <f t="shared" si="848"/>
        <v>0</v>
      </c>
      <c r="AS185" s="72">
        <f t="shared" si="849"/>
        <v>0</v>
      </c>
      <c r="AT185" s="72">
        <f t="shared" si="850"/>
        <v>0</v>
      </c>
      <c r="AU185" s="72">
        <f t="shared" si="851"/>
        <v>0</v>
      </c>
      <c r="AV185" s="72">
        <f t="shared" si="852"/>
        <v>0</v>
      </c>
      <c r="AW185" s="72">
        <f t="shared" si="853"/>
        <v>0</v>
      </c>
      <c r="AX185" s="72">
        <f t="shared" si="854"/>
        <v>0</v>
      </c>
      <c r="AY185" s="72">
        <f t="shared" si="855"/>
        <v>0</v>
      </c>
      <c r="AZ185" s="72">
        <f t="shared" si="856"/>
        <v>0</v>
      </c>
      <c r="BA185" s="72">
        <f t="shared" si="857"/>
        <v>0</v>
      </c>
      <c r="BB185" s="72">
        <f t="shared" si="858"/>
        <v>0</v>
      </c>
      <c r="BC185" s="72">
        <f t="shared" si="859"/>
        <v>0</v>
      </c>
      <c r="BD185" s="72">
        <f t="shared" si="860"/>
        <v>0</v>
      </c>
      <c r="BE185" s="72">
        <f t="shared" si="861"/>
        <v>0</v>
      </c>
      <c r="BF185" s="72">
        <f t="shared" si="862"/>
        <v>0</v>
      </c>
      <c r="BG185" s="72">
        <f t="shared" si="863"/>
        <v>0</v>
      </c>
      <c r="BH185" s="72">
        <f t="shared" si="864"/>
        <v>0</v>
      </c>
      <c r="BI185" s="72">
        <f t="shared" si="865"/>
        <v>0</v>
      </c>
      <c r="BJ185" s="72">
        <f t="shared" si="866"/>
        <v>0</v>
      </c>
      <c r="BK185" s="72">
        <f t="shared" si="867"/>
        <v>0</v>
      </c>
      <c r="BL185" s="72">
        <f t="shared" si="868"/>
        <v>0</v>
      </c>
      <c r="BM185" s="72">
        <f t="shared" si="869"/>
        <v>0</v>
      </c>
      <c r="BN185" s="72">
        <f t="shared" si="870"/>
        <v>0</v>
      </c>
      <c r="BO185" s="72">
        <f t="shared" si="871"/>
        <v>0</v>
      </c>
      <c r="BP185" s="72">
        <f t="shared" si="872"/>
        <v>0</v>
      </c>
      <c r="BQ185" s="72">
        <f t="shared" si="873"/>
        <v>0</v>
      </c>
      <c r="BR185" s="72">
        <f t="shared" si="874"/>
        <v>0</v>
      </c>
      <c r="BS185" s="72">
        <f t="shared" si="875"/>
        <v>0</v>
      </c>
      <c r="BT185" s="72">
        <f t="shared" si="876"/>
        <v>0</v>
      </c>
      <c r="BU185" s="72">
        <f t="shared" si="877"/>
        <v>0</v>
      </c>
      <c r="BW185">
        <f t="shared" si="878"/>
        <v>0</v>
      </c>
      <c r="BX185">
        <f t="shared" si="879"/>
        <v>0</v>
      </c>
      <c r="BY185">
        <f t="shared" si="880"/>
        <v>0</v>
      </c>
      <c r="BZ185">
        <f t="shared" si="881"/>
        <v>0</v>
      </c>
      <c r="CA185">
        <f t="shared" si="882"/>
        <v>0</v>
      </c>
      <c r="CB185">
        <f t="shared" si="883"/>
        <v>0</v>
      </c>
      <c r="CD185">
        <f t="shared" si="884"/>
        <v>0</v>
      </c>
      <c r="CE185">
        <f t="shared" si="885"/>
        <v>0</v>
      </c>
      <c r="CF185">
        <f t="shared" si="886"/>
        <v>0</v>
      </c>
      <c r="CG185">
        <f t="shared" si="887"/>
        <v>0</v>
      </c>
      <c r="CH185">
        <f t="shared" si="888"/>
        <v>0</v>
      </c>
      <c r="CI185">
        <f t="shared" si="889"/>
        <v>0</v>
      </c>
      <c r="CK185">
        <f t="shared" si="890"/>
        <v>0</v>
      </c>
      <c r="CL185">
        <f t="shared" si="891"/>
        <v>0</v>
      </c>
      <c r="CM185">
        <f t="shared" si="892"/>
        <v>0</v>
      </c>
      <c r="CN185">
        <f t="shared" si="893"/>
        <v>0</v>
      </c>
      <c r="CO185">
        <f t="shared" si="894"/>
        <v>0</v>
      </c>
      <c r="CP185">
        <f t="shared" si="895"/>
        <v>0</v>
      </c>
      <c r="CR185">
        <f t="shared" si="896"/>
        <v>0</v>
      </c>
      <c r="CS185">
        <f t="shared" si="897"/>
        <v>0</v>
      </c>
      <c r="CT185">
        <f t="shared" si="898"/>
        <v>0</v>
      </c>
      <c r="CU185">
        <f t="shared" si="899"/>
        <v>0</v>
      </c>
      <c r="CV185">
        <f t="shared" si="900"/>
        <v>0</v>
      </c>
      <c r="CW185">
        <f t="shared" si="901"/>
        <v>0</v>
      </c>
      <c r="CY185">
        <f t="shared" si="902"/>
        <v>0</v>
      </c>
      <c r="CZ185">
        <f t="shared" si="903"/>
        <v>0</v>
      </c>
      <c r="DA185">
        <f t="shared" si="904"/>
        <v>0</v>
      </c>
      <c r="DB185">
        <f t="shared" si="905"/>
        <v>0</v>
      </c>
      <c r="DC185">
        <f t="shared" si="906"/>
        <v>0</v>
      </c>
      <c r="DD185">
        <f t="shared" si="907"/>
        <v>0</v>
      </c>
      <c r="DF185" s="79">
        <f t="shared" si="908"/>
        <v>0</v>
      </c>
      <c r="DG185" s="79">
        <f t="shared" si="909"/>
        <v>0</v>
      </c>
      <c r="DH185">
        <f t="shared" si="910"/>
        <v>0</v>
      </c>
      <c r="DI185">
        <f t="shared" si="911"/>
        <v>1</v>
      </c>
      <c r="DK185" s="79">
        <f t="shared" si="912"/>
        <v>0</v>
      </c>
      <c r="DL185" s="79">
        <f t="shared" si="913"/>
        <v>0</v>
      </c>
      <c r="DM185">
        <f t="shared" si="914"/>
        <v>1</v>
      </c>
      <c r="DN185">
        <f t="shared" si="915"/>
        <v>0</v>
      </c>
      <c r="DP185" s="79">
        <f t="shared" si="916"/>
        <v>0</v>
      </c>
      <c r="DQ185" s="79">
        <f t="shared" si="917"/>
        <v>0</v>
      </c>
      <c r="DR185">
        <f t="shared" si="918"/>
        <v>0</v>
      </c>
      <c r="DS185">
        <f t="shared" si="919"/>
        <v>1</v>
      </c>
      <c r="DU185" s="79">
        <f t="shared" si="920"/>
        <v>0</v>
      </c>
      <c r="DV185" s="79">
        <f t="shared" si="921"/>
        <v>0</v>
      </c>
      <c r="DW185">
        <f t="shared" si="922"/>
        <v>0</v>
      </c>
      <c r="DX185">
        <f t="shared" si="923"/>
        <v>1</v>
      </c>
      <c r="DZ185" s="79">
        <f t="shared" si="924"/>
        <v>0</v>
      </c>
      <c r="EA185" s="79">
        <f t="shared" si="925"/>
        <v>0</v>
      </c>
      <c r="EB185">
        <f t="shared" si="926"/>
        <v>0</v>
      </c>
      <c r="EC185">
        <f t="shared" si="927"/>
        <v>1</v>
      </c>
    </row>
    <row r="186" spans="1:133">
      <c r="A186" s="164"/>
      <c r="B186" s="164"/>
      <c r="C186" s="164"/>
      <c r="D186" s="164"/>
      <c r="E186" s="164"/>
      <c r="F186" s="163"/>
      <c r="G186" s="164"/>
      <c r="H186" s="164"/>
      <c r="I186" s="164"/>
      <c r="J186" s="164"/>
      <c r="AH186" s="72">
        <f t="shared" si="838"/>
        <v>0</v>
      </c>
      <c r="AI186" s="72">
        <f t="shared" si="839"/>
        <v>0</v>
      </c>
      <c r="AJ186" s="72">
        <f t="shared" si="840"/>
        <v>0</v>
      </c>
      <c r="AK186" s="72">
        <f t="shared" si="841"/>
        <v>0</v>
      </c>
      <c r="AL186" s="72">
        <f t="shared" si="842"/>
        <v>0</v>
      </c>
      <c r="AM186" s="72">
        <f t="shared" si="843"/>
        <v>0</v>
      </c>
      <c r="AN186" s="72">
        <f t="shared" si="844"/>
        <v>0</v>
      </c>
      <c r="AO186" s="72">
        <f t="shared" si="845"/>
        <v>0</v>
      </c>
      <c r="AP186" s="72">
        <f t="shared" si="846"/>
        <v>0</v>
      </c>
      <c r="AQ186" s="72">
        <f t="shared" si="847"/>
        <v>0</v>
      </c>
      <c r="AR186" s="72">
        <f t="shared" si="848"/>
        <v>0</v>
      </c>
      <c r="AS186" s="72">
        <f t="shared" si="849"/>
        <v>0</v>
      </c>
      <c r="AT186" s="72">
        <f t="shared" si="850"/>
        <v>0</v>
      </c>
      <c r="AU186" s="72">
        <f t="shared" si="851"/>
        <v>0</v>
      </c>
      <c r="AV186" s="72">
        <f t="shared" si="852"/>
        <v>0</v>
      </c>
      <c r="AW186" s="72">
        <f t="shared" si="853"/>
        <v>0</v>
      </c>
      <c r="AX186" s="72">
        <f t="shared" si="854"/>
        <v>0</v>
      </c>
      <c r="AY186" s="72">
        <f t="shared" si="855"/>
        <v>0</v>
      </c>
      <c r="AZ186" s="72">
        <f t="shared" si="856"/>
        <v>0</v>
      </c>
      <c r="BA186" s="72">
        <f t="shared" si="857"/>
        <v>0</v>
      </c>
      <c r="BB186" s="72">
        <f t="shared" si="858"/>
        <v>0</v>
      </c>
      <c r="BC186" s="72">
        <f t="shared" si="859"/>
        <v>0</v>
      </c>
      <c r="BD186" s="72">
        <f t="shared" si="860"/>
        <v>0</v>
      </c>
      <c r="BE186" s="72">
        <f t="shared" si="861"/>
        <v>0</v>
      </c>
      <c r="BF186" s="72">
        <f t="shared" si="862"/>
        <v>0</v>
      </c>
      <c r="BG186" s="72">
        <f t="shared" si="863"/>
        <v>0</v>
      </c>
      <c r="BH186" s="72">
        <f t="shared" si="864"/>
        <v>0</v>
      </c>
      <c r="BI186" s="72">
        <f t="shared" si="865"/>
        <v>0</v>
      </c>
      <c r="BJ186" s="72">
        <f t="shared" si="866"/>
        <v>0</v>
      </c>
      <c r="BK186" s="72">
        <f t="shared" si="867"/>
        <v>0</v>
      </c>
      <c r="BL186" s="72">
        <f t="shared" si="868"/>
        <v>0</v>
      </c>
      <c r="BM186" s="72">
        <f t="shared" si="869"/>
        <v>0</v>
      </c>
      <c r="BN186" s="72">
        <f t="shared" si="870"/>
        <v>0</v>
      </c>
      <c r="BO186" s="72">
        <f t="shared" si="871"/>
        <v>0</v>
      </c>
      <c r="BP186" s="72">
        <f t="shared" si="872"/>
        <v>0</v>
      </c>
      <c r="BQ186" s="72">
        <f t="shared" si="873"/>
        <v>0</v>
      </c>
      <c r="BR186" s="72">
        <f t="shared" si="874"/>
        <v>0</v>
      </c>
      <c r="BS186" s="72">
        <f t="shared" si="875"/>
        <v>0</v>
      </c>
      <c r="BT186" s="72">
        <f t="shared" si="876"/>
        <v>0</v>
      </c>
      <c r="BU186" s="72">
        <f t="shared" si="877"/>
        <v>0</v>
      </c>
      <c r="BW186">
        <f t="shared" si="878"/>
        <v>0</v>
      </c>
      <c r="BX186">
        <f t="shared" si="879"/>
        <v>0</v>
      </c>
      <c r="BY186">
        <f t="shared" si="880"/>
        <v>0</v>
      </c>
      <c r="BZ186">
        <f t="shared" si="881"/>
        <v>0</v>
      </c>
      <c r="CA186">
        <f t="shared" si="882"/>
        <v>0</v>
      </c>
      <c r="CB186">
        <f t="shared" si="883"/>
        <v>0</v>
      </c>
      <c r="CD186">
        <f t="shared" si="884"/>
        <v>0</v>
      </c>
      <c r="CE186">
        <f t="shared" si="885"/>
        <v>0</v>
      </c>
      <c r="CF186">
        <f t="shared" si="886"/>
        <v>0</v>
      </c>
      <c r="CG186">
        <f t="shared" si="887"/>
        <v>0</v>
      </c>
      <c r="CH186">
        <f t="shared" si="888"/>
        <v>0</v>
      </c>
      <c r="CI186">
        <f t="shared" si="889"/>
        <v>0</v>
      </c>
      <c r="CK186">
        <f t="shared" si="890"/>
        <v>0</v>
      </c>
      <c r="CL186">
        <f t="shared" si="891"/>
        <v>0</v>
      </c>
      <c r="CM186">
        <f t="shared" si="892"/>
        <v>0</v>
      </c>
      <c r="CN186">
        <f t="shared" si="893"/>
        <v>0</v>
      </c>
      <c r="CO186">
        <f t="shared" si="894"/>
        <v>0</v>
      </c>
      <c r="CP186">
        <f t="shared" si="895"/>
        <v>0</v>
      </c>
      <c r="CR186">
        <f t="shared" si="896"/>
        <v>0</v>
      </c>
      <c r="CS186">
        <f t="shared" si="897"/>
        <v>0</v>
      </c>
      <c r="CT186">
        <f t="shared" si="898"/>
        <v>0</v>
      </c>
      <c r="CU186">
        <f t="shared" si="899"/>
        <v>0</v>
      </c>
      <c r="CV186">
        <f t="shared" si="900"/>
        <v>0</v>
      </c>
      <c r="CW186">
        <f t="shared" si="901"/>
        <v>0</v>
      </c>
      <c r="CY186">
        <f t="shared" si="902"/>
        <v>0</v>
      </c>
      <c r="CZ186">
        <f t="shared" si="903"/>
        <v>0</v>
      </c>
      <c r="DA186">
        <f t="shared" si="904"/>
        <v>0</v>
      </c>
      <c r="DB186">
        <f t="shared" si="905"/>
        <v>0</v>
      </c>
      <c r="DC186">
        <f t="shared" si="906"/>
        <v>0</v>
      </c>
      <c r="DD186">
        <f t="shared" si="907"/>
        <v>0</v>
      </c>
      <c r="DF186" s="79">
        <f t="shared" si="908"/>
        <v>0</v>
      </c>
      <c r="DG186" s="79">
        <f t="shared" si="909"/>
        <v>0</v>
      </c>
      <c r="DH186">
        <f t="shared" si="910"/>
        <v>0</v>
      </c>
      <c r="DI186">
        <f t="shared" si="911"/>
        <v>1</v>
      </c>
      <c r="DK186" s="79">
        <f t="shared" si="912"/>
        <v>0</v>
      </c>
      <c r="DL186" s="79">
        <f t="shared" si="913"/>
        <v>0</v>
      </c>
      <c r="DM186">
        <f t="shared" si="914"/>
        <v>1</v>
      </c>
      <c r="DN186">
        <f t="shared" si="915"/>
        <v>0</v>
      </c>
      <c r="DP186" s="79">
        <f t="shared" si="916"/>
        <v>0</v>
      </c>
      <c r="DQ186" s="79">
        <f t="shared" si="917"/>
        <v>0</v>
      </c>
      <c r="DR186">
        <f t="shared" si="918"/>
        <v>0</v>
      </c>
      <c r="DS186">
        <f t="shared" si="919"/>
        <v>1</v>
      </c>
      <c r="DU186" s="79">
        <f t="shared" si="920"/>
        <v>0</v>
      </c>
      <c r="DV186" s="79">
        <f t="shared" si="921"/>
        <v>0</v>
      </c>
      <c r="DW186">
        <f t="shared" si="922"/>
        <v>0</v>
      </c>
      <c r="DX186">
        <f t="shared" si="923"/>
        <v>1</v>
      </c>
      <c r="DZ186" s="79">
        <f t="shared" si="924"/>
        <v>0</v>
      </c>
      <c r="EA186" s="79">
        <f t="shared" si="925"/>
        <v>0</v>
      </c>
      <c r="EB186">
        <f t="shared" si="926"/>
        <v>0</v>
      </c>
      <c r="EC186">
        <f t="shared" si="927"/>
        <v>1</v>
      </c>
    </row>
    <row r="187" spans="1:133">
      <c r="A187" s="164"/>
      <c r="B187" s="164"/>
      <c r="C187" s="164"/>
      <c r="D187" s="164"/>
      <c r="E187" s="164"/>
      <c r="F187" s="163"/>
      <c r="G187" s="164"/>
      <c r="H187" s="164"/>
      <c r="I187" s="164"/>
      <c r="J187" s="164"/>
      <c r="AH187" s="72">
        <f t="shared" si="838"/>
        <v>0</v>
      </c>
      <c r="AI187" s="72">
        <f t="shared" si="839"/>
        <v>0</v>
      </c>
      <c r="AJ187" s="72">
        <f t="shared" si="840"/>
        <v>0</v>
      </c>
      <c r="AK187" s="72">
        <f t="shared" si="841"/>
        <v>0</v>
      </c>
      <c r="AL187" s="72">
        <f t="shared" si="842"/>
        <v>0</v>
      </c>
      <c r="AM187" s="72">
        <f t="shared" si="843"/>
        <v>0</v>
      </c>
      <c r="AN187" s="72">
        <f t="shared" si="844"/>
        <v>0</v>
      </c>
      <c r="AO187" s="72">
        <f t="shared" si="845"/>
        <v>0</v>
      </c>
      <c r="AP187" s="72">
        <f t="shared" si="846"/>
        <v>0</v>
      </c>
      <c r="AQ187" s="72">
        <f t="shared" si="847"/>
        <v>0</v>
      </c>
      <c r="AR187" s="72">
        <f t="shared" si="848"/>
        <v>0</v>
      </c>
      <c r="AS187" s="72">
        <f t="shared" si="849"/>
        <v>0</v>
      </c>
      <c r="AT187" s="72">
        <f t="shared" si="850"/>
        <v>0</v>
      </c>
      <c r="AU187" s="72">
        <f t="shared" si="851"/>
        <v>0</v>
      </c>
      <c r="AV187" s="72">
        <f t="shared" si="852"/>
        <v>0</v>
      </c>
      <c r="AW187" s="72">
        <f t="shared" si="853"/>
        <v>0</v>
      </c>
      <c r="AX187" s="72">
        <f t="shared" si="854"/>
        <v>0</v>
      </c>
      <c r="AY187" s="72">
        <f t="shared" si="855"/>
        <v>0</v>
      </c>
      <c r="AZ187" s="72">
        <f t="shared" si="856"/>
        <v>0</v>
      </c>
      <c r="BA187" s="72">
        <f t="shared" si="857"/>
        <v>0</v>
      </c>
      <c r="BB187" s="72">
        <f t="shared" si="858"/>
        <v>0</v>
      </c>
      <c r="BC187" s="72">
        <f t="shared" si="859"/>
        <v>0</v>
      </c>
      <c r="BD187" s="72">
        <f t="shared" si="860"/>
        <v>0</v>
      </c>
      <c r="BE187" s="72">
        <f t="shared" si="861"/>
        <v>0</v>
      </c>
      <c r="BF187" s="72">
        <f t="shared" si="862"/>
        <v>0</v>
      </c>
      <c r="BG187" s="72">
        <f t="shared" si="863"/>
        <v>0</v>
      </c>
      <c r="BH187" s="72">
        <f t="shared" si="864"/>
        <v>0</v>
      </c>
      <c r="BI187" s="72">
        <f t="shared" si="865"/>
        <v>0</v>
      </c>
      <c r="BJ187" s="72">
        <f t="shared" si="866"/>
        <v>0</v>
      </c>
      <c r="BK187" s="72">
        <f t="shared" si="867"/>
        <v>0</v>
      </c>
      <c r="BL187" s="72">
        <f t="shared" si="868"/>
        <v>0</v>
      </c>
      <c r="BM187" s="72">
        <f t="shared" si="869"/>
        <v>0</v>
      </c>
      <c r="BN187" s="72">
        <f t="shared" si="870"/>
        <v>0</v>
      </c>
      <c r="BO187" s="72">
        <f t="shared" si="871"/>
        <v>0</v>
      </c>
      <c r="BP187" s="72">
        <f t="shared" si="872"/>
        <v>0</v>
      </c>
      <c r="BQ187" s="72">
        <f t="shared" si="873"/>
        <v>0</v>
      </c>
      <c r="BR187" s="72">
        <f t="shared" si="874"/>
        <v>0</v>
      </c>
      <c r="BS187" s="72">
        <f t="shared" si="875"/>
        <v>0</v>
      </c>
      <c r="BT187" s="72">
        <f t="shared" si="876"/>
        <v>0</v>
      </c>
      <c r="BU187" s="72">
        <f t="shared" si="877"/>
        <v>0</v>
      </c>
      <c r="BW187">
        <f t="shared" si="878"/>
        <v>0</v>
      </c>
      <c r="BX187">
        <f t="shared" si="879"/>
        <v>0</v>
      </c>
      <c r="BY187">
        <f t="shared" si="880"/>
        <v>0</v>
      </c>
      <c r="BZ187">
        <f t="shared" si="881"/>
        <v>0</v>
      </c>
      <c r="CA187">
        <f t="shared" si="882"/>
        <v>0</v>
      </c>
      <c r="CB187">
        <f t="shared" si="883"/>
        <v>0</v>
      </c>
      <c r="CD187">
        <f t="shared" si="884"/>
        <v>0</v>
      </c>
      <c r="CE187">
        <f t="shared" si="885"/>
        <v>0</v>
      </c>
      <c r="CF187">
        <f t="shared" si="886"/>
        <v>0</v>
      </c>
      <c r="CG187">
        <f t="shared" si="887"/>
        <v>0</v>
      </c>
      <c r="CH187">
        <f t="shared" si="888"/>
        <v>0</v>
      </c>
      <c r="CI187">
        <f t="shared" si="889"/>
        <v>0</v>
      </c>
      <c r="CK187">
        <f t="shared" si="890"/>
        <v>0</v>
      </c>
      <c r="CL187">
        <f t="shared" si="891"/>
        <v>0</v>
      </c>
      <c r="CM187">
        <f t="shared" si="892"/>
        <v>0</v>
      </c>
      <c r="CN187">
        <f t="shared" si="893"/>
        <v>0</v>
      </c>
      <c r="CO187">
        <f t="shared" si="894"/>
        <v>0</v>
      </c>
      <c r="CP187">
        <f t="shared" si="895"/>
        <v>0</v>
      </c>
      <c r="CR187">
        <f t="shared" si="896"/>
        <v>0</v>
      </c>
      <c r="CS187">
        <f t="shared" si="897"/>
        <v>0</v>
      </c>
      <c r="CT187">
        <f t="shared" si="898"/>
        <v>0</v>
      </c>
      <c r="CU187">
        <f t="shared" si="899"/>
        <v>0</v>
      </c>
      <c r="CV187">
        <f t="shared" si="900"/>
        <v>0</v>
      </c>
      <c r="CW187">
        <f t="shared" si="901"/>
        <v>0</v>
      </c>
      <c r="CY187">
        <f t="shared" si="902"/>
        <v>0</v>
      </c>
      <c r="CZ187">
        <f t="shared" si="903"/>
        <v>0</v>
      </c>
      <c r="DA187">
        <f t="shared" si="904"/>
        <v>0</v>
      </c>
      <c r="DB187">
        <f t="shared" si="905"/>
        <v>0</v>
      </c>
      <c r="DC187">
        <f t="shared" si="906"/>
        <v>0</v>
      </c>
      <c r="DD187">
        <f t="shared" si="907"/>
        <v>0</v>
      </c>
      <c r="DF187" s="79">
        <f t="shared" si="908"/>
        <v>0</v>
      </c>
      <c r="DG187" s="79">
        <f t="shared" si="909"/>
        <v>0</v>
      </c>
      <c r="DH187">
        <f t="shared" si="910"/>
        <v>0</v>
      </c>
      <c r="DI187">
        <f t="shared" si="911"/>
        <v>1</v>
      </c>
      <c r="DK187" s="79">
        <f t="shared" si="912"/>
        <v>0</v>
      </c>
      <c r="DL187" s="79">
        <f t="shared" si="913"/>
        <v>0</v>
      </c>
      <c r="DM187">
        <f t="shared" si="914"/>
        <v>1</v>
      </c>
      <c r="DN187">
        <f t="shared" si="915"/>
        <v>0</v>
      </c>
      <c r="DP187" s="79">
        <f t="shared" si="916"/>
        <v>0</v>
      </c>
      <c r="DQ187" s="79">
        <f t="shared" si="917"/>
        <v>0</v>
      </c>
      <c r="DR187">
        <f t="shared" si="918"/>
        <v>0</v>
      </c>
      <c r="DS187">
        <f t="shared" si="919"/>
        <v>1</v>
      </c>
      <c r="DU187" s="79">
        <f t="shared" si="920"/>
        <v>0</v>
      </c>
      <c r="DV187" s="79">
        <f t="shared" si="921"/>
        <v>0</v>
      </c>
      <c r="DW187">
        <f t="shared" si="922"/>
        <v>0</v>
      </c>
      <c r="DX187">
        <f t="shared" si="923"/>
        <v>1</v>
      </c>
      <c r="DZ187" s="79">
        <f t="shared" si="924"/>
        <v>0</v>
      </c>
      <c r="EA187" s="79">
        <f t="shared" si="925"/>
        <v>0</v>
      </c>
      <c r="EB187">
        <f t="shared" si="926"/>
        <v>0</v>
      </c>
      <c r="EC187">
        <f t="shared" si="927"/>
        <v>1</v>
      </c>
    </row>
    <row r="188" spans="1:133">
      <c r="A188" s="164"/>
      <c r="B188" s="164"/>
      <c r="C188" s="164"/>
      <c r="D188" s="164"/>
      <c r="E188" s="164"/>
      <c r="F188" s="163"/>
      <c r="G188" s="164"/>
      <c r="H188" s="164"/>
      <c r="I188" s="164"/>
      <c r="J188" s="164"/>
      <c r="AH188" s="72">
        <f t="shared" si="838"/>
        <v>0</v>
      </c>
      <c r="AI188" s="72">
        <f t="shared" si="839"/>
        <v>0</v>
      </c>
      <c r="AJ188" s="72">
        <f t="shared" si="840"/>
        <v>0</v>
      </c>
      <c r="AK188" s="72">
        <f t="shared" si="841"/>
        <v>0</v>
      </c>
      <c r="AL188" s="72">
        <f t="shared" si="842"/>
        <v>0</v>
      </c>
      <c r="AM188" s="72">
        <f t="shared" si="843"/>
        <v>0</v>
      </c>
      <c r="AN188" s="72">
        <f t="shared" si="844"/>
        <v>0</v>
      </c>
      <c r="AO188" s="72">
        <f t="shared" si="845"/>
        <v>0</v>
      </c>
      <c r="AP188" s="72">
        <f t="shared" si="846"/>
        <v>0</v>
      </c>
      <c r="AQ188" s="72">
        <f t="shared" si="847"/>
        <v>0</v>
      </c>
      <c r="AR188" s="72">
        <f t="shared" si="848"/>
        <v>0</v>
      </c>
      <c r="AS188" s="72">
        <f t="shared" si="849"/>
        <v>0</v>
      </c>
      <c r="AT188" s="72">
        <f t="shared" si="850"/>
        <v>0</v>
      </c>
      <c r="AU188" s="72">
        <f t="shared" si="851"/>
        <v>0</v>
      </c>
      <c r="AV188" s="72">
        <f t="shared" si="852"/>
        <v>0</v>
      </c>
      <c r="AW188" s="72">
        <f t="shared" si="853"/>
        <v>0</v>
      </c>
      <c r="AX188" s="72">
        <f t="shared" si="854"/>
        <v>0</v>
      </c>
      <c r="AY188" s="72">
        <f t="shared" si="855"/>
        <v>0</v>
      </c>
      <c r="AZ188" s="72">
        <f t="shared" si="856"/>
        <v>0</v>
      </c>
      <c r="BA188" s="72">
        <f t="shared" si="857"/>
        <v>0</v>
      </c>
      <c r="BB188" s="72">
        <f t="shared" si="858"/>
        <v>0</v>
      </c>
      <c r="BC188" s="72">
        <f t="shared" si="859"/>
        <v>0</v>
      </c>
      <c r="BD188" s="72">
        <f t="shared" si="860"/>
        <v>0</v>
      </c>
      <c r="BE188" s="72">
        <f t="shared" si="861"/>
        <v>0</v>
      </c>
      <c r="BF188" s="72">
        <f t="shared" si="862"/>
        <v>0</v>
      </c>
      <c r="BG188" s="72">
        <f t="shared" si="863"/>
        <v>0</v>
      </c>
      <c r="BH188" s="72">
        <f t="shared" si="864"/>
        <v>0</v>
      </c>
      <c r="BI188" s="72">
        <f t="shared" si="865"/>
        <v>0</v>
      </c>
      <c r="BJ188" s="72">
        <f t="shared" si="866"/>
        <v>0</v>
      </c>
      <c r="BK188" s="72">
        <f t="shared" si="867"/>
        <v>0</v>
      </c>
      <c r="BL188" s="72">
        <f t="shared" si="868"/>
        <v>0</v>
      </c>
      <c r="BM188" s="72">
        <f t="shared" si="869"/>
        <v>0</v>
      </c>
      <c r="BN188" s="72">
        <f t="shared" si="870"/>
        <v>0</v>
      </c>
      <c r="BO188" s="72">
        <f t="shared" si="871"/>
        <v>0</v>
      </c>
      <c r="BP188" s="72">
        <f t="shared" si="872"/>
        <v>0</v>
      </c>
      <c r="BQ188" s="72">
        <f t="shared" si="873"/>
        <v>0</v>
      </c>
      <c r="BR188" s="72">
        <f t="shared" si="874"/>
        <v>0</v>
      </c>
      <c r="BS188" s="72">
        <f t="shared" si="875"/>
        <v>0</v>
      </c>
      <c r="BT188" s="72">
        <f t="shared" si="876"/>
        <v>0</v>
      </c>
      <c r="BU188" s="72">
        <f t="shared" si="877"/>
        <v>0</v>
      </c>
      <c r="BW188">
        <f t="shared" si="878"/>
        <v>0</v>
      </c>
      <c r="BX188">
        <f t="shared" si="879"/>
        <v>0</v>
      </c>
      <c r="BY188">
        <f t="shared" si="880"/>
        <v>0</v>
      </c>
      <c r="BZ188">
        <f t="shared" si="881"/>
        <v>0</v>
      </c>
      <c r="CA188">
        <f t="shared" si="882"/>
        <v>0</v>
      </c>
      <c r="CB188">
        <f t="shared" si="883"/>
        <v>0</v>
      </c>
      <c r="CD188">
        <f t="shared" si="884"/>
        <v>0</v>
      </c>
      <c r="CE188">
        <f t="shared" si="885"/>
        <v>0</v>
      </c>
      <c r="CF188">
        <f t="shared" si="886"/>
        <v>0</v>
      </c>
      <c r="CG188">
        <f t="shared" si="887"/>
        <v>0</v>
      </c>
      <c r="CH188">
        <f t="shared" si="888"/>
        <v>0</v>
      </c>
      <c r="CI188">
        <f t="shared" si="889"/>
        <v>0</v>
      </c>
      <c r="CK188">
        <f t="shared" si="890"/>
        <v>0</v>
      </c>
      <c r="CL188">
        <f t="shared" si="891"/>
        <v>0</v>
      </c>
      <c r="CM188">
        <f t="shared" si="892"/>
        <v>0</v>
      </c>
      <c r="CN188">
        <f t="shared" si="893"/>
        <v>0</v>
      </c>
      <c r="CO188">
        <f t="shared" si="894"/>
        <v>0</v>
      </c>
      <c r="CP188">
        <f t="shared" si="895"/>
        <v>0</v>
      </c>
      <c r="CR188">
        <f t="shared" si="896"/>
        <v>0</v>
      </c>
      <c r="CS188">
        <f t="shared" si="897"/>
        <v>0</v>
      </c>
      <c r="CT188">
        <f t="shared" si="898"/>
        <v>0</v>
      </c>
      <c r="CU188">
        <f t="shared" si="899"/>
        <v>0</v>
      </c>
      <c r="CV188">
        <f t="shared" si="900"/>
        <v>0</v>
      </c>
      <c r="CW188">
        <f t="shared" si="901"/>
        <v>0</v>
      </c>
      <c r="CY188">
        <f t="shared" si="902"/>
        <v>0</v>
      </c>
      <c r="CZ188">
        <f t="shared" si="903"/>
        <v>0</v>
      </c>
      <c r="DA188">
        <f t="shared" si="904"/>
        <v>0</v>
      </c>
      <c r="DB188">
        <f t="shared" si="905"/>
        <v>0</v>
      </c>
      <c r="DC188">
        <f t="shared" si="906"/>
        <v>0</v>
      </c>
      <c r="DD188">
        <f t="shared" si="907"/>
        <v>0</v>
      </c>
      <c r="DF188" s="79">
        <f t="shared" si="908"/>
        <v>0</v>
      </c>
      <c r="DG188" s="79">
        <f t="shared" si="909"/>
        <v>0</v>
      </c>
      <c r="DH188">
        <f t="shared" si="910"/>
        <v>0</v>
      </c>
      <c r="DI188">
        <f t="shared" si="911"/>
        <v>1</v>
      </c>
      <c r="DK188" s="79">
        <f t="shared" si="912"/>
        <v>0</v>
      </c>
      <c r="DL188" s="79">
        <f t="shared" si="913"/>
        <v>0</v>
      </c>
      <c r="DM188">
        <f t="shared" si="914"/>
        <v>1</v>
      </c>
      <c r="DN188">
        <f t="shared" si="915"/>
        <v>0</v>
      </c>
      <c r="DP188" s="79">
        <f t="shared" si="916"/>
        <v>0</v>
      </c>
      <c r="DQ188" s="79">
        <f t="shared" si="917"/>
        <v>0</v>
      </c>
      <c r="DR188">
        <f t="shared" si="918"/>
        <v>0</v>
      </c>
      <c r="DS188">
        <f t="shared" si="919"/>
        <v>1</v>
      </c>
      <c r="DU188" s="79">
        <f t="shared" si="920"/>
        <v>0</v>
      </c>
      <c r="DV188" s="79">
        <f t="shared" si="921"/>
        <v>0</v>
      </c>
      <c r="DW188">
        <f t="shared" si="922"/>
        <v>0</v>
      </c>
      <c r="DX188">
        <f t="shared" si="923"/>
        <v>1</v>
      </c>
      <c r="DZ188" s="79">
        <f t="shared" si="924"/>
        <v>0</v>
      </c>
      <c r="EA188" s="79">
        <f t="shared" si="925"/>
        <v>0</v>
      </c>
      <c r="EB188">
        <f t="shared" si="926"/>
        <v>0</v>
      </c>
      <c r="EC188">
        <f t="shared" si="927"/>
        <v>1</v>
      </c>
    </row>
    <row r="189" spans="1:133">
      <c r="A189" s="164"/>
      <c r="B189" s="164"/>
      <c r="C189" s="164"/>
      <c r="D189" s="164"/>
      <c r="E189" s="164"/>
      <c r="F189" s="163"/>
      <c r="G189" s="164"/>
      <c r="H189" s="164"/>
      <c r="I189" s="164"/>
      <c r="J189" s="164"/>
      <c r="AH189" s="72">
        <f t="shared" si="838"/>
        <v>0</v>
      </c>
      <c r="AI189" s="72">
        <f t="shared" si="839"/>
        <v>0</v>
      </c>
      <c r="AJ189" s="72">
        <f t="shared" si="840"/>
        <v>0</v>
      </c>
      <c r="AK189" s="72">
        <f t="shared" si="841"/>
        <v>0</v>
      </c>
      <c r="AL189" s="72">
        <f t="shared" si="842"/>
        <v>0</v>
      </c>
      <c r="AM189" s="72">
        <f t="shared" si="843"/>
        <v>0</v>
      </c>
      <c r="AN189" s="72">
        <f t="shared" si="844"/>
        <v>0</v>
      </c>
      <c r="AO189" s="72">
        <f t="shared" si="845"/>
        <v>0</v>
      </c>
      <c r="AP189" s="72">
        <f t="shared" si="846"/>
        <v>0</v>
      </c>
      <c r="AQ189" s="72">
        <f t="shared" si="847"/>
        <v>0</v>
      </c>
      <c r="AR189" s="72">
        <f t="shared" si="848"/>
        <v>0</v>
      </c>
      <c r="AS189" s="72">
        <f t="shared" si="849"/>
        <v>0</v>
      </c>
      <c r="AT189" s="72">
        <f t="shared" si="850"/>
        <v>0</v>
      </c>
      <c r="AU189" s="72">
        <f t="shared" si="851"/>
        <v>0</v>
      </c>
      <c r="AV189" s="72">
        <f t="shared" si="852"/>
        <v>0</v>
      </c>
      <c r="AW189" s="72">
        <f t="shared" si="853"/>
        <v>0</v>
      </c>
      <c r="AX189" s="72">
        <f t="shared" si="854"/>
        <v>0</v>
      </c>
      <c r="AY189" s="72">
        <f t="shared" si="855"/>
        <v>0</v>
      </c>
      <c r="AZ189" s="72">
        <f t="shared" si="856"/>
        <v>0</v>
      </c>
      <c r="BA189" s="72">
        <f t="shared" si="857"/>
        <v>0</v>
      </c>
      <c r="BB189" s="72">
        <f t="shared" si="858"/>
        <v>0</v>
      </c>
      <c r="BC189" s="72">
        <f t="shared" si="859"/>
        <v>0</v>
      </c>
      <c r="BD189" s="72">
        <f t="shared" si="860"/>
        <v>0</v>
      </c>
      <c r="BE189" s="72">
        <f t="shared" si="861"/>
        <v>0</v>
      </c>
      <c r="BF189" s="72">
        <f t="shared" si="862"/>
        <v>0</v>
      </c>
      <c r="BG189" s="72">
        <f t="shared" si="863"/>
        <v>0</v>
      </c>
      <c r="BH189" s="72">
        <f t="shared" si="864"/>
        <v>0</v>
      </c>
      <c r="BI189" s="72">
        <f t="shared" si="865"/>
        <v>0</v>
      </c>
      <c r="BJ189" s="72">
        <f t="shared" si="866"/>
        <v>0</v>
      </c>
      <c r="BK189" s="72">
        <f t="shared" si="867"/>
        <v>0</v>
      </c>
      <c r="BL189" s="72">
        <f t="shared" si="868"/>
        <v>0</v>
      </c>
      <c r="BM189" s="72">
        <f t="shared" si="869"/>
        <v>0</v>
      </c>
      <c r="BN189" s="72">
        <f t="shared" si="870"/>
        <v>0</v>
      </c>
      <c r="BO189" s="72">
        <f t="shared" si="871"/>
        <v>0</v>
      </c>
      <c r="BP189" s="72">
        <f t="shared" si="872"/>
        <v>0</v>
      </c>
      <c r="BQ189" s="72">
        <f t="shared" si="873"/>
        <v>0</v>
      </c>
      <c r="BR189" s="72">
        <f t="shared" si="874"/>
        <v>0</v>
      </c>
      <c r="BS189" s="72">
        <f t="shared" si="875"/>
        <v>0</v>
      </c>
      <c r="BT189" s="72">
        <f t="shared" si="876"/>
        <v>0</v>
      </c>
      <c r="BU189" s="72">
        <f t="shared" si="877"/>
        <v>0</v>
      </c>
      <c r="BW189">
        <f t="shared" si="878"/>
        <v>0</v>
      </c>
      <c r="BX189">
        <f t="shared" si="879"/>
        <v>0</v>
      </c>
      <c r="BY189">
        <f t="shared" si="880"/>
        <v>0</v>
      </c>
      <c r="BZ189">
        <f t="shared" si="881"/>
        <v>0</v>
      </c>
      <c r="CA189">
        <f t="shared" si="882"/>
        <v>0</v>
      </c>
      <c r="CB189">
        <f t="shared" si="883"/>
        <v>0</v>
      </c>
      <c r="CD189">
        <f t="shared" si="884"/>
        <v>0</v>
      </c>
      <c r="CE189">
        <f t="shared" si="885"/>
        <v>0</v>
      </c>
      <c r="CF189">
        <f t="shared" si="886"/>
        <v>0</v>
      </c>
      <c r="CG189">
        <f t="shared" si="887"/>
        <v>0</v>
      </c>
      <c r="CH189">
        <f t="shared" si="888"/>
        <v>0</v>
      </c>
      <c r="CI189">
        <f t="shared" si="889"/>
        <v>0</v>
      </c>
      <c r="CK189">
        <f t="shared" si="890"/>
        <v>0</v>
      </c>
      <c r="CL189">
        <f t="shared" si="891"/>
        <v>0</v>
      </c>
      <c r="CM189">
        <f t="shared" si="892"/>
        <v>0</v>
      </c>
      <c r="CN189">
        <f t="shared" si="893"/>
        <v>0</v>
      </c>
      <c r="CO189">
        <f t="shared" si="894"/>
        <v>0</v>
      </c>
      <c r="CP189">
        <f t="shared" si="895"/>
        <v>0</v>
      </c>
      <c r="CR189">
        <f t="shared" si="896"/>
        <v>0</v>
      </c>
      <c r="CS189">
        <f t="shared" si="897"/>
        <v>0</v>
      </c>
      <c r="CT189">
        <f t="shared" si="898"/>
        <v>0</v>
      </c>
      <c r="CU189">
        <f t="shared" si="899"/>
        <v>0</v>
      </c>
      <c r="CV189">
        <f t="shared" si="900"/>
        <v>0</v>
      </c>
      <c r="CW189">
        <f t="shared" si="901"/>
        <v>0</v>
      </c>
      <c r="CY189">
        <f t="shared" si="902"/>
        <v>0</v>
      </c>
      <c r="CZ189">
        <f t="shared" si="903"/>
        <v>0</v>
      </c>
      <c r="DA189">
        <f t="shared" si="904"/>
        <v>0</v>
      </c>
      <c r="DB189">
        <f t="shared" si="905"/>
        <v>0</v>
      </c>
      <c r="DC189">
        <f t="shared" si="906"/>
        <v>0</v>
      </c>
      <c r="DD189">
        <f t="shared" si="907"/>
        <v>0</v>
      </c>
      <c r="DF189" s="79">
        <f t="shared" si="908"/>
        <v>0</v>
      </c>
      <c r="DG189" s="79">
        <f t="shared" si="909"/>
        <v>0</v>
      </c>
      <c r="DH189">
        <f t="shared" si="910"/>
        <v>0</v>
      </c>
      <c r="DI189">
        <f t="shared" si="911"/>
        <v>1</v>
      </c>
      <c r="DK189" s="79">
        <f t="shared" si="912"/>
        <v>0</v>
      </c>
      <c r="DL189" s="79">
        <f t="shared" si="913"/>
        <v>0</v>
      </c>
      <c r="DM189">
        <f t="shared" si="914"/>
        <v>1</v>
      </c>
      <c r="DN189">
        <f t="shared" si="915"/>
        <v>0</v>
      </c>
      <c r="DP189" s="79">
        <f t="shared" si="916"/>
        <v>0</v>
      </c>
      <c r="DQ189" s="79">
        <f t="shared" si="917"/>
        <v>0</v>
      </c>
      <c r="DR189">
        <f t="shared" si="918"/>
        <v>0</v>
      </c>
      <c r="DS189">
        <f t="shared" si="919"/>
        <v>1</v>
      </c>
      <c r="DU189" s="79">
        <f t="shared" si="920"/>
        <v>0</v>
      </c>
      <c r="DV189" s="79">
        <f t="shared" si="921"/>
        <v>0</v>
      </c>
      <c r="DW189">
        <f t="shared" si="922"/>
        <v>0</v>
      </c>
      <c r="DX189">
        <f t="shared" si="923"/>
        <v>1</v>
      </c>
      <c r="DZ189" s="79">
        <f t="shared" si="924"/>
        <v>0</v>
      </c>
      <c r="EA189" s="79">
        <f t="shared" si="925"/>
        <v>0</v>
      </c>
      <c r="EB189">
        <f t="shared" si="926"/>
        <v>0</v>
      </c>
      <c r="EC189">
        <f t="shared" si="927"/>
        <v>1</v>
      </c>
    </row>
    <row r="190" spans="1:133">
      <c r="A190" s="164"/>
      <c r="B190" s="164"/>
      <c r="C190" s="164"/>
      <c r="D190" s="164"/>
      <c r="E190" s="164"/>
      <c r="F190" s="163"/>
      <c r="G190" s="164"/>
      <c r="H190" s="164"/>
      <c r="I190" s="164"/>
      <c r="J190" s="164"/>
      <c r="AH190" s="72">
        <f t="shared" si="838"/>
        <v>0</v>
      </c>
      <c r="AI190" s="72">
        <f t="shared" si="839"/>
        <v>0</v>
      </c>
      <c r="AJ190" s="72">
        <f t="shared" si="840"/>
        <v>0</v>
      </c>
      <c r="AK190" s="72">
        <f t="shared" si="841"/>
        <v>0</v>
      </c>
      <c r="AL190" s="72">
        <f t="shared" si="842"/>
        <v>0</v>
      </c>
      <c r="AM190" s="72">
        <f t="shared" si="843"/>
        <v>0</v>
      </c>
      <c r="AN190" s="72">
        <f t="shared" si="844"/>
        <v>0</v>
      </c>
      <c r="AO190" s="72">
        <f t="shared" si="845"/>
        <v>0</v>
      </c>
      <c r="AP190" s="72">
        <f t="shared" si="846"/>
        <v>0</v>
      </c>
      <c r="AQ190" s="72">
        <f t="shared" si="847"/>
        <v>0</v>
      </c>
      <c r="AR190" s="72">
        <f t="shared" si="848"/>
        <v>0</v>
      </c>
      <c r="AS190" s="72">
        <f t="shared" si="849"/>
        <v>0</v>
      </c>
      <c r="AT190" s="72">
        <f t="shared" si="850"/>
        <v>0</v>
      </c>
      <c r="AU190" s="72">
        <f t="shared" si="851"/>
        <v>0</v>
      </c>
      <c r="AV190" s="72">
        <f t="shared" si="852"/>
        <v>0</v>
      </c>
      <c r="AW190" s="72">
        <f t="shared" si="853"/>
        <v>0</v>
      </c>
      <c r="AX190" s="72">
        <f t="shared" si="854"/>
        <v>0</v>
      </c>
      <c r="AY190" s="72">
        <f t="shared" si="855"/>
        <v>0</v>
      </c>
      <c r="AZ190" s="72">
        <f t="shared" si="856"/>
        <v>0</v>
      </c>
      <c r="BA190" s="72">
        <f t="shared" si="857"/>
        <v>0</v>
      </c>
      <c r="BB190" s="72">
        <f t="shared" si="858"/>
        <v>0</v>
      </c>
      <c r="BC190" s="72">
        <f t="shared" si="859"/>
        <v>0</v>
      </c>
      <c r="BD190" s="72">
        <f t="shared" si="860"/>
        <v>0</v>
      </c>
      <c r="BE190" s="72">
        <f t="shared" si="861"/>
        <v>0</v>
      </c>
      <c r="BF190" s="72">
        <f t="shared" si="862"/>
        <v>0</v>
      </c>
      <c r="BG190" s="72">
        <f t="shared" si="863"/>
        <v>0</v>
      </c>
      <c r="BH190" s="72">
        <f t="shared" si="864"/>
        <v>0</v>
      </c>
      <c r="BI190" s="72">
        <f t="shared" si="865"/>
        <v>0</v>
      </c>
      <c r="BJ190" s="72">
        <f t="shared" si="866"/>
        <v>0</v>
      </c>
      <c r="BK190" s="72">
        <f t="shared" si="867"/>
        <v>0</v>
      </c>
      <c r="BL190" s="72">
        <f t="shared" si="868"/>
        <v>0</v>
      </c>
      <c r="BM190" s="72">
        <f t="shared" si="869"/>
        <v>0</v>
      </c>
      <c r="BN190" s="72">
        <f t="shared" si="870"/>
        <v>0</v>
      </c>
      <c r="BO190" s="72">
        <f t="shared" si="871"/>
        <v>0</v>
      </c>
      <c r="BP190" s="72">
        <f t="shared" si="872"/>
        <v>0</v>
      </c>
      <c r="BQ190" s="72">
        <f t="shared" si="873"/>
        <v>0</v>
      </c>
      <c r="BR190" s="72">
        <f t="shared" si="874"/>
        <v>0</v>
      </c>
      <c r="BS190" s="72">
        <f t="shared" si="875"/>
        <v>0</v>
      </c>
      <c r="BT190" s="72">
        <f t="shared" si="876"/>
        <v>0</v>
      </c>
      <c r="BU190" s="72">
        <f t="shared" si="877"/>
        <v>0</v>
      </c>
      <c r="BW190">
        <f t="shared" si="878"/>
        <v>0</v>
      </c>
      <c r="BX190">
        <f t="shared" si="879"/>
        <v>0</v>
      </c>
      <c r="BY190">
        <f t="shared" si="880"/>
        <v>0</v>
      </c>
      <c r="BZ190">
        <f t="shared" si="881"/>
        <v>0</v>
      </c>
      <c r="CA190">
        <f t="shared" si="882"/>
        <v>0</v>
      </c>
      <c r="CB190">
        <f t="shared" si="883"/>
        <v>0</v>
      </c>
      <c r="CD190">
        <f t="shared" si="884"/>
        <v>0</v>
      </c>
      <c r="CE190">
        <f t="shared" si="885"/>
        <v>0</v>
      </c>
      <c r="CF190">
        <f t="shared" si="886"/>
        <v>0</v>
      </c>
      <c r="CG190">
        <f t="shared" si="887"/>
        <v>0</v>
      </c>
      <c r="CH190">
        <f t="shared" si="888"/>
        <v>0</v>
      </c>
      <c r="CI190">
        <f t="shared" si="889"/>
        <v>0</v>
      </c>
      <c r="CK190">
        <f t="shared" si="890"/>
        <v>0</v>
      </c>
      <c r="CL190">
        <f t="shared" si="891"/>
        <v>0</v>
      </c>
      <c r="CM190">
        <f t="shared" si="892"/>
        <v>0</v>
      </c>
      <c r="CN190">
        <f t="shared" si="893"/>
        <v>0</v>
      </c>
      <c r="CO190">
        <f t="shared" si="894"/>
        <v>0</v>
      </c>
      <c r="CP190">
        <f t="shared" si="895"/>
        <v>0</v>
      </c>
      <c r="CR190">
        <f t="shared" si="896"/>
        <v>0</v>
      </c>
      <c r="CS190">
        <f t="shared" si="897"/>
        <v>0</v>
      </c>
      <c r="CT190">
        <f t="shared" si="898"/>
        <v>0</v>
      </c>
      <c r="CU190">
        <f t="shared" si="899"/>
        <v>0</v>
      </c>
      <c r="CV190">
        <f t="shared" si="900"/>
        <v>0</v>
      </c>
      <c r="CW190">
        <f t="shared" si="901"/>
        <v>0</v>
      </c>
      <c r="CY190">
        <f t="shared" si="902"/>
        <v>0</v>
      </c>
      <c r="CZ190">
        <f t="shared" si="903"/>
        <v>0</v>
      </c>
      <c r="DA190">
        <f t="shared" si="904"/>
        <v>0</v>
      </c>
      <c r="DB190">
        <f t="shared" si="905"/>
        <v>0</v>
      </c>
      <c r="DC190">
        <f t="shared" si="906"/>
        <v>0</v>
      </c>
      <c r="DD190">
        <f t="shared" si="907"/>
        <v>0</v>
      </c>
      <c r="DF190" s="79">
        <f t="shared" si="908"/>
        <v>0</v>
      </c>
      <c r="DG190" s="79">
        <f t="shared" si="909"/>
        <v>0</v>
      </c>
      <c r="DH190">
        <f t="shared" si="910"/>
        <v>0</v>
      </c>
      <c r="DI190">
        <f t="shared" si="911"/>
        <v>1</v>
      </c>
      <c r="DK190" s="79">
        <f t="shared" si="912"/>
        <v>0</v>
      </c>
      <c r="DL190" s="79">
        <f t="shared" si="913"/>
        <v>0</v>
      </c>
      <c r="DM190">
        <f t="shared" si="914"/>
        <v>1</v>
      </c>
      <c r="DN190">
        <f t="shared" si="915"/>
        <v>0</v>
      </c>
      <c r="DP190" s="79">
        <f t="shared" si="916"/>
        <v>0</v>
      </c>
      <c r="DQ190" s="79">
        <f t="shared" si="917"/>
        <v>0</v>
      </c>
      <c r="DR190">
        <f t="shared" si="918"/>
        <v>0</v>
      </c>
      <c r="DS190">
        <f t="shared" si="919"/>
        <v>1</v>
      </c>
      <c r="DU190" s="79">
        <f t="shared" si="920"/>
        <v>0</v>
      </c>
      <c r="DV190" s="79">
        <f t="shared" si="921"/>
        <v>0</v>
      </c>
      <c r="DW190">
        <f t="shared" si="922"/>
        <v>0</v>
      </c>
      <c r="DX190">
        <f t="shared" si="923"/>
        <v>1</v>
      </c>
      <c r="DZ190" s="79">
        <f t="shared" si="924"/>
        <v>0</v>
      </c>
      <c r="EA190" s="79">
        <f t="shared" si="925"/>
        <v>0</v>
      </c>
      <c r="EB190">
        <f t="shared" si="926"/>
        <v>0</v>
      </c>
      <c r="EC190">
        <f t="shared" si="927"/>
        <v>1</v>
      </c>
    </row>
    <row r="191" spans="1:133">
      <c r="A191" s="164"/>
      <c r="B191" s="164"/>
      <c r="C191" s="164"/>
      <c r="D191" s="164"/>
      <c r="E191" s="164"/>
      <c r="F191" s="163"/>
      <c r="G191" s="164"/>
      <c r="H191" s="164"/>
      <c r="I191" s="164"/>
      <c r="J191" s="164"/>
      <c r="AH191" s="72">
        <f t="shared" si="838"/>
        <v>0</v>
      </c>
      <c r="AI191" s="72">
        <f t="shared" si="839"/>
        <v>0</v>
      </c>
      <c r="AJ191" s="72">
        <f t="shared" si="840"/>
        <v>0</v>
      </c>
      <c r="AK191" s="72">
        <f t="shared" si="841"/>
        <v>0</v>
      </c>
      <c r="AL191" s="72">
        <f t="shared" si="842"/>
        <v>0</v>
      </c>
      <c r="AM191" s="72">
        <f t="shared" si="843"/>
        <v>0</v>
      </c>
      <c r="AN191" s="72">
        <f t="shared" si="844"/>
        <v>0</v>
      </c>
      <c r="AO191" s="72">
        <f t="shared" si="845"/>
        <v>0</v>
      </c>
      <c r="AP191" s="72">
        <f t="shared" si="846"/>
        <v>0</v>
      </c>
      <c r="AQ191" s="72">
        <f t="shared" si="847"/>
        <v>0</v>
      </c>
      <c r="AR191" s="72">
        <f t="shared" si="848"/>
        <v>0</v>
      </c>
      <c r="AS191" s="72">
        <f t="shared" si="849"/>
        <v>0</v>
      </c>
      <c r="AT191" s="72">
        <f t="shared" si="850"/>
        <v>0</v>
      </c>
      <c r="AU191" s="72">
        <f t="shared" si="851"/>
        <v>0</v>
      </c>
      <c r="AV191" s="72">
        <f t="shared" si="852"/>
        <v>0</v>
      </c>
      <c r="AW191" s="72">
        <f t="shared" si="853"/>
        <v>0</v>
      </c>
      <c r="AX191" s="72">
        <f t="shared" si="854"/>
        <v>0</v>
      </c>
      <c r="AY191" s="72">
        <f t="shared" si="855"/>
        <v>0</v>
      </c>
      <c r="AZ191" s="72">
        <f t="shared" si="856"/>
        <v>0</v>
      </c>
      <c r="BA191" s="72">
        <f t="shared" si="857"/>
        <v>0</v>
      </c>
      <c r="BB191" s="72">
        <f t="shared" si="858"/>
        <v>0</v>
      </c>
      <c r="BC191" s="72">
        <f t="shared" si="859"/>
        <v>0</v>
      </c>
      <c r="BD191" s="72">
        <f t="shared" si="860"/>
        <v>0</v>
      </c>
      <c r="BE191" s="72">
        <f t="shared" si="861"/>
        <v>0</v>
      </c>
      <c r="BF191" s="72">
        <f t="shared" si="862"/>
        <v>0</v>
      </c>
      <c r="BG191" s="72">
        <f t="shared" si="863"/>
        <v>0</v>
      </c>
      <c r="BH191" s="72">
        <f t="shared" si="864"/>
        <v>0</v>
      </c>
      <c r="BI191" s="72">
        <f t="shared" si="865"/>
        <v>0</v>
      </c>
      <c r="BJ191" s="72">
        <f t="shared" si="866"/>
        <v>0</v>
      </c>
      <c r="BK191" s="72">
        <f t="shared" si="867"/>
        <v>0</v>
      </c>
      <c r="BL191" s="72">
        <f t="shared" si="868"/>
        <v>0</v>
      </c>
      <c r="BM191" s="72">
        <f t="shared" si="869"/>
        <v>0</v>
      </c>
      <c r="BN191" s="72">
        <f t="shared" si="870"/>
        <v>0</v>
      </c>
      <c r="BO191" s="72">
        <f t="shared" si="871"/>
        <v>0</v>
      </c>
      <c r="BP191" s="72">
        <f t="shared" si="872"/>
        <v>0</v>
      </c>
      <c r="BQ191" s="72">
        <f t="shared" si="873"/>
        <v>0</v>
      </c>
      <c r="BR191" s="72">
        <f t="shared" si="874"/>
        <v>0</v>
      </c>
      <c r="BS191" s="72">
        <f t="shared" si="875"/>
        <v>0</v>
      </c>
      <c r="BT191" s="72">
        <f t="shared" si="876"/>
        <v>0</v>
      </c>
      <c r="BU191" s="72">
        <f t="shared" si="877"/>
        <v>0</v>
      </c>
      <c r="BW191">
        <f t="shared" si="878"/>
        <v>0</v>
      </c>
      <c r="BX191">
        <f t="shared" si="879"/>
        <v>0</v>
      </c>
      <c r="BY191">
        <f t="shared" si="880"/>
        <v>0</v>
      </c>
      <c r="BZ191">
        <f t="shared" si="881"/>
        <v>0</v>
      </c>
      <c r="CA191">
        <f t="shared" si="882"/>
        <v>0</v>
      </c>
      <c r="CB191">
        <f t="shared" si="883"/>
        <v>0</v>
      </c>
      <c r="CD191">
        <f t="shared" si="884"/>
        <v>0</v>
      </c>
      <c r="CE191">
        <f t="shared" si="885"/>
        <v>0</v>
      </c>
      <c r="CF191">
        <f t="shared" si="886"/>
        <v>0</v>
      </c>
      <c r="CG191">
        <f t="shared" si="887"/>
        <v>0</v>
      </c>
      <c r="CH191">
        <f t="shared" si="888"/>
        <v>0</v>
      </c>
      <c r="CI191">
        <f t="shared" si="889"/>
        <v>0</v>
      </c>
      <c r="CK191">
        <f t="shared" si="890"/>
        <v>0</v>
      </c>
      <c r="CL191">
        <f t="shared" si="891"/>
        <v>0</v>
      </c>
      <c r="CM191">
        <f t="shared" si="892"/>
        <v>0</v>
      </c>
      <c r="CN191">
        <f t="shared" si="893"/>
        <v>0</v>
      </c>
      <c r="CO191">
        <f t="shared" si="894"/>
        <v>0</v>
      </c>
      <c r="CP191">
        <f t="shared" si="895"/>
        <v>0</v>
      </c>
      <c r="CR191">
        <f t="shared" si="896"/>
        <v>0</v>
      </c>
      <c r="CS191">
        <f t="shared" si="897"/>
        <v>0</v>
      </c>
      <c r="CT191">
        <f t="shared" si="898"/>
        <v>0</v>
      </c>
      <c r="CU191">
        <f t="shared" si="899"/>
        <v>0</v>
      </c>
      <c r="CV191">
        <f t="shared" si="900"/>
        <v>0</v>
      </c>
      <c r="CW191">
        <f t="shared" si="901"/>
        <v>0</v>
      </c>
      <c r="CY191">
        <f t="shared" si="902"/>
        <v>0</v>
      </c>
      <c r="CZ191">
        <f t="shared" si="903"/>
        <v>0</v>
      </c>
      <c r="DA191">
        <f t="shared" si="904"/>
        <v>0</v>
      </c>
      <c r="DB191">
        <f t="shared" si="905"/>
        <v>0</v>
      </c>
      <c r="DC191">
        <f t="shared" si="906"/>
        <v>0</v>
      </c>
      <c r="DD191">
        <f t="shared" si="907"/>
        <v>0</v>
      </c>
      <c r="DF191" s="79">
        <f t="shared" si="908"/>
        <v>0</v>
      </c>
      <c r="DG191" s="79">
        <f t="shared" si="909"/>
        <v>0</v>
      </c>
      <c r="DH191">
        <f t="shared" si="910"/>
        <v>0</v>
      </c>
      <c r="DI191">
        <f t="shared" si="911"/>
        <v>1</v>
      </c>
      <c r="DK191" s="79">
        <f t="shared" si="912"/>
        <v>0</v>
      </c>
      <c r="DL191" s="79">
        <f t="shared" si="913"/>
        <v>0</v>
      </c>
      <c r="DM191">
        <f t="shared" si="914"/>
        <v>1</v>
      </c>
      <c r="DN191">
        <f t="shared" si="915"/>
        <v>0</v>
      </c>
      <c r="DP191" s="79">
        <f t="shared" si="916"/>
        <v>0</v>
      </c>
      <c r="DQ191" s="79">
        <f t="shared" si="917"/>
        <v>0</v>
      </c>
      <c r="DR191">
        <f t="shared" si="918"/>
        <v>0</v>
      </c>
      <c r="DS191">
        <f t="shared" si="919"/>
        <v>1</v>
      </c>
      <c r="DU191" s="79">
        <f t="shared" si="920"/>
        <v>0</v>
      </c>
      <c r="DV191" s="79">
        <f t="shared" si="921"/>
        <v>0</v>
      </c>
      <c r="DW191">
        <f t="shared" si="922"/>
        <v>0</v>
      </c>
      <c r="DX191">
        <f t="shared" si="923"/>
        <v>1</v>
      </c>
      <c r="DZ191" s="79">
        <f t="shared" si="924"/>
        <v>0</v>
      </c>
      <c r="EA191" s="79">
        <f t="shared" si="925"/>
        <v>0</v>
      </c>
      <c r="EB191">
        <f t="shared" si="926"/>
        <v>0</v>
      </c>
      <c r="EC191">
        <f t="shared" si="927"/>
        <v>1</v>
      </c>
    </row>
    <row r="192" spans="1:133">
      <c r="A192" s="164"/>
      <c r="B192" s="164"/>
      <c r="C192" s="164"/>
      <c r="D192" s="164"/>
      <c r="E192" s="164"/>
      <c r="F192" s="163"/>
      <c r="G192" s="164"/>
      <c r="H192" s="164"/>
      <c r="I192" s="164"/>
      <c r="J192" s="164"/>
      <c r="AH192" s="72">
        <f t="shared" si="838"/>
        <v>0</v>
      </c>
      <c r="AI192" s="72">
        <f t="shared" si="839"/>
        <v>0</v>
      </c>
      <c r="AJ192" s="72">
        <f t="shared" si="840"/>
        <v>0</v>
      </c>
      <c r="AK192" s="72">
        <f t="shared" si="841"/>
        <v>0</v>
      </c>
      <c r="AL192" s="72">
        <f t="shared" si="842"/>
        <v>0</v>
      </c>
      <c r="AM192" s="72">
        <f t="shared" si="843"/>
        <v>0</v>
      </c>
      <c r="AN192" s="72">
        <f t="shared" si="844"/>
        <v>0</v>
      </c>
      <c r="AO192" s="72">
        <f t="shared" si="845"/>
        <v>0</v>
      </c>
      <c r="AP192" s="72">
        <f t="shared" si="846"/>
        <v>0</v>
      </c>
      <c r="AQ192" s="72">
        <f t="shared" si="847"/>
        <v>0</v>
      </c>
      <c r="AR192" s="72">
        <f t="shared" si="848"/>
        <v>0</v>
      </c>
      <c r="AS192" s="72">
        <f t="shared" si="849"/>
        <v>0</v>
      </c>
      <c r="AT192" s="72">
        <f t="shared" si="850"/>
        <v>0</v>
      </c>
      <c r="AU192" s="72">
        <f t="shared" si="851"/>
        <v>0</v>
      </c>
      <c r="AV192" s="72">
        <f t="shared" si="852"/>
        <v>0</v>
      </c>
      <c r="AW192" s="72">
        <f t="shared" si="853"/>
        <v>0</v>
      </c>
      <c r="AX192" s="72">
        <f t="shared" si="854"/>
        <v>0</v>
      </c>
      <c r="AY192" s="72">
        <f t="shared" si="855"/>
        <v>0</v>
      </c>
      <c r="AZ192" s="72">
        <f t="shared" si="856"/>
        <v>0</v>
      </c>
      <c r="BA192" s="72">
        <f t="shared" si="857"/>
        <v>0</v>
      </c>
      <c r="BB192" s="72">
        <f t="shared" si="858"/>
        <v>0</v>
      </c>
      <c r="BC192" s="72">
        <f t="shared" si="859"/>
        <v>0</v>
      </c>
      <c r="BD192" s="72">
        <f t="shared" si="860"/>
        <v>0</v>
      </c>
      <c r="BE192" s="72">
        <f t="shared" si="861"/>
        <v>0</v>
      </c>
      <c r="BF192" s="72">
        <f t="shared" si="862"/>
        <v>0</v>
      </c>
      <c r="BG192" s="72">
        <f t="shared" si="863"/>
        <v>0</v>
      </c>
      <c r="BH192" s="72">
        <f t="shared" si="864"/>
        <v>0</v>
      </c>
      <c r="BI192" s="72">
        <f t="shared" si="865"/>
        <v>0</v>
      </c>
      <c r="BJ192" s="72">
        <f t="shared" si="866"/>
        <v>0</v>
      </c>
      <c r="BK192" s="72">
        <f t="shared" si="867"/>
        <v>0</v>
      </c>
      <c r="BL192" s="72">
        <f t="shared" si="868"/>
        <v>0</v>
      </c>
      <c r="BM192" s="72">
        <f t="shared" si="869"/>
        <v>0</v>
      </c>
      <c r="BN192" s="72">
        <f t="shared" si="870"/>
        <v>0</v>
      </c>
      <c r="BO192" s="72">
        <f t="shared" si="871"/>
        <v>0</v>
      </c>
      <c r="BP192" s="72">
        <f t="shared" si="872"/>
        <v>0</v>
      </c>
      <c r="BQ192" s="72">
        <f t="shared" si="873"/>
        <v>0</v>
      </c>
      <c r="BR192" s="72">
        <f t="shared" si="874"/>
        <v>0</v>
      </c>
      <c r="BS192" s="72">
        <f t="shared" si="875"/>
        <v>0</v>
      </c>
      <c r="BT192" s="72">
        <f t="shared" si="876"/>
        <v>0</v>
      </c>
      <c r="BU192" s="72">
        <f t="shared" si="877"/>
        <v>0</v>
      </c>
      <c r="BW192">
        <f t="shared" si="878"/>
        <v>0</v>
      </c>
      <c r="BX192">
        <f t="shared" si="879"/>
        <v>0</v>
      </c>
      <c r="BY192">
        <f t="shared" si="880"/>
        <v>0</v>
      </c>
      <c r="BZ192">
        <f t="shared" si="881"/>
        <v>0</v>
      </c>
      <c r="CA192">
        <f t="shared" si="882"/>
        <v>0</v>
      </c>
      <c r="CB192">
        <f t="shared" si="883"/>
        <v>0</v>
      </c>
      <c r="CD192">
        <f t="shared" si="884"/>
        <v>0</v>
      </c>
      <c r="CE192">
        <f t="shared" si="885"/>
        <v>0</v>
      </c>
      <c r="CF192">
        <f t="shared" si="886"/>
        <v>0</v>
      </c>
      <c r="CG192">
        <f t="shared" si="887"/>
        <v>0</v>
      </c>
      <c r="CH192">
        <f t="shared" si="888"/>
        <v>0</v>
      </c>
      <c r="CI192">
        <f t="shared" si="889"/>
        <v>0</v>
      </c>
      <c r="CK192">
        <f t="shared" si="890"/>
        <v>0</v>
      </c>
      <c r="CL192">
        <f t="shared" si="891"/>
        <v>0</v>
      </c>
      <c r="CM192">
        <f t="shared" si="892"/>
        <v>0</v>
      </c>
      <c r="CN192">
        <f t="shared" si="893"/>
        <v>0</v>
      </c>
      <c r="CO192">
        <f t="shared" si="894"/>
        <v>0</v>
      </c>
      <c r="CP192">
        <f t="shared" si="895"/>
        <v>0</v>
      </c>
      <c r="CR192">
        <f t="shared" si="896"/>
        <v>0</v>
      </c>
      <c r="CS192">
        <f t="shared" si="897"/>
        <v>0</v>
      </c>
      <c r="CT192">
        <f t="shared" si="898"/>
        <v>0</v>
      </c>
      <c r="CU192">
        <f t="shared" si="899"/>
        <v>0</v>
      </c>
      <c r="CV192">
        <f t="shared" si="900"/>
        <v>0</v>
      </c>
      <c r="CW192">
        <f t="shared" si="901"/>
        <v>0</v>
      </c>
      <c r="CY192">
        <f t="shared" si="902"/>
        <v>0</v>
      </c>
      <c r="CZ192">
        <f t="shared" si="903"/>
        <v>0</v>
      </c>
      <c r="DA192">
        <f t="shared" si="904"/>
        <v>0</v>
      </c>
      <c r="DB192">
        <f t="shared" si="905"/>
        <v>0</v>
      </c>
      <c r="DC192">
        <f t="shared" si="906"/>
        <v>0</v>
      </c>
      <c r="DD192">
        <f t="shared" si="907"/>
        <v>0</v>
      </c>
      <c r="DF192" s="79">
        <f t="shared" si="908"/>
        <v>0</v>
      </c>
      <c r="DG192" s="79">
        <f t="shared" si="909"/>
        <v>0</v>
      </c>
      <c r="DH192">
        <f t="shared" si="910"/>
        <v>0</v>
      </c>
      <c r="DI192">
        <f t="shared" si="911"/>
        <v>1</v>
      </c>
      <c r="DK192" s="79">
        <f t="shared" si="912"/>
        <v>0</v>
      </c>
      <c r="DL192" s="79">
        <f t="shared" si="913"/>
        <v>0</v>
      </c>
      <c r="DM192">
        <f t="shared" si="914"/>
        <v>1</v>
      </c>
      <c r="DN192">
        <f t="shared" si="915"/>
        <v>0</v>
      </c>
      <c r="DP192" s="79">
        <f t="shared" si="916"/>
        <v>0</v>
      </c>
      <c r="DQ192" s="79">
        <f t="shared" si="917"/>
        <v>0</v>
      </c>
      <c r="DR192">
        <f t="shared" si="918"/>
        <v>0</v>
      </c>
      <c r="DS192">
        <f t="shared" si="919"/>
        <v>1</v>
      </c>
      <c r="DU192" s="79">
        <f t="shared" si="920"/>
        <v>0</v>
      </c>
      <c r="DV192" s="79">
        <f t="shared" si="921"/>
        <v>0</v>
      </c>
      <c r="DW192">
        <f t="shared" si="922"/>
        <v>0</v>
      </c>
      <c r="DX192">
        <f t="shared" si="923"/>
        <v>1</v>
      </c>
      <c r="DZ192" s="79">
        <f t="shared" si="924"/>
        <v>0</v>
      </c>
      <c r="EA192" s="79">
        <f t="shared" si="925"/>
        <v>0</v>
      </c>
      <c r="EB192">
        <f t="shared" si="926"/>
        <v>0</v>
      </c>
      <c r="EC192">
        <f t="shared" si="927"/>
        <v>1</v>
      </c>
    </row>
    <row r="193" spans="1:133">
      <c r="A193" s="164"/>
      <c r="B193" s="164"/>
      <c r="C193" s="164"/>
      <c r="D193" s="164"/>
      <c r="E193" s="164"/>
      <c r="F193" s="163"/>
      <c r="G193" s="164"/>
      <c r="H193" s="164"/>
      <c r="I193" s="164"/>
      <c r="J193" s="164"/>
      <c r="AH193" s="72">
        <f t="shared" si="838"/>
        <v>0</v>
      </c>
      <c r="AI193" s="72">
        <f t="shared" si="839"/>
        <v>0</v>
      </c>
      <c r="AJ193" s="72">
        <f t="shared" si="840"/>
        <v>0</v>
      </c>
      <c r="AK193" s="72">
        <f t="shared" si="841"/>
        <v>0</v>
      </c>
      <c r="AL193" s="72">
        <f t="shared" si="842"/>
        <v>0</v>
      </c>
      <c r="AM193" s="72">
        <f t="shared" si="843"/>
        <v>0</v>
      </c>
      <c r="AN193" s="72">
        <f t="shared" si="844"/>
        <v>0</v>
      </c>
      <c r="AO193" s="72">
        <f t="shared" si="845"/>
        <v>0</v>
      </c>
      <c r="AP193" s="72">
        <f t="shared" si="846"/>
        <v>0</v>
      </c>
      <c r="AQ193" s="72">
        <f t="shared" si="847"/>
        <v>0</v>
      </c>
      <c r="AR193" s="72">
        <f t="shared" si="848"/>
        <v>0</v>
      </c>
      <c r="AS193" s="72">
        <f t="shared" si="849"/>
        <v>0</v>
      </c>
      <c r="AT193" s="72">
        <f t="shared" si="850"/>
        <v>0</v>
      </c>
      <c r="AU193" s="72">
        <f t="shared" si="851"/>
        <v>0</v>
      </c>
      <c r="AV193" s="72">
        <f t="shared" si="852"/>
        <v>0</v>
      </c>
      <c r="AW193" s="72">
        <f t="shared" si="853"/>
        <v>0</v>
      </c>
      <c r="AX193" s="72">
        <f t="shared" si="854"/>
        <v>0</v>
      </c>
      <c r="AY193" s="72">
        <f t="shared" si="855"/>
        <v>0</v>
      </c>
      <c r="AZ193" s="72">
        <f t="shared" si="856"/>
        <v>0</v>
      </c>
      <c r="BA193" s="72">
        <f t="shared" si="857"/>
        <v>0</v>
      </c>
      <c r="BB193" s="72">
        <f t="shared" si="858"/>
        <v>0</v>
      </c>
      <c r="BC193" s="72">
        <f t="shared" si="859"/>
        <v>0</v>
      </c>
      <c r="BD193" s="72">
        <f t="shared" si="860"/>
        <v>0</v>
      </c>
      <c r="BE193" s="72">
        <f t="shared" si="861"/>
        <v>0</v>
      </c>
      <c r="BF193" s="72">
        <f t="shared" si="862"/>
        <v>0</v>
      </c>
      <c r="BG193" s="72">
        <f t="shared" si="863"/>
        <v>0</v>
      </c>
      <c r="BH193" s="72">
        <f t="shared" si="864"/>
        <v>0</v>
      </c>
      <c r="BI193" s="72">
        <f t="shared" si="865"/>
        <v>0</v>
      </c>
      <c r="BJ193" s="72">
        <f t="shared" si="866"/>
        <v>0</v>
      </c>
      <c r="BK193" s="72">
        <f t="shared" si="867"/>
        <v>0</v>
      </c>
      <c r="BL193" s="72">
        <f t="shared" si="868"/>
        <v>0</v>
      </c>
      <c r="BM193" s="72">
        <f t="shared" si="869"/>
        <v>0</v>
      </c>
      <c r="BN193" s="72">
        <f t="shared" si="870"/>
        <v>0</v>
      </c>
      <c r="BO193" s="72">
        <f t="shared" si="871"/>
        <v>0</v>
      </c>
      <c r="BP193" s="72">
        <f t="shared" si="872"/>
        <v>0</v>
      </c>
      <c r="BQ193" s="72">
        <f t="shared" si="873"/>
        <v>0</v>
      </c>
      <c r="BR193" s="72">
        <f t="shared" si="874"/>
        <v>0</v>
      </c>
      <c r="BS193" s="72">
        <f t="shared" si="875"/>
        <v>0</v>
      </c>
      <c r="BT193" s="72">
        <f t="shared" si="876"/>
        <v>0</v>
      </c>
      <c r="BU193" s="72">
        <f t="shared" si="877"/>
        <v>0</v>
      </c>
      <c r="BW193">
        <f t="shared" si="878"/>
        <v>0</v>
      </c>
      <c r="BX193">
        <f t="shared" si="879"/>
        <v>0</v>
      </c>
      <c r="BY193">
        <f t="shared" si="880"/>
        <v>0</v>
      </c>
      <c r="BZ193">
        <f t="shared" si="881"/>
        <v>0</v>
      </c>
      <c r="CA193">
        <f t="shared" si="882"/>
        <v>0</v>
      </c>
      <c r="CB193">
        <f t="shared" si="883"/>
        <v>0</v>
      </c>
      <c r="CD193">
        <f t="shared" si="884"/>
        <v>0</v>
      </c>
      <c r="CE193">
        <f t="shared" si="885"/>
        <v>0</v>
      </c>
      <c r="CF193">
        <f t="shared" si="886"/>
        <v>0</v>
      </c>
      <c r="CG193">
        <f t="shared" si="887"/>
        <v>0</v>
      </c>
      <c r="CH193">
        <f t="shared" si="888"/>
        <v>0</v>
      </c>
      <c r="CI193">
        <f t="shared" si="889"/>
        <v>0</v>
      </c>
      <c r="CK193">
        <f t="shared" si="890"/>
        <v>0</v>
      </c>
      <c r="CL193">
        <f t="shared" si="891"/>
        <v>0</v>
      </c>
      <c r="CM193">
        <f t="shared" si="892"/>
        <v>0</v>
      </c>
      <c r="CN193">
        <f t="shared" si="893"/>
        <v>0</v>
      </c>
      <c r="CO193">
        <f t="shared" si="894"/>
        <v>0</v>
      </c>
      <c r="CP193">
        <f t="shared" si="895"/>
        <v>0</v>
      </c>
      <c r="CR193">
        <f t="shared" si="896"/>
        <v>0</v>
      </c>
      <c r="CS193">
        <f t="shared" si="897"/>
        <v>0</v>
      </c>
      <c r="CT193">
        <f t="shared" si="898"/>
        <v>0</v>
      </c>
      <c r="CU193">
        <f t="shared" si="899"/>
        <v>0</v>
      </c>
      <c r="CV193">
        <f t="shared" si="900"/>
        <v>0</v>
      </c>
      <c r="CW193">
        <f t="shared" si="901"/>
        <v>0</v>
      </c>
      <c r="CY193">
        <f t="shared" si="902"/>
        <v>0</v>
      </c>
      <c r="CZ193">
        <f t="shared" si="903"/>
        <v>0</v>
      </c>
      <c r="DA193">
        <f t="shared" si="904"/>
        <v>0</v>
      </c>
      <c r="DB193">
        <f t="shared" si="905"/>
        <v>0</v>
      </c>
      <c r="DC193">
        <f t="shared" si="906"/>
        <v>0</v>
      </c>
      <c r="DD193">
        <f t="shared" si="907"/>
        <v>0</v>
      </c>
      <c r="DF193" s="79">
        <f t="shared" si="908"/>
        <v>0</v>
      </c>
      <c r="DG193" s="79">
        <f t="shared" si="909"/>
        <v>0</v>
      </c>
      <c r="DH193">
        <f t="shared" si="910"/>
        <v>0</v>
      </c>
      <c r="DI193">
        <f t="shared" si="911"/>
        <v>1</v>
      </c>
      <c r="DK193" s="79">
        <f t="shared" si="912"/>
        <v>0</v>
      </c>
      <c r="DL193" s="79">
        <f t="shared" si="913"/>
        <v>0</v>
      </c>
      <c r="DM193">
        <f t="shared" si="914"/>
        <v>1</v>
      </c>
      <c r="DN193">
        <f t="shared" si="915"/>
        <v>0</v>
      </c>
      <c r="DP193" s="79">
        <f t="shared" si="916"/>
        <v>0</v>
      </c>
      <c r="DQ193" s="79">
        <f t="shared" si="917"/>
        <v>0</v>
      </c>
      <c r="DR193">
        <f t="shared" si="918"/>
        <v>0</v>
      </c>
      <c r="DS193">
        <f t="shared" si="919"/>
        <v>1</v>
      </c>
      <c r="DU193" s="79">
        <f t="shared" si="920"/>
        <v>0</v>
      </c>
      <c r="DV193" s="79">
        <f t="shared" si="921"/>
        <v>0</v>
      </c>
      <c r="DW193">
        <f t="shared" si="922"/>
        <v>0</v>
      </c>
      <c r="DX193">
        <f t="shared" si="923"/>
        <v>1</v>
      </c>
      <c r="DZ193" s="79">
        <f t="shared" si="924"/>
        <v>0</v>
      </c>
      <c r="EA193" s="79">
        <f t="shared" si="925"/>
        <v>0</v>
      </c>
      <c r="EB193">
        <f t="shared" si="926"/>
        <v>0</v>
      </c>
      <c r="EC193">
        <f t="shared" si="927"/>
        <v>1</v>
      </c>
    </row>
    <row r="194" spans="1:133">
      <c r="A194" s="164"/>
      <c r="B194" s="164"/>
      <c r="C194" s="164"/>
      <c r="D194" s="164"/>
      <c r="E194" s="164"/>
      <c r="F194" s="163"/>
      <c r="G194" s="164"/>
      <c r="H194" s="164"/>
      <c r="I194" s="164"/>
      <c r="J194" s="164"/>
      <c r="AH194" s="72">
        <f t="shared" si="838"/>
        <v>0</v>
      </c>
      <c r="AI194" s="72">
        <f t="shared" si="839"/>
        <v>0</v>
      </c>
      <c r="AJ194" s="72">
        <f t="shared" si="840"/>
        <v>0</v>
      </c>
      <c r="AK194" s="72">
        <f t="shared" si="841"/>
        <v>0</v>
      </c>
      <c r="AL194" s="72">
        <f t="shared" si="842"/>
        <v>0</v>
      </c>
      <c r="AM194" s="72">
        <f t="shared" si="843"/>
        <v>0</v>
      </c>
      <c r="AN194" s="72">
        <f t="shared" si="844"/>
        <v>0</v>
      </c>
      <c r="AO194" s="72">
        <f t="shared" si="845"/>
        <v>0</v>
      </c>
      <c r="AP194" s="72">
        <f t="shared" si="846"/>
        <v>0</v>
      </c>
      <c r="AQ194" s="72">
        <f t="shared" si="847"/>
        <v>0</v>
      </c>
      <c r="AR194" s="72">
        <f t="shared" si="848"/>
        <v>0</v>
      </c>
      <c r="AS194" s="72">
        <f t="shared" si="849"/>
        <v>0</v>
      </c>
      <c r="AT194" s="72">
        <f t="shared" si="850"/>
        <v>0</v>
      </c>
      <c r="AU194" s="72">
        <f t="shared" si="851"/>
        <v>0</v>
      </c>
      <c r="AV194" s="72">
        <f t="shared" si="852"/>
        <v>0</v>
      </c>
      <c r="AW194" s="72">
        <f t="shared" si="853"/>
        <v>0</v>
      </c>
      <c r="AX194" s="72">
        <f t="shared" si="854"/>
        <v>0</v>
      </c>
      <c r="AY194" s="72">
        <f t="shared" si="855"/>
        <v>0</v>
      </c>
      <c r="AZ194" s="72">
        <f t="shared" si="856"/>
        <v>0</v>
      </c>
      <c r="BA194" s="72">
        <f t="shared" si="857"/>
        <v>0</v>
      </c>
      <c r="BB194" s="72">
        <f t="shared" si="858"/>
        <v>0</v>
      </c>
      <c r="BC194" s="72">
        <f t="shared" si="859"/>
        <v>0</v>
      </c>
      <c r="BD194" s="72">
        <f t="shared" si="860"/>
        <v>0</v>
      </c>
      <c r="BE194" s="72">
        <f t="shared" si="861"/>
        <v>0</v>
      </c>
      <c r="BF194" s="72">
        <f t="shared" si="862"/>
        <v>0</v>
      </c>
      <c r="BG194" s="72">
        <f t="shared" si="863"/>
        <v>0</v>
      </c>
      <c r="BH194" s="72">
        <f t="shared" si="864"/>
        <v>0</v>
      </c>
      <c r="BI194" s="72">
        <f t="shared" si="865"/>
        <v>0</v>
      </c>
      <c r="BJ194" s="72">
        <f t="shared" si="866"/>
        <v>0</v>
      </c>
      <c r="BK194" s="72">
        <f t="shared" si="867"/>
        <v>0</v>
      </c>
      <c r="BL194" s="72">
        <f t="shared" si="868"/>
        <v>0</v>
      </c>
      <c r="BM194" s="72">
        <f t="shared" si="869"/>
        <v>0</v>
      </c>
      <c r="BN194" s="72">
        <f t="shared" si="870"/>
        <v>0</v>
      </c>
      <c r="BO194" s="72">
        <f t="shared" si="871"/>
        <v>0</v>
      </c>
      <c r="BP194" s="72">
        <f t="shared" si="872"/>
        <v>0</v>
      </c>
      <c r="BQ194" s="72">
        <f t="shared" si="873"/>
        <v>0</v>
      </c>
      <c r="BR194" s="72">
        <f t="shared" si="874"/>
        <v>0</v>
      </c>
      <c r="BS194" s="72">
        <f t="shared" si="875"/>
        <v>0</v>
      </c>
      <c r="BT194" s="72">
        <f t="shared" si="876"/>
        <v>0</v>
      </c>
      <c r="BU194" s="72">
        <f t="shared" si="877"/>
        <v>0</v>
      </c>
      <c r="BW194">
        <f t="shared" si="878"/>
        <v>0</v>
      </c>
      <c r="BX194">
        <f t="shared" si="879"/>
        <v>0</v>
      </c>
      <c r="BY194">
        <f t="shared" si="880"/>
        <v>0</v>
      </c>
      <c r="BZ194">
        <f t="shared" si="881"/>
        <v>0</v>
      </c>
      <c r="CA194">
        <f t="shared" si="882"/>
        <v>0</v>
      </c>
      <c r="CB194">
        <f t="shared" si="883"/>
        <v>0</v>
      </c>
      <c r="CD194">
        <f t="shared" si="884"/>
        <v>0</v>
      </c>
      <c r="CE194">
        <f t="shared" si="885"/>
        <v>0</v>
      </c>
      <c r="CF194">
        <f t="shared" si="886"/>
        <v>0</v>
      </c>
      <c r="CG194">
        <f t="shared" si="887"/>
        <v>0</v>
      </c>
      <c r="CH194">
        <f t="shared" si="888"/>
        <v>0</v>
      </c>
      <c r="CI194">
        <f t="shared" si="889"/>
        <v>0</v>
      </c>
      <c r="CK194">
        <f t="shared" si="890"/>
        <v>0</v>
      </c>
      <c r="CL194">
        <f t="shared" si="891"/>
        <v>0</v>
      </c>
      <c r="CM194">
        <f t="shared" si="892"/>
        <v>0</v>
      </c>
      <c r="CN194">
        <f t="shared" si="893"/>
        <v>0</v>
      </c>
      <c r="CO194">
        <f t="shared" si="894"/>
        <v>0</v>
      </c>
      <c r="CP194">
        <f t="shared" si="895"/>
        <v>0</v>
      </c>
      <c r="CR194">
        <f t="shared" si="896"/>
        <v>0</v>
      </c>
      <c r="CS194">
        <f t="shared" si="897"/>
        <v>0</v>
      </c>
      <c r="CT194">
        <f t="shared" si="898"/>
        <v>0</v>
      </c>
      <c r="CU194">
        <f t="shared" si="899"/>
        <v>0</v>
      </c>
      <c r="CV194">
        <f t="shared" si="900"/>
        <v>0</v>
      </c>
      <c r="CW194">
        <f t="shared" si="901"/>
        <v>0</v>
      </c>
      <c r="CY194">
        <f t="shared" si="902"/>
        <v>0</v>
      </c>
      <c r="CZ194">
        <f t="shared" si="903"/>
        <v>0</v>
      </c>
      <c r="DA194">
        <f t="shared" si="904"/>
        <v>0</v>
      </c>
      <c r="DB194">
        <f t="shared" si="905"/>
        <v>0</v>
      </c>
      <c r="DC194">
        <f t="shared" si="906"/>
        <v>0</v>
      </c>
      <c r="DD194">
        <f t="shared" si="907"/>
        <v>0</v>
      </c>
      <c r="DF194" s="79">
        <f t="shared" si="908"/>
        <v>0</v>
      </c>
      <c r="DG194" s="79">
        <f t="shared" si="909"/>
        <v>0</v>
      </c>
      <c r="DH194">
        <f t="shared" si="910"/>
        <v>0</v>
      </c>
      <c r="DI194">
        <f t="shared" si="911"/>
        <v>1</v>
      </c>
      <c r="DK194" s="79">
        <f t="shared" si="912"/>
        <v>0</v>
      </c>
      <c r="DL194" s="79">
        <f t="shared" si="913"/>
        <v>0</v>
      </c>
      <c r="DM194">
        <f t="shared" si="914"/>
        <v>1</v>
      </c>
      <c r="DN194">
        <f t="shared" si="915"/>
        <v>0</v>
      </c>
      <c r="DP194" s="79">
        <f t="shared" si="916"/>
        <v>0</v>
      </c>
      <c r="DQ194" s="79">
        <f t="shared" si="917"/>
        <v>0</v>
      </c>
      <c r="DR194">
        <f t="shared" si="918"/>
        <v>0</v>
      </c>
      <c r="DS194">
        <f t="shared" si="919"/>
        <v>1</v>
      </c>
      <c r="DU194" s="79">
        <f t="shared" si="920"/>
        <v>0</v>
      </c>
      <c r="DV194" s="79">
        <f t="shared" si="921"/>
        <v>0</v>
      </c>
      <c r="DW194">
        <f t="shared" si="922"/>
        <v>0</v>
      </c>
      <c r="DX194">
        <f t="shared" si="923"/>
        <v>1</v>
      </c>
      <c r="DZ194" s="79">
        <f t="shared" si="924"/>
        <v>0</v>
      </c>
      <c r="EA194" s="79">
        <f t="shared" si="925"/>
        <v>0</v>
      </c>
      <c r="EB194">
        <f t="shared" si="926"/>
        <v>0</v>
      </c>
      <c r="EC194">
        <f t="shared" si="927"/>
        <v>1</v>
      </c>
    </row>
    <row r="195" spans="1:133">
      <c r="A195" s="164"/>
      <c r="B195" s="164"/>
      <c r="C195" s="164"/>
      <c r="D195" s="164"/>
      <c r="E195" s="164"/>
      <c r="F195" s="163"/>
      <c r="G195" s="164"/>
      <c r="H195" s="164"/>
      <c r="I195" s="164"/>
      <c r="J195" s="164"/>
      <c r="AH195" s="72">
        <f t="shared" si="838"/>
        <v>0</v>
      </c>
      <c r="AI195" s="72">
        <f t="shared" si="839"/>
        <v>0</v>
      </c>
      <c r="AJ195" s="72">
        <f t="shared" si="840"/>
        <v>0</v>
      </c>
      <c r="AK195" s="72">
        <f t="shared" si="841"/>
        <v>0</v>
      </c>
      <c r="AL195" s="72">
        <f t="shared" si="842"/>
        <v>0</v>
      </c>
      <c r="AM195" s="72">
        <f t="shared" si="843"/>
        <v>0</v>
      </c>
      <c r="AN195" s="72">
        <f t="shared" si="844"/>
        <v>0</v>
      </c>
      <c r="AO195" s="72">
        <f t="shared" si="845"/>
        <v>0</v>
      </c>
      <c r="AP195" s="72">
        <f t="shared" si="846"/>
        <v>0</v>
      </c>
      <c r="AQ195" s="72">
        <f t="shared" si="847"/>
        <v>0</v>
      </c>
      <c r="AR195" s="72">
        <f t="shared" si="848"/>
        <v>0</v>
      </c>
      <c r="AS195" s="72">
        <f t="shared" si="849"/>
        <v>0</v>
      </c>
      <c r="AT195" s="72">
        <f t="shared" si="850"/>
        <v>0</v>
      </c>
      <c r="AU195" s="72">
        <f t="shared" si="851"/>
        <v>0</v>
      </c>
      <c r="AV195" s="72">
        <f t="shared" si="852"/>
        <v>0</v>
      </c>
      <c r="AW195" s="72">
        <f t="shared" si="853"/>
        <v>0</v>
      </c>
      <c r="AX195" s="72">
        <f t="shared" si="854"/>
        <v>0</v>
      </c>
      <c r="AY195" s="72">
        <f t="shared" si="855"/>
        <v>0</v>
      </c>
      <c r="AZ195" s="72">
        <f t="shared" si="856"/>
        <v>0</v>
      </c>
      <c r="BA195" s="72">
        <f t="shared" si="857"/>
        <v>0</v>
      </c>
      <c r="BB195" s="72">
        <f t="shared" si="858"/>
        <v>0</v>
      </c>
      <c r="BC195" s="72">
        <f t="shared" si="859"/>
        <v>0</v>
      </c>
      <c r="BD195" s="72">
        <f t="shared" si="860"/>
        <v>0</v>
      </c>
      <c r="BE195" s="72">
        <f t="shared" si="861"/>
        <v>0</v>
      </c>
      <c r="BF195" s="72">
        <f t="shared" si="862"/>
        <v>0</v>
      </c>
      <c r="BG195" s="72">
        <f t="shared" si="863"/>
        <v>0</v>
      </c>
      <c r="BH195" s="72">
        <f t="shared" si="864"/>
        <v>0</v>
      </c>
      <c r="BI195" s="72">
        <f t="shared" si="865"/>
        <v>0</v>
      </c>
      <c r="BJ195" s="72">
        <f t="shared" si="866"/>
        <v>0</v>
      </c>
      <c r="BK195" s="72">
        <f t="shared" si="867"/>
        <v>0</v>
      </c>
      <c r="BL195" s="72">
        <f t="shared" si="868"/>
        <v>0</v>
      </c>
      <c r="BM195" s="72">
        <f t="shared" si="869"/>
        <v>0</v>
      </c>
      <c r="BN195" s="72">
        <f t="shared" si="870"/>
        <v>0</v>
      </c>
      <c r="BO195" s="72">
        <f t="shared" si="871"/>
        <v>0</v>
      </c>
      <c r="BP195" s="72">
        <f t="shared" si="872"/>
        <v>0</v>
      </c>
      <c r="BQ195" s="72">
        <f t="shared" si="873"/>
        <v>0</v>
      </c>
      <c r="BR195" s="72">
        <f t="shared" si="874"/>
        <v>0</v>
      </c>
      <c r="BS195" s="72">
        <f t="shared" si="875"/>
        <v>0</v>
      </c>
      <c r="BT195" s="72">
        <f t="shared" si="876"/>
        <v>0</v>
      </c>
      <c r="BU195" s="72">
        <f t="shared" si="877"/>
        <v>0</v>
      </c>
      <c r="BW195">
        <f t="shared" si="878"/>
        <v>0</v>
      </c>
      <c r="BX195">
        <f t="shared" si="879"/>
        <v>0</v>
      </c>
      <c r="BY195">
        <f t="shared" si="880"/>
        <v>0</v>
      </c>
      <c r="BZ195">
        <f t="shared" si="881"/>
        <v>0</v>
      </c>
      <c r="CA195">
        <f t="shared" si="882"/>
        <v>0</v>
      </c>
      <c r="CB195">
        <f t="shared" si="883"/>
        <v>0</v>
      </c>
      <c r="CD195">
        <f t="shared" si="884"/>
        <v>0</v>
      </c>
      <c r="CE195">
        <f t="shared" si="885"/>
        <v>0</v>
      </c>
      <c r="CF195">
        <f t="shared" si="886"/>
        <v>0</v>
      </c>
      <c r="CG195">
        <f t="shared" si="887"/>
        <v>0</v>
      </c>
      <c r="CH195">
        <f t="shared" si="888"/>
        <v>0</v>
      </c>
      <c r="CI195">
        <f t="shared" si="889"/>
        <v>0</v>
      </c>
      <c r="CK195">
        <f t="shared" si="890"/>
        <v>0</v>
      </c>
      <c r="CL195">
        <f t="shared" si="891"/>
        <v>0</v>
      </c>
      <c r="CM195">
        <f t="shared" si="892"/>
        <v>0</v>
      </c>
      <c r="CN195">
        <f t="shared" si="893"/>
        <v>0</v>
      </c>
      <c r="CO195">
        <f t="shared" si="894"/>
        <v>0</v>
      </c>
      <c r="CP195">
        <f t="shared" si="895"/>
        <v>0</v>
      </c>
      <c r="CR195">
        <f t="shared" si="896"/>
        <v>0</v>
      </c>
      <c r="CS195">
        <f t="shared" si="897"/>
        <v>0</v>
      </c>
      <c r="CT195">
        <f t="shared" si="898"/>
        <v>0</v>
      </c>
      <c r="CU195">
        <f t="shared" si="899"/>
        <v>0</v>
      </c>
      <c r="CV195">
        <f t="shared" si="900"/>
        <v>0</v>
      </c>
      <c r="CW195">
        <f t="shared" si="901"/>
        <v>0</v>
      </c>
      <c r="CY195">
        <f t="shared" si="902"/>
        <v>0</v>
      </c>
      <c r="CZ195">
        <f t="shared" si="903"/>
        <v>0</v>
      </c>
      <c r="DA195">
        <f t="shared" si="904"/>
        <v>0</v>
      </c>
      <c r="DB195">
        <f t="shared" si="905"/>
        <v>0</v>
      </c>
      <c r="DC195">
        <f t="shared" si="906"/>
        <v>0</v>
      </c>
      <c r="DD195">
        <f t="shared" si="907"/>
        <v>0</v>
      </c>
      <c r="DF195" s="79">
        <f t="shared" si="908"/>
        <v>0</v>
      </c>
      <c r="DG195" s="79">
        <f t="shared" si="909"/>
        <v>0</v>
      </c>
      <c r="DH195">
        <f t="shared" si="910"/>
        <v>0</v>
      </c>
      <c r="DI195">
        <f t="shared" si="911"/>
        <v>1</v>
      </c>
      <c r="DK195" s="79">
        <f t="shared" si="912"/>
        <v>0</v>
      </c>
      <c r="DL195" s="79">
        <f t="shared" si="913"/>
        <v>0</v>
      </c>
      <c r="DM195">
        <f t="shared" si="914"/>
        <v>1</v>
      </c>
      <c r="DN195">
        <f t="shared" si="915"/>
        <v>0</v>
      </c>
      <c r="DP195" s="79">
        <f t="shared" si="916"/>
        <v>0</v>
      </c>
      <c r="DQ195" s="79">
        <f t="shared" si="917"/>
        <v>0</v>
      </c>
      <c r="DR195">
        <f t="shared" si="918"/>
        <v>0</v>
      </c>
      <c r="DS195">
        <f t="shared" si="919"/>
        <v>1</v>
      </c>
      <c r="DU195" s="79">
        <f t="shared" si="920"/>
        <v>0</v>
      </c>
      <c r="DV195" s="79">
        <f t="shared" si="921"/>
        <v>0</v>
      </c>
      <c r="DW195">
        <f t="shared" si="922"/>
        <v>0</v>
      </c>
      <c r="DX195">
        <f t="shared" si="923"/>
        <v>1</v>
      </c>
      <c r="DZ195" s="79">
        <f t="shared" si="924"/>
        <v>0</v>
      </c>
      <c r="EA195" s="79">
        <f t="shared" si="925"/>
        <v>0</v>
      </c>
      <c r="EB195">
        <f t="shared" si="926"/>
        <v>0</v>
      </c>
      <c r="EC195">
        <f t="shared" si="927"/>
        <v>1</v>
      </c>
    </row>
    <row r="196" spans="1:133">
      <c r="A196" s="164"/>
      <c r="B196" s="164"/>
      <c r="C196" s="164"/>
      <c r="D196" s="164"/>
      <c r="E196" s="164"/>
      <c r="F196" s="163"/>
      <c r="G196" s="164"/>
      <c r="H196" s="164"/>
      <c r="I196" s="164"/>
      <c r="J196" s="164"/>
      <c r="AH196" s="72">
        <f t="shared" si="838"/>
        <v>0</v>
      </c>
      <c r="AI196" s="72">
        <f t="shared" si="839"/>
        <v>0</v>
      </c>
      <c r="AJ196" s="72">
        <f t="shared" si="840"/>
        <v>0</v>
      </c>
      <c r="AK196" s="72">
        <f t="shared" si="841"/>
        <v>0</v>
      </c>
      <c r="AL196" s="72">
        <f t="shared" si="842"/>
        <v>0</v>
      </c>
      <c r="AM196" s="72">
        <f t="shared" si="843"/>
        <v>0</v>
      </c>
      <c r="AN196" s="72">
        <f t="shared" si="844"/>
        <v>0</v>
      </c>
      <c r="AO196" s="72">
        <f t="shared" si="845"/>
        <v>0</v>
      </c>
      <c r="AP196" s="72">
        <f t="shared" si="846"/>
        <v>0</v>
      </c>
      <c r="AQ196" s="72">
        <f t="shared" si="847"/>
        <v>0</v>
      </c>
      <c r="AR196" s="72">
        <f t="shared" si="848"/>
        <v>0</v>
      </c>
      <c r="AS196" s="72">
        <f t="shared" si="849"/>
        <v>0</v>
      </c>
      <c r="AT196" s="72">
        <f t="shared" si="850"/>
        <v>0</v>
      </c>
      <c r="AU196" s="72">
        <f t="shared" si="851"/>
        <v>0</v>
      </c>
      <c r="AV196" s="72">
        <f t="shared" si="852"/>
        <v>0</v>
      </c>
      <c r="AW196" s="72">
        <f t="shared" si="853"/>
        <v>0</v>
      </c>
      <c r="AX196" s="72">
        <f t="shared" si="854"/>
        <v>0</v>
      </c>
      <c r="AY196" s="72">
        <f t="shared" si="855"/>
        <v>0</v>
      </c>
      <c r="AZ196" s="72">
        <f t="shared" si="856"/>
        <v>0</v>
      </c>
      <c r="BA196" s="72">
        <f t="shared" si="857"/>
        <v>0</v>
      </c>
      <c r="BB196" s="72">
        <f t="shared" si="858"/>
        <v>0</v>
      </c>
      <c r="BC196" s="72">
        <f t="shared" si="859"/>
        <v>0</v>
      </c>
      <c r="BD196" s="72">
        <f t="shared" si="860"/>
        <v>0</v>
      </c>
      <c r="BE196" s="72">
        <f t="shared" si="861"/>
        <v>0</v>
      </c>
      <c r="BF196" s="72">
        <f t="shared" si="862"/>
        <v>0</v>
      </c>
      <c r="BG196" s="72">
        <f t="shared" si="863"/>
        <v>0</v>
      </c>
      <c r="BH196" s="72">
        <f t="shared" si="864"/>
        <v>0</v>
      </c>
      <c r="BI196" s="72">
        <f t="shared" si="865"/>
        <v>0</v>
      </c>
      <c r="BJ196" s="72">
        <f t="shared" si="866"/>
        <v>0</v>
      </c>
      <c r="BK196" s="72">
        <f t="shared" si="867"/>
        <v>0</v>
      </c>
      <c r="BL196" s="72">
        <f t="shared" si="868"/>
        <v>0</v>
      </c>
      <c r="BM196" s="72">
        <f t="shared" si="869"/>
        <v>0</v>
      </c>
      <c r="BN196" s="72">
        <f t="shared" si="870"/>
        <v>0</v>
      </c>
      <c r="BO196" s="72">
        <f t="shared" si="871"/>
        <v>0</v>
      </c>
      <c r="BP196" s="72">
        <f t="shared" si="872"/>
        <v>0</v>
      </c>
      <c r="BQ196" s="72">
        <f t="shared" si="873"/>
        <v>0</v>
      </c>
      <c r="BR196" s="72">
        <f t="shared" si="874"/>
        <v>0</v>
      </c>
      <c r="BS196" s="72">
        <f t="shared" si="875"/>
        <v>0</v>
      </c>
      <c r="BT196" s="72">
        <f t="shared" si="876"/>
        <v>0</v>
      </c>
      <c r="BU196" s="72">
        <f t="shared" si="877"/>
        <v>0</v>
      </c>
      <c r="BW196">
        <f t="shared" si="878"/>
        <v>0</v>
      </c>
      <c r="BX196">
        <f t="shared" si="879"/>
        <v>0</v>
      </c>
      <c r="BY196">
        <f t="shared" si="880"/>
        <v>0</v>
      </c>
      <c r="BZ196">
        <f t="shared" si="881"/>
        <v>0</v>
      </c>
      <c r="CA196">
        <f t="shared" si="882"/>
        <v>0</v>
      </c>
      <c r="CB196">
        <f t="shared" si="883"/>
        <v>0</v>
      </c>
      <c r="CD196">
        <f t="shared" si="884"/>
        <v>0</v>
      </c>
      <c r="CE196">
        <f t="shared" si="885"/>
        <v>0</v>
      </c>
      <c r="CF196">
        <f t="shared" si="886"/>
        <v>0</v>
      </c>
      <c r="CG196">
        <f t="shared" si="887"/>
        <v>0</v>
      </c>
      <c r="CH196">
        <f t="shared" si="888"/>
        <v>0</v>
      </c>
      <c r="CI196">
        <f t="shared" si="889"/>
        <v>0</v>
      </c>
      <c r="CK196">
        <f t="shared" si="890"/>
        <v>0</v>
      </c>
      <c r="CL196">
        <f t="shared" si="891"/>
        <v>0</v>
      </c>
      <c r="CM196">
        <f t="shared" si="892"/>
        <v>0</v>
      </c>
      <c r="CN196">
        <f t="shared" si="893"/>
        <v>0</v>
      </c>
      <c r="CO196">
        <f t="shared" si="894"/>
        <v>0</v>
      </c>
      <c r="CP196">
        <f t="shared" si="895"/>
        <v>0</v>
      </c>
      <c r="CR196">
        <f t="shared" si="896"/>
        <v>0</v>
      </c>
      <c r="CS196">
        <f t="shared" si="897"/>
        <v>0</v>
      </c>
      <c r="CT196">
        <f t="shared" si="898"/>
        <v>0</v>
      </c>
      <c r="CU196">
        <f t="shared" si="899"/>
        <v>0</v>
      </c>
      <c r="CV196">
        <f t="shared" si="900"/>
        <v>0</v>
      </c>
      <c r="CW196">
        <f t="shared" si="901"/>
        <v>0</v>
      </c>
      <c r="CY196">
        <f t="shared" si="902"/>
        <v>0</v>
      </c>
      <c r="CZ196">
        <f t="shared" si="903"/>
        <v>0</v>
      </c>
      <c r="DA196">
        <f t="shared" si="904"/>
        <v>0</v>
      </c>
      <c r="DB196">
        <f t="shared" si="905"/>
        <v>0</v>
      </c>
      <c r="DC196">
        <f t="shared" si="906"/>
        <v>0</v>
      </c>
      <c r="DD196">
        <f t="shared" si="907"/>
        <v>0</v>
      </c>
      <c r="DF196" s="79">
        <f t="shared" si="908"/>
        <v>0</v>
      </c>
      <c r="DG196" s="79">
        <f t="shared" si="909"/>
        <v>0</v>
      </c>
      <c r="DH196">
        <f t="shared" si="910"/>
        <v>0</v>
      </c>
      <c r="DI196">
        <f t="shared" si="911"/>
        <v>1</v>
      </c>
      <c r="DK196" s="79">
        <f t="shared" si="912"/>
        <v>0</v>
      </c>
      <c r="DL196" s="79">
        <f t="shared" si="913"/>
        <v>0</v>
      </c>
      <c r="DM196">
        <f t="shared" si="914"/>
        <v>1</v>
      </c>
      <c r="DN196">
        <f t="shared" si="915"/>
        <v>0</v>
      </c>
      <c r="DP196" s="79">
        <f t="shared" si="916"/>
        <v>0</v>
      </c>
      <c r="DQ196" s="79">
        <f t="shared" si="917"/>
        <v>0</v>
      </c>
      <c r="DR196">
        <f t="shared" si="918"/>
        <v>0</v>
      </c>
      <c r="DS196">
        <f t="shared" si="919"/>
        <v>1</v>
      </c>
      <c r="DU196" s="79">
        <f t="shared" si="920"/>
        <v>0</v>
      </c>
      <c r="DV196" s="79">
        <f t="shared" si="921"/>
        <v>0</v>
      </c>
      <c r="DW196">
        <f t="shared" si="922"/>
        <v>0</v>
      </c>
      <c r="DX196">
        <f t="shared" si="923"/>
        <v>1</v>
      </c>
      <c r="DZ196" s="79">
        <f t="shared" si="924"/>
        <v>0</v>
      </c>
      <c r="EA196" s="79">
        <f t="shared" si="925"/>
        <v>0</v>
      </c>
      <c r="EB196">
        <f t="shared" si="926"/>
        <v>0</v>
      </c>
      <c r="EC196">
        <f t="shared" si="927"/>
        <v>1</v>
      </c>
    </row>
    <row r="197" spans="1:133">
      <c r="A197" s="164"/>
      <c r="B197" s="164"/>
      <c r="C197" s="164"/>
      <c r="D197" s="164"/>
      <c r="E197" s="164"/>
      <c r="F197" s="163"/>
      <c r="G197" s="164"/>
      <c r="H197" s="164"/>
      <c r="I197" s="164"/>
      <c r="J197" s="164"/>
      <c r="AH197" s="72">
        <f t="shared" si="838"/>
        <v>0</v>
      </c>
      <c r="AI197" s="72">
        <f t="shared" si="839"/>
        <v>0</v>
      </c>
      <c r="AJ197" s="72">
        <f t="shared" si="840"/>
        <v>0</v>
      </c>
      <c r="AK197" s="72">
        <f t="shared" si="841"/>
        <v>0</v>
      </c>
      <c r="AL197" s="72">
        <f t="shared" si="842"/>
        <v>0</v>
      </c>
      <c r="AM197" s="72">
        <f t="shared" si="843"/>
        <v>0</v>
      </c>
      <c r="AN197" s="72">
        <f t="shared" si="844"/>
        <v>0</v>
      </c>
      <c r="AO197" s="72">
        <f t="shared" si="845"/>
        <v>0</v>
      </c>
      <c r="AP197" s="72">
        <f t="shared" si="846"/>
        <v>0</v>
      </c>
      <c r="AQ197" s="72">
        <f t="shared" si="847"/>
        <v>0</v>
      </c>
      <c r="AR197" s="72">
        <f t="shared" si="848"/>
        <v>0</v>
      </c>
      <c r="AS197" s="72">
        <f t="shared" si="849"/>
        <v>0</v>
      </c>
      <c r="AT197" s="72">
        <f t="shared" si="850"/>
        <v>0</v>
      </c>
      <c r="AU197" s="72">
        <f t="shared" si="851"/>
        <v>0</v>
      </c>
      <c r="AV197" s="72">
        <f t="shared" si="852"/>
        <v>0</v>
      </c>
      <c r="AW197" s="72">
        <f t="shared" si="853"/>
        <v>0</v>
      </c>
      <c r="AX197" s="72">
        <f t="shared" si="854"/>
        <v>0</v>
      </c>
      <c r="AY197" s="72">
        <f t="shared" si="855"/>
        <v>0</v>
      </c>
      <c r="AZ197" s="72">
        <f t="shared" si="856"/>
        <v>0</v>
      </c>
      <c r="BA197" s="72">
        <f t="shared" si="857"/>
        <v>0</v>
      </c>
      <c r="BB197" s="72">
        <f t="shared" si="858"/>
        <v>0</v>
      </c>
      <c r="BC197" s="72">
        <f t="shared" si="859"/>
        <v>0</v>
      </c>
      <c r="BD197" s="72">
        <f t="shared" si="860"/>
        <v>0</v>
      </c>
      <c r="BE197" s="72">
        <f t="shared" si="861"/>
        <v>0</v>
      </c>
      <c r="BF197" s="72">
        <f t="shared" si="862"/>
        <v>0</v>
      </c>
      <c r="BG197" s="72">
        <f t="shared" si="863"/>
        <v>0</v>
      </c>
      <c r="BH197" s="72">
        <f t="shared" si="864"/>
        <v>0</v>
      </c>
      <c r="BI197" s="72">
        <f t="shared" si="865"/>
        <v>0</v>
      </c>
      <c r="BJ197" s="72">
        <f t="shared" si="866"/>
        <v>0</v>
      </c>
      <c r="BK197" s="72">
        <f t="shared" si="867"/>
        <v>0</v>
      </c>
      <c r="BL197" s="72">
        <f t="shared" si="868"/>
        <v>0</v>
      </c>
      <c r="BM197" s="72">
        <f t="shared" si="869"/>
        <v>0</v>
      </c>
      <c r="BN197" s="72">
        <f t="shared" si="870"/>
        <v>0</v>
      </c>
      <c r="BO197" s="72">
        <f t="shared" si="871"/>
        <v>0</v>
      </c>
      <c r="BP197" s="72">
        <f t="shared" si="872"/>
        <v>0</v>
      </c>
      <c r="BQ197" s="72">
        <f t="shared" si="873"/>
        <v>0</v>
      </c>
      <c r="BR197" s="72">
        <f t="shared" si="874"/>
        <v>0</v>
      </c>
      <c r="BS197" s="72">
        <f t="shared" si="875"/>
        <v>0</v>
      </c>
      <c r="BT197" s="72">
        <f t="shared" si="876"/>
        <v>0</v>
      </c>
      <c r="BU197" s="72">
        <f t="shared" si="877"/>
        <v>0</v>
      </c>
      <c r="BW197">
        <f t="shared" si="878"/>
        <v>0</v>
      </c>
      <c r="BX197">
        <f t="shared" si="879"/>
        <v>0</v>
      </c>
      <c r="BY197">
        <f t="shared" si="880"/>
        <v>0</v>
      </c>
      <c r="BZ197">
        <f t="shared" si="881"/>
        <v>0</v>
      </c>
      <c r="CA197">
        <f t="shared" si="882"/>
        <v>0</v>
      </c>
      <c r="CB197">
        <f t="shared" si="883"/>
        <v>0</v>
      </c>
      <c r="CD197">
        <f t="shared" si="884"/>
        <v>0</v>
      </c>
      <c r="CE197">
        <f t="shared" si="885"/>
        <v>0</v>
      </c>
      <c r="CF197">
        <f t="shared" si="886"/>
        <v>0</v>
      </c>
      <c r="CG197">
        <f t="shared" si="887"/>
        <v>0</v>
      </c>
      <c r="CH197">
        <f t="shared" si="888"/>
        <v>0</v>
      </c>
      <c r="CI197">
        <f t="shared" si="889"/>
        <v>0</v>
      </c>
      <c r="CK197">
        <f t="shared" si="890"/>
        <v>0</v>
      </c>
      <c r="CL197">
        <f t="shared" si="891"/>
        <v>0</v>
      </c>
      <c r="CM197">
        <f t="shared" si="892"/>
        <v>0</v>
      </c>
      <c r="CN197">
        <f t="shared" si="893"/>
        <v>0</v>
      </c>
      <c r="CO197">
        <f t="shared" si="894"/>
        <v>0</v>
      </c>
      <c r="CP197">
        <f t="shared" si="895"/>
        <v>0</v>
      </c>
      <c r="CR197">
        <f t="shared" si="896"/>
        <v>0</v>
      </c>
      <c r="CS197">
        <f t="shared" si="897"/>
        <v>0</v>
      </c>
      <c r="CT197">
        <f t="shared" si="898"/>
        <v>0</v>
      </c>
      <c r="CU197">
        <f t="shared" si="899"/>
        <v>0</v>
      </c>
      <c r="CV197">
        <f t="shared" si="900"/>
        <v>0</v>
      </c>
      <c r="CW197">
        <f t="shared" si="901"/>
        <v>0</v>
      </c>
      <c r="CY197">
        <f t="shared" si="902"/>
        <v>0</v>
      </c>
      <c r="CZ197">
        <f t="shared" si="903"/>
        <v>0</v>
      </c>
      <c r="DA197">
        <f t="shared" si="904"/>
        <v>0</v>
      </c>
      <c r="DB197">
        <f t="shared" si="905"/>
        <v>0</v>
      </c>
      <c r="DC197">
        <f t="shared" si="906"/>
        <v>0</v>
      </c>
      <c r="DD197">
        <f t="shared" si="907"/>
        <v>0</v>
      </c>
      <c r="DF197" s="79">
        <f t="shared" si="908"/>
        <v>0</v>
      </c>
      <c r="DG197" s="79">
        <f t="shared" si="909"/>
        <v>0</v>
      </c>
      <c r="DH197">
        <f t="shared" si="910"/>
        <v>0</v>
      </c>
      <c r="DI197">
        <f t="shared" si="911"/>
        <v>1</v>
      </c>
      <c r="DK197" s="79">
        <f t="shared" si="912"/>
        <v>0</v>
      </c>
      <c r="DL197" s="79">
        <f t="shared" si="913"/>
        <v>0</v>
      </c>
      <c r="DM197">
        <f t="shared" si="914"/>
        <v>1</v>
      </c>
      <c r="DN197">
        <f t="shared" si="915"/>
        <v>0</v>
      </c>
      <c r="DP197" s="79">
        <f t="shared" si="916"/>
        <v>0</v>
      </c>
      <c r="DQ197" s="79">
        <f t="shared" si="917"/>
        <v>0</v>
      </c>
      <c r="DR197">
        <f t="shared" si="918"/>
        <v>0</v>
      </c>
      <c r="DS197">
        <f t="shared" si="919"/>
        <v>1</v>
      </c>
      <c r="DU197" s="79">
        <f t="shared" si="920"/>
        <v>0</v>
      </c>
      <c r="DV197" s="79">
        <f t="shared" si="921"/>
        <v>0</v>
      </c>
      <c r="DW197">
        <f t="shared" si="922"/>
        <v>0</v>
      </c>
      <c r="DX197">
        <f t="shared" si="923"/>
        <v>1</v>
      </c>
      <c r="DZ197" s="79">
        <f t="shared" si="924"/>
        <v>0</v>
      </c>
      <c r="EA197" s="79">
        <f t="shared" si="925"/>
        <v>0</v>
      </c>
      <c r="EB197">
        <f t="shared" si="926"/>
        <v>0</v>
      </c>
      <c r="EC197">
        <f t="shared" si="927"/>
        <v>1</v>
      </c>
    </row>
    <row r="198" spans="1:133">
      <c r="A198" s="164"/>
      <c r="B198" s="164"/>
      <c r="C198" s="164"/>
      <c r="D198" s="164"/>
      <c r="E198" s="164"/>
      <c r="F198" s="163"/>
      <c r="G198" s="164"/>
      <c r="H198" s="164"/>
      <c r="I198" s="164"/>
      <c r="J198" s="164"/>
      <c r="AH198" s="72">
        <f t="shared" si="838"/>
        <v>0</v>
      </c>
      <c r="AI198" s="72">
        <f t="shared" si="839"/>
        <v>0</v>
      </c>
      <c r="AJ198" s="72">
        <f t="shared" si="840"/>
        <v>0</v>
      </c>
      <c r="AK198" s="72">
        <f t="shared" si="841"/>
        <v>0</v>
      </c>
      <c r="AL198" s="72">
        <f t="shared" si="842"/>
        <v>0</v>
      </c>
      <c r="AM198" s="72">
        <f t="shared" si="843"/>
        <v>0</v>
      </c>
      <c r="AN198" s="72">
        <f t="shared" si="844"/>
        <v>0</v>
      </c>
      <c r="AO198" s="72">
        <f t="shared" si="845"/>
        <v>0</v>
      </c>
      <c r="AP198" s="72">
        <f t="shared" si="846"/>
        <v>0</v>
      </c>
      <c r="AQ198" s="72">
        <f t="shared" si="847"/>
        <v>0</v>
      </c>
      <c r="AR198" s="72">
        <f t="shared" si="848"/>
        <v>0</v>
      </c>
      <c r="AS198" s="72">
        <f t="shared" si="849"/>
        <v>0</v>
      </c>
      <c r="AT198" s="72">
        <f t="shared" si="850"/>
        <v>0</v>
      </c>
      <c r="AU198" s="72">
        <f t="shared" si="851"/>
        <v>0</v>
      </c>
      <c r="AV198" s="72">
        <f t="shared" si="852"/>
        <v>0</v>
      </c>
      <c r="AW198" s="72">
        <f t="shared" si="853"/>
        <v>0</v>
      </c>
      <c r="AX198" s="72">
        <f t="shared" si="854"/>
        <v>0</v>
      </c>
      <c r="AY198" s="72">
        <f t="shared" si="855"/>
        <v>0</v>
      </c>
      <c r="AZ198" s="72">
        <f t="shared" si="856"/>
        <v>0</v>
      </c>
      <c r="BA198" s="72">
        <f t="shared" si="857"/>
        <v>0</v>
      </c>
      <c r="BB198" s="72">
        <f t="shared" si="858"/>
        <v>0</v>
      </c>
      <c r="BC198" s="72">
        <f t="shared" si="859"/>
        <v>0</v>
      </c>
      <c r="BD198" s="72">
        <f t="shared" si="860"/>
        <v>0</v>
      </c>
      <c r="BE198" s="72">
        <f t="shared" si="861"/>
        <v>0</v>
      </c>
      <c r="BF198" s="72">
        <f t="shared" si="862"/>
        <v>0</v>
      </c>
      <c r="BG198" s="72">
        <f t="shared" si="863"/>
        <v>0</v>
      </c>
      <c r="BH198" s="72">
        <f t="shared" si="864"/>
        <v>0</v>
      </c>
      <c r="BI198" s="72">
        <f t="shared" si="865"/>
        <v>0</v>
      </c>
      <c r="BJ198" s="72">
        <f t="shared" si="866"/>
        <v>0</v>
      </c>
      <c r="BK198" s="72">
        <f t="shared" si="867"/>
        <v>0</v>
      </c>
      <c r="BL198" s="72">
        <f t="shared" si="868"/>
        <v>0</v>
      </c>
      <c r="BM198" s="72">
        <f t="shared" si="869"/>
        <v>0</v>
      </c>
      <c r="BN198" s="72">
        <f t="shared" si="870"/>
        <v>0</v>
      </c>
      <c r="BO198" s="72">
        <f t="shared" si="871"/>
        <v>0</v>
      </c>
      <c r="BP198" s="72">
        <f t="shared" si="872"/>
        <v>0</v>
      </c>
      <c r="BQ198" s="72">
        <f t="shared" si="873"/>
        <v>0</v>
      </c>
      <c r="BR198" s="72">
        <f t="shared" si="874"/>
        <v>0</v>
      </c>
      <c r="BS198" s="72">
        <f t="shared" si="875"/>
        <v>0</v>
      </c>
      <c r="BT198" s="72">
        <f t="shared" si="876"/>
        <v>0</v>
      </c>
      <c r="BU198" s="72">
        <f t="shared" si="877"/>
        <v>0</v>
      </c>
      <c r="BW198">
        <f t="shared" si="878"/>
        <v>0</v>
      </c>
      <c r="BX198">
        <f t="shared" si="879"/>
        <v>0</v>
      </c>
      <c r="BY198">
        <f t="shared" si="880"/>
        <v>0</v>
      </c>
      <c r="BZ198">
        <f t="shared" si="881"/>
        <v>0</v>
      </c>
      <c r="CA198">
        <f t="shared" si="882"/>
        <v>0</v>
      </c>
      <c r="CB198">
        <f t="shared" si="883"/>
        <v>0</v>
      </c>
      <c r="CD198">
        <f t="shared" si="884"/>
        <v>0</v>
      </c>
      <c r="CE198">
        <f t="shared" si="885"/>
        <v>0</v>
      </c>
      <c r="CF198">
        <f t="shared" si="886"/>
        <v>0</v>
      </c>
      <c r="CG198">
        <f t="shared" si="887"/>
        <v>0</v>
      </c>
      <c r="CH198">
        <f t="shared" si="888"/>
        <v>0</v>
      </c>
      <c r="CI198">
        <f t="shared" si="889"/>
        <v>0</v>
      </c>
      <c r="CK198">
        <f t="shared" si="890"/>
        <v>0</v>
      </c>
      <c r="CL198">
        <f t="shared" si="891"/>
        <v>0</v>
      </c>
      <c r="CM198">
        <f t="shared" si="892"/>
        <v>0</v>
      </c>
      <c r="CN198">
        <f t="shared" si="893"/>
        <v>0</v>
      </c>
      <c r="CO198">
        <f t="shared" si="894"/>
        <v>0</v>
      </c>
      <c r="CP198">
        <f t="shared" si="895"/>
        <v>0</v>
      </c>
      <c r="CR198">
        <f t="shared" si="896"/>
        <v>0</v>
      </c>
      <c r="CS198">
        <f t="shared" si="897"/>
        <v>0</v>
      </c>
      <c r="CT198">
        <f t="shared" si="898"/>
        <v>0</v>
      </c>
      <c r="CU198">
        <f t="shared" si="899"/>
        <v>0</v>
      </c>
      <c r="CV198">
        <f t="shared" si="900"/>
        <v>0</v>
      </c>
      <c r="CW198">
        <f t="shared" si="901"/>
        <v>0</v>
      </c>
      <c r="CY198">
        <f t="shared" si="902"/>
        <v>0</v>
      </c>
      <c r="CZ198">
        <f t="shared" si="903"/>
        <v>0</v>
      </c>
      <c r="DA198">
        <f t="shared" si="904"/>
        <v>0</v>
      </c>
      <c r="DB198">
        <f t="shared" si="905"/>
        <v>0</v>
      </c>
      <c r="DC198">
        <f t="shared" si="906"/>
        <v>0</v>
      </c>
      <c r="DD198">
        <f t="shared" si="907"/>
        <v>0</v>
      </c>
      <c r="DF198" s="79">
        <f t="shared" si="908"/>
        <v>0</v>
      </c>
      <c r="DG198" s="79">
        <f t="shared" si="909"/>
        <v>0</v>
      </c>
      <c r="DH198">
        <f t="shared" si="910"/>
        <v>0</v>
      </c>
      <c r="DI198">
        <f t="shared" si="911"/>
        <v>1</v>
      </c>
      <c r="DK198" s="79">
        <f t="shared" si="912"/>
        <v>0</v>
      </c>
      <c r="DL198" s="79">
        <f t="shared" si="913"/>
        <v>0</v>
      </c>
      <c r="DM198">
        <f t="shared" si="914"/>
        <v>1</v>
      </c>
      <c r="DN198">
        <f t="shared" si="915"/>
        <v>0</v>
      </c>
      <c r="DP198" s="79">
        <f t="shared" si="916"/>
        <v>0</v>
      </c>
      <c r="DQ198" s="79">
        <f t="shared" si="917"/>
        <v>0</v>
      </c>
      <c r="DR198">
        <f t="shared" si="918"/>
        <v>0</v>
      </c>
      <c r="DS198">
        <f t="shared" si="919"/>
        <v>1</v>
      </c>
      <c r="DU198" s="79">
        <f t="shared" si="920"/>
        <v>0</v>
      </c>
      <c r="DV198" s="79">
        <f t="shared" si="921"/>
        <v>0</v>
      </c>
      <c r="DW198">
        <f t="shared" si="922"/>
        <v>0</v>
      </c>
      <c r="DX198">
        <f t="shared" si="923"/>
        <v>1</v>
      </c>
      <c r="DZ198" s="79">
        <f t="shared" si="924"/>
        <v>0</v>
      </c>
      <c r="EA198" s="79">
        <f t="shared" si="925"/>
        <v>0</v>
      </c>
      <c r="EB198">
        <f t="shared" si="926"/>
        <v>0</v>
      </c>
      <c r="EC198">
        <f t="shared" si="927"/>
        <v>1</v>
      </c>
    </row>
    <row r="199" spans="1:133">
      <c r="A199" s="164"/>
      <c r="B199" s="164"/>
      <c r="C199" s="164"/>
      <c r="D199" s="164"/>
      <c r="E199" s="164"/>
      <c r="F199" s="163"/>
      <c r="G199" s="164"/>
      <c r="H199" s="164"/>
      <c r="I199" s="164"/>
      <c r="J199" s="164"/>
      <c r="AH199" s="72">
        <f t="shared" si="838"/>
        <v>0</v>
      </c>
      <c r="AI199" s="72">
        <f t="shared" si="839"/>
        <v>0</v>
      </c>
      <c r="AJ199" s="72">
        <f t="shared" si="840"/>
        <v>0</v>
      </c>
      <c r="AK199" s="72">
        <f t="shared" si="841"/>
        <v>0</v>
      </c>
      <c r="AL199" s="72">
        <f t="shared" si="842"/>
        <v>0</v>
      </c>
      <c r="AM199" s="72">
        <f t="shared" si="843"/>
        <v>0</v>
      </c>
      <c r="AN199" s="72">
        <f t="shared" si="844"/>
        <v>0</v>
      </c>
      <c r="AO199" s="72">
        <f t="shared" si="845"/>
        <v>0</v>
      </c>
      <c r="AP199" s="72">
        <f t="shared" si="846"/>
        <v>0</v>
      </c>
      <c r="AQ199" s="72">
        <f t="shared" si="847"/>
        <v>0</v>
      </c>
      <c r="AR199" s="72">
        <f t="shared" si="848"/>
        <v>0</v>
      </c>
      <c r="AS199" s="72">
        <f t="shared" si="849"/>
        <v>0</v>
      </c>
      <c r="AT199" s="72">
        <f t="shared" si="850"/>
        <v>0</v>
      </c>
      <c r="AU199" s="72">
        <f t="shared" si="851"/>
        <v>0</v>
      </c>
      <c r="AV199" s="72">
        <f t="shared" si="852"/>
        <v>0</v>
      </c>
      <c r="AW199" s="72">
        <f t="shared" si="853"/>
        <v>0</v>
      </c>
      <c r="AX199" s="72">
        <f t="shared" si="854"/>
        <v>0</v>
      </c>
      <c r="AY199" s="72">
        <f t="shared" si="855"/>
        <v>0</v>
      </c>
      <c r="AZ199" s="72">
        <f t="shared" si="856"/>
        <v>0</v>
      </c>
      <c r="BA199" s="72">
        <f t="shared" si="857"/>
        <v>0</v>
      </c>
      <c r="BB199" s="72">
        <f t="shared" si="858"/>
        <v>0</v>
      </c>
      <c r="BC199" s="72">
        <f t="shared" si="859"/>
        <v>0</v>
      </c>
      <c r="BD199" s="72">
        <f t="shared" si="860"/>
        <v>0</v>
      </c>
      <c r="BE199" s="72">
        <f t="shared" si="861"/>
        <v>0</v>
      </c>
      <c r="BF199" s="72">
        <f t="shared" si="862"/>
        <v>0</v>
      </c>
      <c r="BG199" s="72">
        <f t="shared" si="863"/>
        <v>0</v>
      </c>
      <c r="BH199" s="72">
        <f t="shared" si="864"/>
        <v>0</v>
      </c>
      <c r="BI199" s="72">
        <f t="shared" si="865"/>
        <v>0</v>
      </c>
      <c r="BJ199" s="72">
        <f t="shared" si="866"/>
        <v>0</v>
      </c>
      <c r="BK199" s="72">
        <f t="shared" si="867"/>
        <v>0</v>
      </c>
      <c r="BL199" s="72">
        <f t="shared" si="868"/>
        <v>0</v>
      </c>
      <c r="BM199" s="72">
        <f t="shared" si="869"/>
        <v>0</v>
      </c>
      <c r="BN199" s="72">
        <f t="shared" si="870"/>
        <v>0</v>
      </c>
      <c r="BO199" s="72">
        <f t="shared" si="871"/>
        <v>0</v>
      </c>
      <c r="BP199" s="72">
        <f t="shared" si="872"/>
        <v>0</v>
      </c>
      <c r="BQ199" s="72">
        <f t="shared" si="873"/>
        <v>0</v>
      </c>
      <c r="BR199" s="72">
        <f t="shared" si="874"/>
        <v>0</v>
      </c>
      <c r="BS199" s="72">
        <f t="shared" si="875"/>
        <v>0</v>
      </c>
      <c r="BT199" s="72">
        <f t="shared" si="876"/>
        <v>0</v>
      </c>
      <c r="BU199" s="72">
        <f t="shared" si="877"/>
        <v>0</v>
      </c>
      <c r="BW199">
        <f t="shared" si="878"/>
        <v>0</v>
      </c>
      <c r="BX199">
        <f t="shared" si="879"/>
        <v>0</v>
      </c>
      <c r="BY199">
        <f t="shared" si="880"/>
        <v>0</v>
      </c>
      <c r="BZ199">
        <f t="shared" si="881"/>
        <v>0</v>
      </c>
      <c r="CA199">
        <f t="shared" si="882"/>
        <v>0</v>
      </c>
      <c r="CB199">
        <f t="shared" si="883"/>
        <v>0</v>
      </c>
      <c r="CD199">
        <f t="shared" si="884"/>
        <v>0</v>
      </c>
      <c r="CE199">
        <f t="shared" si="885"/>
        <v>0</v>
      </c>
      <c r="CF199">
        <f t="shared" si="886"/>
        <v>0</v>
      </c>
      <c r="CG199">
        <f t="shared" si="887"/>
        <v>0</v>
      </c>
      <c r="CH199">
        <f t="shared" si="888"/>
        <v>0</v>
      </c>
      <c r="CI199">
        <f t="shared" si="889"/>
        <v>0</v>
      </c>
      <c r="CK199">
        <f t="shared" si="890"/>
        <v>0</v>
      </c>
      <c r="CL199">
        <f t="shared" si="891"/>
        <v>0</v>
      </c>
      <c r="CM199">
        <f t="shared" si="892"/>
        <v>0</v>
      </c>
      <c r="CN199">
        <f t="shared" si="893"/>
        <v>0</v>
      </c>
      <c r="CO199">
        <f t="shared" si="894"/>
        <v>0</v>
      </c>
      <c r="CP199">
        <f t="shared" si="895"/>
        <v>0</v>
      </c>
      <c r="CR199">
        <f t="shared" si="896"/>
        <v>0</v>
      </c>
      <c r="CS199">
        <f t="shared" si="897"/>
        <v>0</v>
      </c>
      <c r="CT199">
        <f t="shared" si="898"/>
        <v>0</v>
      </c>
      <c r="CU199">
        <f t="shared" si="899"/>
        <v>0</v>
      </c>
      <c r="CV199">
        <f t="shared" si="900"/>
        <v>0</v>
      </c>
      <c r="CW199">
        <f t="shared" si="901"/>
        <v>0</v>
      </c>
      <c r="CY199">
        <f t="shared" si="902"/>
        <v>0</v>
      </c>
      <c r="CZ199">
        <f t="shared" si="903"/>
        <v>0</v>
      </c>
      <c r="DA199">
        <f t="shared" si="904"/>
        <v>0</v>
      </c>
      <c r="DB199">
        <f t="shared" si="905"/>
        <v>0</v>
      </c>
      <c r="DC199">
        <f t="shared" si="906"/>
        <v>0</v>
      </c>
      <c r="DD199">
        <f t="shared" si="907"/>
        <v>0</v>
      </c>
      <c r="DF199" s="79">
        <f t="shared" si="908"/>
        <v>0</v>
      </c>
      <c r="DG199" s="79">
        <f t="shared" si="909"/>
        <v>0</v>
      </c>
      <c r="DH199">
        <f t="shared" si="910"/>
        <v>0</v>
      </c>
      <c r="DI199">
        <f t="shared" si="911"/>
        <v>1</v>
      </c>
      <c r="DK199" s="79">
        <f t="shared" si="912"/>
        <v>0</v>
      </c>
      <c r="DL199" s="79">
        <f t="shared" si="913"/>
        <v>0</v>
      </c>
      <c r="DM199">
        <f t="shared" si="914"/>
        <v>1</v>
      </c>
      <c r="DN199">
        <f t="shared" si="915"/>
        <v>0</v>
      </c>
      <c r="DP199" s="79">
        <f t="shared" si="916"/>
        <v>0</v>
      </c>
      <c r="DQ199" s="79">
        <f t="shared" si="917"/>
        <v>0</v>
      </c>
      <c r="DR199">
        <f t="shared" si="918"/>
        <v>0</v>
      </c>
      <c r="DS199">
        <f t="shared" si="919"/>
        <v>1</v>
      </c>
      <c r="DU199" s="79">
        <f t="shared" si="920"/>
        <v>0</v>
      </c>
      <c r="DV199" s="79">
        <f t="shared" si="921"/>
        <v>0</v>
      </c>
      <c r="DW199">
        <f t="shared" si="922"/>
        <v>0</v>
      </c>
      <c r="DX199">
        <f t="shared" si="923"/>
        <v>1</v>
      </c>
      <c r="DZ199" s="79">
        <f t="shared" si="924"/>
        <v>0</v>
      </c>
      <c r="EA199" s="79">
        <f t="shared" si="925"/>
        <v>0</v>
      </c>
      <c r="EB199">
        <f t="shared" si="926"/>
        <v>0</v>
      </c>
      <c r="EC199">
        <f t="shared" si="927"/>
        <v>1</v>
      </c>
    </row>
    <row r="200" spans="1:133">
      <c r="A200" s="164"/>
      <c r="B200" s="164"/>
      <c r="C200" s="164"/>
      <c r="D200" s="164"/>
      <c r="E200" s="164"/>
      <c r="F200" s="163"/>
      <c r="G200" s="164"/>
      <c r="H200" s="164"/>
      <c r="I200" s="164"/>
      <c r="J200" s="164"/>
      <c r="AH200" s="72">
        <f t="shared" si="838"/>
        <v>0</v>
      </c>
      <c r="AI200" s="72">
        <f t="shared" si="839"/>
        <v>0</v>
      </c>
      <c r="AJ200" s="72">
        <f t="shared" si="840"/>
        <v>0</v>
      </c>
      <c r="AK200" s="72">
        <f t="shared" si="841"/>
        <v>0</v>
      </c>
      <c r="AL200" s="72">
        <f t="shared" si="842"/>
        <v>0</v>
      </c>
      <c r="AM200" s="72">
        <f t="shared" si="843"/>
        <v>0</v>
      </c>
      <c r="AN200" s="72">
        <f t="shared" si="844"/>
        <v>0</v>
      </c>
      <c r="AO200" s="72">
        <f t="shared" si="845"/>
        <v>0</v>
      </c>
      <c r="AP200" s="72">
        <f t="shared" si="846"/>
        <v>0</v>
      </c>
      <c r="AQ200" s="72">
        <f t="shared" si="847"/>
        <v>0</v>
      </c>
      <c r="AR200" s="72">
        <f t="shared" si="848"/>
        <v>0</v>
      </c>
      <c r="AS200" s="72">
        <f t="shared" si="849"/>
        <v>0</v>
      </c>
      <c r="AT200" s="72">
        <f t="shared" si="850"/>
        <v>0</v>
      </c>
      <c r="AU200" s="72">
        <f t="shared" si="851"/>
        <v>0</v>
      </c>
      <c r="AV200" s="72">
        <f t="shared" si="852"/>
        <v>0</v>
      </c>
      <c r="AW200" s="72">
        <f t="shared" si="853"/>
        <v>0</v>
      </c>
      <c r="AX200" s="72">
        <f t="shared" si="854"/>
        <v>0</v>
      </c>
      <c r="AY200" s="72">
        <f t="shared" si="855"/>
        <v>0</v>
      </c>
      <c r="AZ200" s="72">
        <f t="shared" si="856"/>
        <v>0</v>
      </c>
      <c r="BA200" s="72">
        <f t="shared" si="857"/>
        <v>0</v>
      </c>
      <c r="BB200" s="72">
        <f t="shared" si="858"/>
        <v>0</v>
      </c>
      <c r="BC200" s="72">
        <f t="shared" si="859"/>
        <v>0</v>
      </c>
      <c r="BD200" s="72">
        <f t="shared" si="860"/>
        <v>0</v>
      </c>
      <c r="BE200" s="72">
        <f t="shared" si="861"/>
        <v>0</v>
      </c>
      <c r="BF200" s="72">
        <f t="shared" si="862"/>
        <v>0</v>
      </c>
      <c r="BG200" s="72">
        <f t="shared" si="863"/>
        <v>0</v>
      </c>
      <c r="BH200" s="72">
        <f t="shared" si="864"/>
        <v>0</v>
      </c>
      <c r="BI200" s="72">
        <f t="shared" si="865"/>
        <v>0</v>
      </c>
      <c r="BJ200" s="72">
        <f t="shared" si="866"/>
        <v>0</v>
      </c>
      <c r="BK200" s="72">
        <f t="shared" si="867"/>
        <v>0</v>
      </c>
      <c r="BL200" s="72">
        <f t="shared" si="868"/>
        <v>0</v>
      </c>
      <c r="BM200" s="72">
        <f t="shared" si="869"/>
        <v>0</v>
      </c>
      <c r="BN200" s="72">
        <f t="shared" si="870"/>
        <v>0</v>
      </c>
      <c r="BO200" s="72">
        <f t="shared" si="871"/>
        <v>0</v>
      </c>
      <c r="BP200" s="72">
        <f t="shared" si="872"/>
        <v>0</v>
      </c>
      <c r="BQ200" s="72">
        <f t="shared" si="873"/>
        <v>0</v>
      </c>
      <c r="BR200" s="72">
        <f t="shared" si="874"/>
        <v>0</v>
      </c>
      <c r="BS200" s="72">
        <f t="shared" si="875"/>
        <v>0</v>
      </c>
      <c r="BT200" s="72">
        <f t="shared" si="876"/>
        <v>0</v>
      </c>
      <c r="BU200" s="72">
        <f t="shared" si="877"/>
        <v>0</v>
      </c>
      <c r="BW200">
        <f t="shared" si="878"/>
        <v>0</v>
      </c>
      <c r="BX200">
        <f t="shared" si="879"/>
        <v>0</v>
      </c>
      <c r="BY200">
        <f t="shared" si="880"/>
        <v>0</v>
      </c>
      <c r="BZ200">
        <f t="shared" si="881"/>
        <v>0</v>
      </c>
      <c r="CA200">
        <f t="shared" si="882"/>
        <v>0</v>
      </c>
      <c r="CB200">
        <f t="shared" si="883"/>
        <v>0</v>
      </c>
      <c r="CD200">
        <f t="shared" si="884"/>
        <v>0</v>
      </c>
      <c r="CE200">
        <f t="shared" si="885"/>
        <v>0</v>
      </c>
      <c r="CF200">
        <f t="shared" si="886"/>
        <v>0</v>
      </c>
      <c r="CG200">
        <f t="shared" si="887"/>
        <v>0</v>
      </c>
      <c r="CH200">
        <f t="shared" si="888"/>
        <v>0</v>
      </c>
      <c r="CI200">
        <f t="shared" si="889"/>
        <v>0</v>
      </c>
      <c r="CK200">
        <f t="shared" si="890"/>
        <v>0</v>
      </c>
      <c r="CL200">
        <f t="shared" si="891"/>
        <v>0</v>
      </c>
      <c r="CM200">
        <f t="shared" si="892"/>
        <v>0</v>
      </c>
      <c r="CN200">
        <f t="shared" si="893"/>
        <v>0</v>
      </c>
      <c r="CO200">
        <f t="shared" si="894"/>
        <v>0</v>
      </c>
      <c r="CP200">
        <f t="shared" si="895"/>
        <v>0</v>
      </c>
      <c r="CR200">
        <f t="shared" si="896"/>
        <v>0</v>
      </c>
      <c r="CS200">
        <f t="shared" si="897"/>
        <v>0</v>
      </c>
      <c r="CT200">
        <f t="shared" si="898"/>
        <v>0</v>
      </c>
      <c r="CU200">
        <f t="shared" si="899"/>
        <v>0</v>
      </c>
      <c r="CV200">
        <f t="shared" si="900"/>
        <v>0</v>
      </c>
      <c r="CW200">
        <f t="shared" si="901"/>
        <v>0</v>
      </c>
      <c r="CY200">
        <f t="shared" si="902"/>
        <v>0</v>
      </c>
      <c r="CZ200">
        <f t="shared" si="903"/>
        <v>0</v>
      </c>
      <c r="DA200">
        <f t="shared" si="904"/>
        <v>0</v>
      </c>
      <c r="DB200">
        <f t="shared" si="905"/>
        <v>0</v>
      </c>
      <c r="DC200">
        <f t="shared" si="906"/>
        <v>0</v>
      </c>
      <c r="DD200">
        <f t="shared" si="907"/>
        <v>0</v>
      </c>
      <c r="DF200" s="79">
        <f t="shared" si="908"/>
        <v>0</v>
      </c>
      <c r="DG200" s="79">
        <f t="shared" si="909"/>
        <v>0</v>
      </c>
      <c r="DH200">
        <f t="shared" si="910"/>
        <v>0</v>
      </c>
      <c r="DI200">
        <f t="shared" si="911"/>
        <v>1</v>
      </c>
      <c r="DK200" s="79">
        <f t="shared" si="912"/>
        <v>0</v>
      </c>
      <c r="DL200" s="79">
        <f t="shared" si="913"/>
        <v>0</v>
      </c>
      <c r="DM200">
        <f t="shared" si="914"/>
        <v>1</v>
      </c>
      <c r="DN200">
        <f t="shared" si="915"/>
        <v>0</v>
      </c>
      <c r="DP200" s="79">
        <f t="shared" si="916"/>
        <v>0</v>
      </c>
      <c r="DQ200" s="79">
        <f t="shared" si="917"/>
        <v>0</v>
      </c>
      <c r="DR200">
        <f t="shared" si="918"/>
        <v>0</v>
      </c>
      <c r="DS200">
        <f t="shared" si="919"/>
        <v>1</v>
      </c>
      <c r="DU200" s="79">
        <f t="shared" si="920"/>
        <v>0</v>
      </c>
      <c r="DV200" s="79">
        <f t="shared" si="921"/>
        <v>0</v>
      </c>
      <c r="DW200">
        <f t="shared" si="922"/>
        <v>0</v>
      </c>
      <c r="DX200">
        <f t="shared" si="923"/>
        <v>1</v>
      </c>
      <c r="DZ200" s="79">
        <f t="shared" si="924"/>
        <v>0</v>
      </c>
      <c r="EA200" s="79">
        <f t="shared" si="925"/>
        <v>0</v>
      </c>
      <c r="EB200">
        <f t="shared" si="926"/>
        <v>0</v>
      </c>
      <c r="EC200">
        <f t="shared" si="927"/>
        <v>1</v>
      </c>
    </row>
    <row r="201" spans="1:133">
      <c r="A201" s="164"/>
      <c r="B201" s="164"/>
      <c r="C201" s="164"/>
      <c r="D201" s="164"/>
      <c r="E201" s="164"/>
      <c r="F201" s="163"/>
      <c r="G201" s="164"/>
      <c r="H201" s="164"/>
      <c r="I201" s="164"/>
      <c r="J201" s="164"/>
      <c r="AH201" s="72">
        <f t="shared" si="838"/>
        <v>0</v>
      </c>
      <c r="AI201" s="72">
        <f t="shared" si="839"/>
        <v>0</v>
      </c>
      <c r="AJ201" s="72">
        <f t="shared" si="840"/>
        <v>0</v>
      </c>
      <c r="AK201" s="72">
        <f t="shared" si="841"/>
        <v>0</v>
      </c>
      <c r="AL201" s="72">
        <f t="shared" si="842"/>
        <v>0</v>
      </c>
      <c r="AM201" s="72">
        <f t="shared" si="843"/>
        <v>0</v>
      </c>
      <c r="AN201" s="72">
        <f t="shared" si="844"/>
        <v>0</v>
      </c>
      <c r="AO201" s="72">
        <f t="shared" si="845"/>
        <v>0</v>
      </c>
      <c r="AP201" s="72">
        <f t="shared" si="846"/>
        <v>0</v>
      </c>
      <c r="AQ201" s="72">
        <f t="shared" si="847"/>
        <v>0</v>
      </c>
      <c r="AR201" s="72">
        <f t="shared" si="848"/>
        <v>0</v>
      </c>
      <c r="AS201" s="72">
        <f t="shared" si="849"/>
        <v>0</v>
      </c>
      <c r="AT201" s="72">
        <f t="shared" si="850"/>
        <v>0</v>
      </c>
      <c r="AU201" s="72">
        <f t="shared" si="851"/>
        <v>0</v>
      </c>
      <c r="AV201" s="72">
        <f t="shared" si="852"/>
        <v>0</v>
      </c>
      <c r="AW201" s="72">
        <f t="shared" si="853"/>
        <v>0</v>
      </c>
      <c r="AX201" s="72">
        <f t="shared" si="854"/>
        <v>0</v>
      </c>
      <c r="AY201" s="72">
        <f t="shared" si="855"/>
        <v>0</v>
      </c>
      <c r="AZ201" s="72">
        <f t="shared" si="856"/>
        <v>0</v>
      </c>
      <c r="BA201" s="72">
        <f t="shared" si="857"/>
        <v>0</v>
      </c>
      <c r="BB201" s="72">
        <f t="shared" si="858"/>
        <v>0</v>
      </c>
      <c r="BC201" s="72">
        <f t="shared" si="859"/>
        <v>0</v>
      </c>
      <c r="BD201" s="72">
        <f t="shared" si="860"/>
        <v>0</v>
      </c>
      <c r="BE201" s="72">
        <f t="shared" si="861"/>
        <v>0</v>
      </c>
      <c r="BF201" s="72">
        <f t="shared" si="862"/>
        <v>0</v>
      </c>
      <c r="BG201" s="72">
        <f t="shared" si="863"/>
        <v>0</v>
      </c>
      <c r="BH201" s="72">
        <f t="shared" si="864"/>
        <v>0</v>
      </c>
      <c r="BI201" s="72">
        <f t="shared" si="865"/>
        <v>0</v>
      </c>
      <c r="BJ201" s="72">
        <f t="shared" si="866"/>
        <v>0</v>
      </c>
      <c r="BK201" s="72">
        <f t="shared" si="867"/>
        <v>0</v>
      </c>
      <c r="BL201" s="72">
        <f t="shared" si="868"/>
        <v>0</v>
      </c>
      <c r="BM201" s="72">
        <f t="shared" si="869"/>
        <v>0</v>
      </c>
      <c r="BN201" s="72">
        <f t="shared" si="870"/>
        <v>0</v>
      </c>
      <c r="BO201" s="72">
        <f t="shared" si="871"/>
        <v>0</v>
      </c>
      <c r="BP201" s="72">
        <f t="shared" si="872"/>
        <v>0</v>
      </c>
      <c r="BQ201" s="72">
        <f t="shared" si="873"/>
        <v>0</v>
      </c>
      <c r="BR201" s="72">
        <f t="shared" si="874"/>
        <v>0</v>
      </c>
      <c r="BS201" s="72">
        <f t="shared" si="875"/>
        <v>0</v>
      </c>
      <c r="BT201" s="72">
        <f t="shared" si="876"/>
        <v>0</v>
      </c>
      <c r="BU201" s="72">
        <f t="shared" si="877"/>
        <v>0</v>
      </c>
      <c r="BW201">
        <f t="shared" si="878"/>
        <v>0</v>
      </c>
      <c r="BX201">
        <f t="shared" si="879"/>
        <v>0</v>
      </c>
      <c r="BY201">
        <f t="shared" si="880"/>
        <v>0</v>
      </c>
      <c r="BZ201">
        <f t="shared" si="881"/>
        <v>0</v>
      </c>
      <c r="CA201">
        <f t="shared" si="882"/>
        <v>0</v>
      </c>
      <c r="CB201">
        <f t="shared" si="883"/>
        <v>0</v>
      </c>
      <c r="CD201">
        <f t="shared" si="884"/>
        <v>0</v>
      </c>
      <c r="CE201">
        <f t="shared" si="885"/>
        <v>0</v>
      </c>
      <c r="CF201">
        <f t="shared" si="886"/>
        <v>0</v>
      </c>
      <c r="CG201">
        <f t="shared" si="887"/>
        <v>0</v>
      </c>
      <c r="CH201">
        <f t="shared" si="888"/>
        <v>0</v>
      </c>
      <c r="CI201">
        <f t="shared" si="889"/>
        <v>0</v>
      </c>
      <c r="CK201">
        <f t="shared" si="890"/>
        <v>0</v>
      </c>
      <c r="CL201">
        <f t="shared" si="891"/>
        <v>0</v>
      </c>
      <c r="CM201">
        <f t="shared" si="892"/>
        <v>0</v>
      </c>
      <c r="CN201">
        <f t="shared" si="893"/>
        <v>0</v>
      </c>
      <c r="CO201">
        <f t="shared" si="894"/>
        <v>0</v>
      </c>
      <c r="CP201">
        <f t="shared" si="895"/>
        <v>0</v>
      </c>
      <c r="CR201">
        <f t="shared" si="896"/>
        <v>0</v>
      </c>
      <c r="CS201">
        <f t="shared" si="897"/>
        <v>0</v>
      </c>
      <c r="CT201">
        <f t="shared" si="898"/>
        <v>0</v>
      </c>
      <c r="CU201">
        <f t="shared" si="899"/>
        <v>0</v>
      </c>
      <c r="CV201">
        <f t="shared" si="900"/>
        <v>0</v>
      </c>
      <c r="CW201">
        <f t="shared" si="901"/>
        <v>0</v>
      </c>
      <c r="CY201">
        <f t="shared" si="902"/>
        <v>0</v>
      </c>
      <c r="CZ201">
        <f t="shared" si="903"/>
        <v>0</v>
      </c>
      <c r="DA201">
        <f t="shared" si="904"/>
        <v>0</v>
      </c>
      <c r="DB201">
        <f t="shared" si="905"/>
        <v>0</v>
      </c>
      <c r="DC201">
        <f t="shared" si="906"/>
        <v>0</v>
      </c>
      <c r="DD201">
        <f t="shared" si="907"/>
        <v>0</v>
      </c>
      <c r="DF201" s="79">
        <f t="shared" si="908"/>
        <v>0</v>
      </c>
      <c r="DG201" s="79">
        <f t="shared" si="909"/>
        <v>0</v>
      </c>
      <c r="DH201">
        <f t="shared" si="910"/>
        <v>0</v>
      </c>
      <c r="DI201">
        <f t="shared" si="911"/>
        <v>1</v>
      </c>
      <c r="DK201" s="79">
        <f t="shared" si="912"/>
        <v>0</v>
      </c>
      <c r="DL201" s="79">
        <f t="shared" si="913"/>
        <v>0</v>
      </c>
      <c r="DM201">
        <f t="shared" si="914"/>
        <v>1</v>
      </c>
      <c r="DN201">
        <f t="shared" si="915"/>
        <v>0</v>
      </c>
      <c r="DP201" s="79">
        <f t="shared" si="916"/>
        <v>0</v>
      </c>
      <c r="DQ201" s="79">
        <f t="shared" si="917"/>
        <v>0</v>
      </c>
      <c r="DR201">
        <f t="shared" si="918"/>
        <v>0</v>
      </c>
      <c r="DS201">
        <f t="shared" si="919"/>
        <v>1</v>
      </c>
      <c r="DU201" s="79">
        <f t="shared" si="920"/>
        <v>0</v>
      </c>
      <c r="DV201" s="79">
        <f t="shared" si="921"/>
        <v>0</v>
      </c>
      <c r="DW201">
        <f t="shared" si="922"/>
        <v>0</v>
      </c>
      <c r="DX201">
        <f t="shared" si="923"/>
        <v>1</v>
      </c>
      <c r="DZ201" s="79">
        <f t="shared" si="924"/>
        <v>0</v>
      </c>
      <c r="EA201" s="79">
        <f t="shared" si="925"/>
        <v>0</v>
      </c>
      <c r="EB201">
        <f t="shared" si="926"/>
        <v>0</v>
      </c>
      <c r="EC201">
        <f t="shared" si="927"/>
        <v>1</v>
      </c>
    </row>
    <row r="202" spans="1:133">
      <c r="A202" s="164"/>
      <c r="B202" s="164"/>
      <c r="C202" s="164"/>
      <c r="D202" s="164"/>
      <c r="E202" s="164"/>
      <c r="F202" s="163"/>
      <c r="G202" s="164"/>
      <c r="H202" s="164"/>
      <c r="I202" s="164"/>
      <c r="J202" s="164"/>
      <c r="AH202" s="72">
        <f t="shared" si="838"/>
        <v>0</v>
      </c>
      <c r="AI202" s="72">
        <f t="shared" si="839"/>
        <v>0</v>
      </c>
      <c r="AJ202" s="72">
        <f t="shared" si="840"/>
        <v>0</v>
      </c>
      <c r="AK202" s="72">
        <f t="shared" si="841"/>
        <v>0</v>
      </c>
      <c r="AL202" s="72">
        <f t="shared" si="842"/>
        <v>0</v>
      </c>
      <c r="AM202" s="72">
        <f t="shared" si="843"/>
        <v>0</v>
      </c>
      <c r="AN202" s="72">
        <f t="shared" si="844"/>
        <v>0</v>
      </c>
      <c r="AO202" s="72">
        <f t="shared" si="845"/>
        <v>0</v>
      </c>
      <c r="AP202" s="72">
        <f t="shared" si="846"/>
        <v>0</v>
      </c>
      <c r="AQ202" s="72">
        <f t="shared" si="847"/>
        <v>0</v>
      </c>
      <c r="AR202" s="72">
        <f t="shared" si="848"/>
        <v>0</v>
      </c>
      <c r="AS202" s="72">
        <f t="shared" si="849"/>
        <v>0</v>
      </c>
      <c r="AT202" s="72">
        <f t="shared" si="850"/>
        <v>0</v>
      </c>
      <c r="AU202" s="72">
        <f t="shared" si="851"/>
        <v>0</v>
      </c>
      <c r="AV202" s="72">
        <f t="shared" si="852"/>
        <v>0</v>
      </c>
      <c r="AW202" s="72">
        <f t="shared" si="853"/>
        <v>0</v>
      </c>
      <c r="AX202" s="72">
        <f t="shared" si="854"/>
        <v>0</v>
      </c>
      <c r="AY202" s="72">
        <f t="shared" si="855"/>
        <v>0</v>
      </c>
      <c r="AZ202" s="72">
        <f t="shared" si="856"/>
        <v>0</v>
      </c>
      <c r="BA202" s="72">
        <f t="shared" si="857"/>
        <v>0</v>
      </c>
      <c r="BB202" s="72">
        <f t="shared" si="858"/>
        <v>0</v>
      </c>
      <c r="BC202" s="72">
        <f t="shared" si="859"/>
        <v>0</v>
      </c>
      <c r="BD202" s="72">
        <f t="shared" si="860"/>
        <v>0</v>
      </c>
      <c r="BE202" s="72">
        <f t="shared" si="861"/>
        <v>0</v>
      </c>
      <c r="BF202" s="72">
        <f t="shared" si="862"/>
        <v>0</v>
      </c>
      <c r="BG202" s="72">
        <f t="shared" si="863"/>
        <v>0</v>
      </c>
      <c r="BH202" s="72">
        <f t="shared" si="864"/>
        <v>0</v>
      </c>
      <c r="BI202" s="72">
        <f t="shared" si="865"/>
        <v>0</v>
      </c>
      <c r="BJ202" s="72">
        <f t="shared" si="866"/>
        <v>0</v>
      </c>
      <c r="BK202" s="72">
        <f t="shared" si="867"/>
        <v>0</v>
      </c>
      <c r="BL202" s="72">
        <f t="shared" si="868"/>
        <v>0</v>
      </c>
      <c r="BM202" s="72">
        <f t="shared" si="869"/>
        <v>0</v>
      </c>
      <c r="BN202" s="72">
        <f t="shared" si="870"/>
        <v>0</v>
      </c>
      <c r="BO202" s="72">
        <f t="shared" si="871"/>
        <v>0</v>
      </c>
      <c r="BP202" s="72">
        <f t="shared" si="872"/>
        <v>0</v>
      </c>
      <c r="BQ202" s="72">
        <f t="shared" si="873"/>
        <v>0</v>
      </c>
      <c r="BR202" s="72">
        <f t="shared" si="874"/>
        <v>0</v>
      </c>
      <c r="BS202" s="72">
        <f t="shared" si="875"/>
        <v>0</v>
      </c>
      <c r="BT202" s="72">
        <f t="shared" si="876"/>
        <v>0</v>
      </c>
      <c r="BU202" s="72">
        <f t="shared" si="877"/>
        <v>0</v>
      </c>
      <c r="BW202">
        <f t="shared" si="878"/>
        <v>0</v>
      </c>
      <c r="BX202">
        <f t="shared" si="879"/>
        <v>0</v>
      </c>
      <c r="BY202">
        <f t="shared" si="880"/>
        <v>0</v>
      </c>
      <c r="BZ202">
        <f t="shared" si="881"/>
        <v>0</v>
      </c>
      <c r="CA202">
        <f t="shared" si="882"/>
        <v>0</v>
      </c>
      <c r="CB202">
        <f t="shared" si="883"/>
        <v>0</v>
      </c>
      <c r="CD202">
        <f t="shared" si="884"/>
        <v>0</v>
      </c>
      <c r="CE202">
        <f t="shared" si="885"/>
        <v>0</v>
      </c>
      <c r="CF202">
        <f t="shared" si="886"/>
        <v>0</v>
      </c>
      <c r="CG202">
        <f t="shared" si="887"/>
        <v>0</v>
      </c>
      <c r="CH202">
        <f t="shared" si="888"/>
        <v>0</v>
      </c>
      <c r="CI202">
        <f t="shared" si="889"/>
        <v>0</v>
      </c>
      <c r="CK202">
        <f t="shared" si="890"/>
        <v>0</v>
      </c>
      <c r="CL202">
        <f t="shared" si="891"/>
        <v>0</v>
      </c>
      <c r="CM202">
        <f t="shared" si="892"/>
        <v>0</v>
      </c>
      <c r="CN202">
        <f t="shared" si="893"/>
        <v>0</v>
      </c>
      <c r="CO202">
        <f t="shared" si="894"/>
        <v>0</v>
      </c>
      <c r="CP202">
        <f t="shared" si="895"/>
        <v>0</v>
      </c>
      <c r="CR202">
        <f t="shared" si="896"/>
        <v>0</v>
      </c>
      <c r="CS202">
        <f t="shared" si="897"/>
        <v>0</v>
      </c>
      <c r="CT202">
        <f t="shared" si="898"/>
        <v>0</v>
      </c>
      <c r="CU202">
        <f t="shared" si="899"/>
        <v>0</v>
      </c>
      <c r="CV202">
        <f t="shared" si="900"/>
        <v>0</v>
      </c>
      <c r="CW202">
        <f t="shared" si="901"/>
        <v>0</v>
      </c>
      <c r="CY202">
        <f t="shared" si="902"/>
        <v>0</v>
      </c>
      <c r="CZ202">
        <f t="shared" si="903"/>
        <v>0</v>
      </c>
      <c r="DA202">
        <f t="shared" si="904"/>
        <v>0</v>
      </c>
      <c r="DB202">
        <f t="shared" si="905"/>
        <v>0</v>
      </c>
      <c r="DC202">
        <f t="shared" si="906"/>
        <v>0</v>
      </c>
      <c r="DD202">
        <f t="shared" si="907"/>
        <v>0</v>
      </c>
      <c r="DF202" s="79">
        <f t="shared" si="908"/>
        <v>0</v>
      </c>
      <c r="DG202" s="79">
        <f t="shared" si="909"/>
        <v>0</v>
      </c>
      <c r="DH202">
        <f t="shared" si="910"/>
        <v>0</v>
      </c>
      <c r="DI202">
        <f t="shared" si="911"/>
        <v>1</v>
      </c>
      <c r="DK202" s="79">
        <f t="shared" si="912"/>
        <v>0</v>
      </c>
      <c r="DL202" s="79">
        <f t="shared" si="913"/>
        <v>0</v>
      </c>
      <c r="DM202">
        <f t="shared" si="914"/>
        <v>1</v>
      </c>
      <c r="DN202">
        <f t="shared" si="915"/>
        <v>0</v>
      </c>
      <c r="DP202" s="79">
        <f t="shared" si="916"/>
        <v>0</v>
      </c>
      <c r="DQ202" s="79">
        <f t="shared" si="917"/>
        <v>0</v>
      </c>
      <c r="DR202">
        <f t="shared" si="918"/>
        <v>0</v>
      </c>
      <c r="DS202">
        <f t="shared" si="919"/>
        <v>1</v>
      </c>
      <c r="DU202" s="79">
        <f t="shared" si="920"/>
        <v>0</v>
      </c>
      <c r="DV202" s="79">
        <f t="shared" si="921"/>
        <v>0</v>
      </c>
      <c r="DW202">
        <f t="shared" si="922"/>
        <v>0</v>
      </c>
      <c r="DX202">
        <f t="shared" si="923"/>
        <v>1</v>
      </c>
      <c r="DZ202" s="79">
        <f t="shared" si="924"/>
        <v>0</v>
      </c>
      <c r="EA202" s="79">
        <f t="shared" si="925"/>
        <v>0</v>
      </c>
      <c r="EB202">
        <f t="shared" si="926"/>
        <v>0</v>
      </c>
      <c r="EC202">
        <f t="shared" si="927"/>
        <v>1</v>
      </c>
    </row>
    <row r="203" spans="1:133">
      <c r="A203" s="164"/>
      <c r="B203" s="164"/>
      <c r="C203" s="164"/>
      <c r="D203" s="164"/>
      <c r="E203" s="164"/>
      <c r="F203" s="163"/>
      <c r="G203" s="164"/>
      <c r="H203" s="164"/>
      <c r="I203" s="164"/>
      <c r="J203" s="164"/>
      <c r="AH203" s="72">
        <f t="shared" si="838"/>
        <v>0</v>
      </c>
      <c r="AI203" s="72">
        <f t="shared" si="839"/>
        <v>0</v>
      </c>
      <c r="AJ203" s="72">
        <f t="shared" si="840"/>
        <v>0</v>
      </c>
      <c r="AK203" s="72">
        <f t="shared" si="841"/>
        <v>0</v>
      </c>
      <c r="AL203" s="72">
        <f t="shared" si="842"/>
        <v>0</v>
      </c>
      <c r="AM203" s="72">
        <f t="shared" si="843"/>
        <v>0</v>
      </c>
      <c r="AN203" s="72">
        <f t="shared" si="844"/>
        <v>0</v>
      </c>
      <c r="AO203" s="72">
        <f t="shared" si="845"/>
        <v>0</v>
      </c>
      <c r="AP203" s="72">
        <f t="shared" si="846"/>
        <v>0</v>
      </c>
      <c r="AQ203" s="72">
        <f t="shared" si="847"/>
        <v>0</v>
      </c>
      <c r="AR203" s="72">
        <f t="shared" si="848"/>
        <v>0</v>
      </c>
      <c r="AS203" s="72">
        <f t="shared" si="849"/>
        <v>0</v>
      </c>
      <c r="AT203" s="72">
        <f t="shared" si="850"/>
        <v>0</v>
      </c>
      <c r="AU203" s="72">
        <f t="shared" si="851"/>
        <v>0</v>
      </c>
      <c r="AV203" s="72">
        <f t="shared" si="852"/>
        <v>0</v>
      </c>
      <c r="AW203" s="72">
        <f t="shared" si="853"/>
        <v>0</v>
      </c>
      <c r="AX203" s="72">
        <f t="shared" si="854"/>
        <v>0</v>
      </c>
      <c r="AY203" s="72">
        <f t="shared" si="855"/>
        <v>0</v>
      </c>
      <c r="AZ203" s="72">
        <f t="shared" si="856"/>
        <v>0</v>
      </c>
      <c r="BA203" s="72">
        <f t="shared" si="857"/>
        <v>0</v>
      </c>
      <c r="BB203" s="72">
        <f t="shared" si="858"/>
        <v>0</v>
      </c>
      <c r="BC203" s="72">
        <f t="shared" si="859"/>
        <v>0</v>
      </c>
      <c r="BD203" s="72">
        <f t="shared" si="860"/>
        <v>0</v>
      </c>
      <c r="BE203" s="72">
        <f t="shared" si="861"/>
        <v>0</v>
      </c>
      <c r="BF203" s="72">
        <f t="shared" si="862"/>
        <v>0</v>
      </c>
      <c r="BG203" s="72">
        <f t="shared" si="863"/>
        <v>0</v>
      </c>
      <c r="BH203" s="72">
        <f t="shared" si="864"/>
        <v>0</v>
      </c>
      <c r="BI203" s="72">
        <f t="shared" si="865"/>
        <v>0</v>
      </c>
      <c r="BJ203" s="72">
        <f t="shared" si="866"/>
        <v>0</v>
      </c>
      <c r="BK203" s="72">
        <f t="shared" si="867"/>
        <v>0</v>
      </c>
      <c r="BL203" s="72">
        <f t="shared" si="868"/>
        <v>0</v>
      </c>
      <c r="BM203" s="72">
        <f t="shared" si="869"/>
        <v>0</v>
      </c>
      <c r="BN203" s="72">
        <f t="shared" si="870"/>
        <v>0</v>
      </c>
      <c r="BO203" s="72">
        <f t="shared" si="871"/>
        <v>0</v>
      </c>
      <c r="BP203" s="72">
        <f t="shared" si="872"/>
        <v>0</v>
      </c>
      <c r="BQ203" s="72">
        <f t="shared" si="873"/>
        <v>0</v>
      </c>
      <c r="BR203" s="72">
        <f t="shared" si="874"/>
        <v>0</v>
      </c>
      <c r="BS203" s="72">
        <f t="shared" si="875"/>
        <v>0</v>
      </c>
      <c r="BT203" s="72">
        <f t="shared" si="876"/>
        <v>0</v>
      </c>
      <c r="BU203" s="72">
        <f t="shared" si="877"/>
        <v>0</v>
      </c>
      <c r="BW203">
        <f t="shared" si="878"/>
        <v>0</v>
      </c>
      <c r="BX203">
        <f t="shared" si="879"/>
        <v>0</v>
      </c>
      <c r="BY203">
        <f t="shared" si="880"/>
        <v>0</v>
      </c>
      <c r="BZ203">
        <f t="shared" si="881"/>
        <v>0</v>
      </c>
      <c r="CA203">
        <f t="shared" si="882"/>
        <v>0</v>
      </c>
      <c r="CB203">
        <f t="shared" si="883"/>
        <v>0</v>
      </c>
      <c r="CD203">
        <f t="shared" si="884"/>
        <v>0</v>
      </c>
      <c r="CE203">
        <f t="shared" si="885"/>
        <v>0</v>
      </c>
      <c r="CF203">
        <f t="shared" si="886"/>
        <v>0</v>
      </c>
      <c r="CG203">
        <f t="shared" si="887"/>
        <v>0</v>
      </c>
      <c r="CH203">
        <f t="shared" si="888"/>
        <v>0</v>
      </c>
      <c r="CI203">
        <f t="shared" si="889"/>
        <v>0</v>
      </c>
      <c r="CK203">
        <f t="shared" si="890"/>
        <v>0</v>
      </c>
      <c r="CL203">
        <f t="shared" si="891"/>
        <v>0</v>
      </c>
      <c r="CM203">
        <f t="shared" si="892"/>
        <v>0</v>
      </c>
      <c r="CN203">
        <f t="shared" si="893"/>
        <v>0</v>
      </c>
      <c r="CO203">
        <f t="shared" si="894"/>
        <v>0</v>
      </c>
      <c r="CP203">
        <f t="shared" si="895"/>
        <v>0</v>
      </c>
      <c r="CR203">
        <f t="shared" si="896"/>
        <v>0</v>
      </c>
      <c r="CS203">
        <f t="shared" si="897"/>
        <v>0</v>
      </c>
      <c r="CT203">
        <f t="shared" si="898"/>
        <v>0</v>
      </c>
      <c r="CU203">
        <f t="shared" si="899"/>
        <v>0</v>
      </c>
      <c r="CV203">
        <f t="shared" si="900"/>
        <v>0</v>
      </c>
      <c r="CW203">
        <f t="shared" si="901"/>
        <v>0</v>
      </c>
      <c r="CY203">
        <f t="shared" si="902"/>
        <v>0</v>
      </c>
      <c r="CZ203">
        <f t="shared" si="903"/>
        <v>0</v>
      </c>
      <c r="DA203">
        <f t="shared" si="904"/>
        <v>0</v>
      </c>
      <c r="DB203">
        <f t="shared" si="905"/>
        <v>0</v>
      </c>
      <c r="DC203">
        <f t="shared" si="906"/>
        <v>0</v>
      </c>
      <c r="DD203">
        <f t="shared" si="907"/>
        <v>0</v>
      </c>
      <c r="DF203" s="79">
        <f t="shared" si="908"/>
        <v>0</v>
      </c>
      <c r="DG203" s="79">
        <f t="shared" si="909"/>
        <v>0</v>
      </c>
      <c r="DH203">
        <f t="shared" si="910"/>
        <v>0</v>
      </c>
      <c r="DI203">
        <f t="shared" si="911"/>
        <v>1</v>
      </c>
      <c r="DK203" s="79">
        <f t="shared" si="912"/>
        <v>0</v>
      </c>
      <c r="DL203" s="79">
        <f t="shared" si="913"/>
        <v>0</v>
      </c>
      <c r="DM203">
        <f t="shared" si="914"/>
        <v>1</v>
      </c>
      <c r="DN203">
        <f t="shared" si="915"/>
        <v>0</v>
      </c>
      <c r="DP203" s="79">
        <f t="shared" si="916"/>
        <v>0</v>
      </c>
      <c r="DQ203" s="79">
        <f t="shared" si="917"/>
        <v>0</v>
      </c>
      <c r="DR203">
        <f t="shared" si="918"/>
        <v>0</v>
      </c>
      <c r="DS203">
        <f t="shared" si="919"/>
        <v>1</v>
      </c>
      <c r="DU203" s="79">
        <f t="shared" si="920"/>
        <v>0</v>
      </c>
      <c r="DV203" s="79">
        <f t="shared" si="921"/>
        <v>0</v>
      </c>
      <c r="DW203">
        <f t="shared" si="922"/>
        <v>0</v>
      </c>
      <c r="DX203">
        <f t="shared" si="923"/>
        <v>1</v>
      </c>
      <c r="DZ203" s="79">
        <f t="shared" si="924"/>
        <v>0</v>
      </c>
      <c r="EA203" s="79">
        <f t="shared" si="925"/>
        <v>0</v>
      </c>
      <c r="EB203">
        <f t="shared" si="926"/>
        <v>0</v>
      </c>
      <c r="EC203">
        <f t="shared" si="927"/>
        <v>1</v>
      </c>
    </row>
    <row r="204" spans="1:133">
      <c r="A204" s="164"/>
      <c r="B204" s="164"/>
      <c r="C204" s="164"/>
      <c r="D204" s="164"/>
      <c r="E204" s="164"/>
      <c r="F204" s="163"/>
      <c r="G204" s="164"/>
      <c r="H204" s="164"/>
      <c r="I204" s="164"/>
      <c r="J204" s="164"/>
      <c r="AH204" s="72">
        <f t="shared" si="838"/>
        <v>0</v>
      </c>
      <c r="AI204" s="72">
        <f t="shared" si="839"/>
        <v>0</v>
      </c>
      <c r="AJ204" s="72">
        <f t="shared" si="840"/>
        <v>0</v>
      </c>
      <c r="AK204" s="72">
        <f t="shared" si="841"/>
        <v>0</v>
      </c>
      <c r="AL204" s="72">
        <f t="shared" si="842"/>
        <v>0</v>
      </c>
      <c r="AM204" s="72">
        <f t="shared" si="843"/>
        <v>0</v>
      </c>
      <c r="AN204" s="72">
        <f t="shared" si="844"/>
        <v>0</v>
      </c>
      <c r="AO204" s="72">
        <f t="shared" si="845"/>
        <v>0</v>
      </c>
      <c r="AP204" s="72">
        <f t="shared" si="846"/>
        <v>0</v>
      </c>
      <c r="AQ204" s="72">
        <f t="shared" si="847"/>
        <v>0</v>
      </c>
      <c r="AR204" s="72">
        <f t="shared" si="848"/>
        <v>0</v>
      </c>
      <c r="AS204" s="72">
        <f t="shared" si="849"/>
        <v>0</v>
      </c>
      <c r="AT204" s="72">
        <f t="shared" si="850"/>
        <v>0</v>
      </c>
      <c r="AU204" s="72">
        <f t="shared" si="851"/>
        <v>0</v>
      </c>
      <c r="AV204" s="72">
        <f t="shared" si="852"/>
        <v>0</v>
      </c>
      <c r="AW204" s="72">
        <f t="shared" si="853"/>
        <v>0</v>
      </c>
      <c r="AX204" s="72">
        <f t="shared" si="854"/>
        <v>0</v>
      </c>
      <c r="AY204" s="72">
        <f t="shared" si="855"/>
        <v>0</v>
      </c>
      <c r="AZ204" s="72">
        <f t="shared" si="856"/>
        <v>0</v>
      </c>
      <c r="BA204" s="72">
        <f t="shared" si="857"/>
        <v>0</v>
      </c>
      <c r="BB204" s="72">
        <f t="shared" si="858"/>
        <v>0</v>
      </c>
      <c r="BC204" s="72">
        <f t="shared" si="859"/>
        <v>0</v>
      </c>
      <c r="BD204" s="72">
        <f t="shared" si="860"/>
        <v>0</v>
      </c>
      <c r="BE204" s="72">
        <f t="shared" si="861"/>
        <v>0</v>
      </c>
      <c r="BF204" s="72">
        <f t="shared" si="862"/>
        <v>0</v>
      </c>
      <c r="BG204" s="72">
        <f t="shared" si="863"/>
        <v>0</v>
      </c>
      <c r="BH204" s="72">
        <f t="shared" si="864"/>
        <v>0</v>
      </c>
      <c r="BI204" s="72">
        <f t="shared" si="865"/>
        <v>0</v>
      </c>
      <c r="BJ204" s="72">
        <f t="shared" si="866"/>
        <v>0</v>
      </c>
      <c r="BK204" s="72">
        <f t="shared" si="867"/>
        <v>0</v>
      </c>
      <c r="BL204" s="72">
        <f t="shared" si="868"/>
        <v>0</v>
      </c>
      <c r="BM204" s="72">
        <f t="shared" si="869"/>
        <v>0</v>
      </c>
      <c r="BN204" s="72">
        <f t="shared" si="870"/>
        <v>0</v>
      </c>
      <c r="BO204" s="72">
        <f t="shared" si="871"/>
        <v>0</v>
      </c>
      <c r="BP204" s="72">
        <f t="shared" si="872"/>
        <v>0</v>
      </c>
      <c r="BQ204" s="72">
        <f t="shared" si="873"/>
        <v>0</v>
      </c>
      <c r="BR204" s="72">
        <f t="shared" si="874"/>
        <v>0</v>
      </c>
      <c r="BS204" s="72">
        <f t="shared" si="875"/>
        <v>0</v>
      </c>
      <c r="BT204" s="72">
        <f t="shared" si="876"/>
        <v>0</v>
      </c>
      <c r="BU204" s="72">
        <f t="shared" si="877"/>
        <v>0</v>
      </c>
      <c r="BW204">
        <f t="shared" si="878"/>
        <v>0</v>
      </c>
      <c r="BX204">
        <f t="shared" si="879"/>
        <v>0</v>
      </c>
      <c r="BY204">
        <f t="shared" si="880"/>
        <v>0</v>
      </c>
      <c r="BZ204">
        <f t="shared" si="881"/>
        <v>0</v>
      </c>
      <c r="CA204">
        <f t="shared" si="882"/>
        <v>0</v>
      </c>
      <c r="CB204">
        <f t="shared" si="883"/>
        <v>0</v>
      </c>
      <c r="CD204">
        <f t="shared" si="884"/>
        <v>0</v>
      </c>
      <c r="CE204">
        <f t="shared" si="885"/>
        <v>0</v>
      </c>
      <c r="CF204">
        <f t="shared" si="886"/>
        <v>0</v>
      </c>
      <c r="CG204">
        <f t="shared" si="887"/>
        <v>0</v>
      </c>
      <c r="CH204">
        <f t="shared" si="888"/>
        <v>0</v>
      </c>
      <c r="CI204">
        <f t="shared" si="889"/>
        <v>0</v>
      </c>
      <c r="CK204">
        <f t="shared" si="890"/>
        <v>0</v>
      </c>
      <c r="CL204">
        <f t="shared" si="891"/>
        <v>0</v>
      </c>
      <c r="CM204">
        <f t="shared" si="892"/>
        <v>0</v>
      </c>
      <c r="CN204">
        <f t="shared" si="893"/>
        <v>0</v>
      </c>
      <c r="CO204">
        <f t="shared" si="894"/>
        <v>0</v>
      </c>
      <c r="CP204">
        <f t="shared" si="895"/>
        <v>0</v>
      </c>
      <c r="CR204">
        <f t="shared" si="896"/>
        <v>0</v>
      </c>
      <c r="CS204">
        <f t="shared" si="897"/>
        <v>0</v>
      </c>
      <c r="CT204">
        <f t="shared" si="898"/>
        <v>0</v>
      </c>
      <c r="CU204">
        <f t="shared" si="899"/>
        <v>0</v>
      </c>
      <c r="CV204">
        <f t="shared" si="900"/>
        <v>0</v>
      </c>
      <c r="CW204">
        <f t="shared" si="901"/>
        <v>0</v>
      </c>
      <c r="CY204">
        <f t="shared" si="902"/>
        <v>0</v>
      </c>
      <c r="CZ204">
        <f t="shared" si="903"/>
        <v>0</v>
      </c>
      <c r="DA204">
        <f t="shared" si="904"/>
        <v>0</v>
      </c>
      <c r="DB204">
        <f t="shared" si="905"/>
        <v>0</v>
      </c>
      <c r="DC204">
        <f t="shared" si="906"/>
        <v>0</v>
      </c>
      <c r="DD204">
        <f t="shared" si="907"/>
        <v>0</v>
      </c>
      <c r="DF204" s="79">
        <f t="shared" si="908"/>
        <v>0</v>
      </c>
      <c r="DG204" s="79">
        <f t="shared" si="909"/>
        <v>0</v>
      </c>
      <c r="DH204">
        <f t="shared" si="910"/>
        <v>0</v>
      </c>
      <c r="DI204">
        <f t="shared" si="911"/>
        <v>1</v>
      </c>
      <c r="DK204" s="79">
        <f t="shared" si="912"/>
        <v>0</v>
      </c>
      <c r="DL204" s="79">
        <f t="shared" si="913"/>
        <v>0</v>
      </c>
      <c r="DM204">
        <f t="shared" si="914"/>
        <v>1</v>
      </c>
      <c r="DN204">
        <f t="shared" si="915"/>
        <v>0</v>
      </c>
      <c r="DP204" s="79">
        <f t="shared" si="916"/>
        <v>0</v>
      </c>
      <c r="DQ204" s="79">
        <f t="shared" si="917"/>
        <v>0</v>
      </c>
      <c r="DR204">
        <f t="shared" si="918"/>
        <v>0</v>
      </c>
      <c r="DS204">
        <f t="shared" si="919"/>
        <v>1</v>
      </c>
      <c r="DU204" s="79">
        <f t="shared" si="920"/>
        <v>0</v>
      </c>
      <c r="DV204" s="79">
        <f t="shared" si="921"/>
        <v>0</v>
      </c>
      <c r="DW204">
        <f t="shared" si="922"/>
        <v>0</v>
      </c>
      <c r="DX204">
        <f t="shared" si="923"/>
        <v>1</v>
      </c>
      <c r="DZ204" s="79">
        <f t="shared" si="924"/>
        <v>0</v>
      </c>
      <c r="EA204" s="79">
        <f t="shared" si="925"/>
        <v>0</v>
      </c>
      <c r="EB204">
        <f t="shared" si="926"/>
        <v>0</v>
      </c>
      <c r="EC204">
        <f t="shared" si="927"/>
        <v>1</v>
      </c>
    </row>
    <row r="205" spans="1:133">
      <c r="A205" s="164"/>
      <c r="B205" s="164"/>
      <c r="C205" s="164"/>
      <c r="D205" s="164"/>
      <c r="E205" s="164"/>
      <c r="F205" s="163"/>
      <c r="G205" s="164"/>
      <c r="H205" s="164"/>
      <c r="I205" s="164"/>
      <c r="J205" s="164"/>
      <c r="AH205" s="72">
        <f t="shared" si="838"/>
        <v>0</v>
      </c>
      <c r="AI205" s="72">
        <f t="shared" si="839"/>
        <v>0</v>
      </c>
      <c r="AJ205" s="72">
        <f t="shared" si="840"/>
        <v>0</v>
      </c>
      <c r="AK205" s="72">
        <f t="shared" si="841"/>
        <v>0</v>
      </c>
      <c r="AL205" s="72">
        <f t="shared" si="842"/>
        <v>0</v>
      </c>
      <c r="AM205" s="72">
        <f t="shared" si="843"/>
        <v>0</v>
      </c>
      <c r="AN205" s="72">
        <f t="shared" si="844"/>
        <v>0</v>
      </c>
      <c r="AO205" s="72">
        <f t="shared" si="845"/>
        <v>0</v>
      </c>
      <c r="AP205" s="72">
        <f t="shared" si="846"/>
        <v>0</v>
      </c>
      <c r="AQ205" s="72">
        <f t="shared" si="847"/>
        <v>0</v>
      </c>
      <c r="AR205" s="72">
        <f t="shared" si="848"/>
        <v>0</v>
      </c>
      <c r="AS205" s="72">
        <f t="shared" si="849"/>
        <v>0</v>
      </c>
      <c r="AT205" s="72">
        <f t="shared" si="850"/>
        <v>0</v>
      </c>
      <c r="AU205" s="72">
        <f t="shared" si="851"/>
        <v>0</v>
      </c>
      <c r="AV205" s="72">
        <f t="shared" si="852"/>
        <v>0</v>
      </c>
      <c r="AW205" s="72">
        <f t="shared" si="853"/>
        <v>0</v>
      </c>
      <c r="AX205" s="72">
        <f t="shared" si="854"/>
        <v>0</v>
      </c>
      <c r="AY205" s="72">
        <f t="shared" si="855"/>
        <v>0</v>
      </c>
      <c r="AZ205" s="72">
        <f t="shared" si="856"/>
        <v>0</v>
      </c>
      <c r="BA205" s="72">
        <f t="shared" si="857"/>
        <v>0</v>
      </c>
      <c r="BB205" s="72">
        <f t="shared" si="858"/>
        <v>0</v>
      </c>
      <c r="BC205" s="72">
        <f t="shared" si="859"/>
        <v>0</v>
      </c>
      <c r="BD205" s="72">
        <f t="shared" si="860"/>
        <v>0</v>
      </c>
      <c r="BE205" s="72">
        <f t="shared" si="861"/>
        <v>0</v>
      </c>
      <c r="BF205" s="72">
        <f t="shared" si="862"/>
        <v>0</v>
      </c>
      <c r="BG205" s="72">
        <f t="shared" si="863"/>
        <v>0</v>
      </c>
      <c r="BH205" s="72">
        <f t="shared" si="864"/>
        <v>0</v>
      </c>
      <c r="BI205" s="72">
        <f t="shared" si="865"/>
        <v>0</v>
      </c>
      <c r="BJ205" s="72">
        <f t="shared" si="866"/>
        <v>0</v>
      </c>
      <c r="BK205" s="72">
        <f t="shared" si="867"/>
        <v>0</v>
      </c>
      <c r="BL205" s="72">
        <f t="shared" si="868"/>
        <v>0</v>
      </c>
      <c r="BM205" s="72">
        <f t="shared" si="869"/>
        <v>0</v>
      </c>
      <c r="BN205" s="72">
        <f t="shared" si="870"/>
        <v>0</v>
      </c>
      <c r="BO205" s="72">
        <f t="shared" si="871"/>
        <v>0</v>
      </c>
      <c r="BP205" s="72">
        <f t="shared" si="872"/>
        <v>0</v>
      </c>
      <c r="BQ205" s="72">
        <f t="shared" si="873"/>
        <v>0</v>
      </c>
      <c r="BR205" s="72">
        <f t="shared" si="874"/>
        <v>0</v>
      </c>
      <c r="BS205" s="72">
        <f t="shared" si="875"/>
        <v>0</v>
      </c>
      <c r="BT205" s="72">
        <f t="shared" si="876"/>
        <v>0</v>
      </c>
      <c r="BU205" s="72">
        <f t="shared" si="877"/>
        <v>0</v>
      </c>
      <c r="BW205">
        <f t="shared" si="878"/>
        <v>0</v>
      </c>
      <c r="BX205">
        <f t="shared" si="879"/>
        <v>0</v>
      </c>
      <c r="BY205">
        <f t="shared" si="880"/>
        <v>0</v>
      </c>
      <c r="BZ205">
        <f t="shared" si="881"/>
        <v>0</v>
      </c>
      <c r="CA205">
        <f t="shared" si="882"/>
        <v>0</v>
      </c>
      <c r="CB205">
        <f t="shared" si="883"/>
        <v>0</v>
      </c>
      <c r="CD205">
        <f t="shared" si="884"/>
        <v>0</v>
      </c>
      <c r="CE205">
        <f t="shared" si="885"/>
        <v>0</v>
      </c>
      <c r="CF205">
        <f t="shared" si="886"/>
        <v>0</v>
      </c>
      <c r="CG205">
        <f t="shared" si="887"/>
        <v>0</v>
      </c>
      <c r="CH205">
        <f t="shared" si="888"/>
        <v>0</v>
      </c>
      <c r="CI205">
        <f t="shared" si="889"/>
        <v>0</v>
      </c>
      <c r="CK205">
        <f t="shared" si="890"/>
        <v>0</v>
      </c>
      <c r="CL205">
        <f t="shared" si="891"/>
        <v>0</v>
      </c>
      <c r="CM205">
        <f t="shared" si="892"/>
        <v>0</v>
      </c>
      <c r="CN205">
        <f t="shared" si="893"/>
        <v>0</v>
      </c>
      <c r="CO205">
        <f t="shared" si="894"/>
        <v>0</v>
      </c>
      <c r="CP205">
        <f t="shared" si="895"/>
        <v>0</v>
      </c>
      <c r="CR205">
        <f t="shared" si="896"/>
        <v>0</v>
      </c>
      <c r="CS205">
        <f t="shared" si="897"/>
        <v>0</v>
      </c>
      <c r="CT205">
        <f t="shared" si="898"/>
        <v>0</v>
      </c>
      <c r="CU205">
        <f t="shared" si="899"/>
        <v>0</v>
      </c>
      <c r="CV205">
        <f t="shared" si="900"/>
        <v>0</v>
      </c>
      <c r="CW205">
        <f t="shared" si="901"/>
        <v>0</v>
      </c>
      <c r="CY205">
        <f t="shared" si="902"/>
        <v>0</v>
      </c>
      <c r="CZ205">
        <f t="shared" si="903"/>
        <v>0</v>
      </c>
      <c r="DA205">
        <f t="shared" si="904"/>
        <v>0</v>
      </c>
      <c r="DB205">
        <f t="shared" si="905"/>
        <v>0</v>
      </c>
      <c r="DC205">
        <f t="shared" si="906"/>
        <v>0</v>
      </c>
      <c r="DD205">
        <f t="shared" si="907"/>
        <v>0</v>
      </c>
      <c r="DF205" s="79">
        <f t="shared" si="908"/>
        <v>0</v>
      </c>
      <c r="DG205" s="79">
        <f t="shared" si="909"/>
        <v>0</v>
      </c>
      <c r="DH205">
        <f t="shared" si="910"/>
        <v>0</v>
      </c>
      <c r="DI205">
        <f t="shared" si="911"/>
        <v>1</v>
      </c>
      <c r="DK205" s="79">
        <f t="shared" si="912"/>
        <v>0</v>
      </c>
      <c r="DL205" s="79">
        <f t="shared" si="913"/>
        <v>0</v>
      </c>
      <c r="DM205">
        <f t="shared" si="914"/>
        <v>1</v>
      </c>
      <c r="DN205">
        <f t="shared" si="915"/>
        <v>0</v>
      </c>
      <c r="DP205" s="79">
        <f t="shared" si="916"/>
        <v>0</v>
      </c>
      <c r="DQ205" s="79">
        <f t="shared" si="917"/>
        <v>0</v>
      </c>
      <c r="DR205">
        <f t="shared" si="918"/>
        <v>0</v>
      </c>
      <c r="DS205">
        <f t="shared" si="919"/>
        <v>1</v>
      </c>
      <c r="DU205" s="79">
        <f t="shared" si="920"/>
        <v>0</v>
      </c>
      <c r="DV205" s="79">
        <f t="shared" si="921"/>
        <v>0</v>
      </c>
      <c r="DW205">
        <f t="shared" si="922"/>
        <v>0</v>
      </c>
      <c r="DX205">
        <f t="shared" si="923"/>
        <v>1</v>
      </c>
      <c r="DZ205" s="79">
        <f t="shared" si="924"/>
        <v>0</v>
      </c>
      <c r="EA205" s="79">
        <f t="shared" si="925"/>
        <v>0</v>
      </c>
      <c r="EB205">
        <f t="shared" si="926"/>
        <v>0</v>
      </c>
      <c r="EC205">
        <f t="shared" si="927"/>
        <v>1</v>
      </c>
    </row>
    <row r="206" spans="1:133">
      <c r="A206" s="164"/>
      <c r="B206" s="164"/>
      <c r="C206" s="164"/>
      <c r="D206" s="164"/>
      <c r="E206" s="164"/>
      <c r="F206" s="163"/>
      <c r="G206" s="164"/>
      <c r="H206" s="164"/>
      <c r="I206" s="164"/>
      <c r="J206" s="164"/>
      <c r="AH206" s="72">
        <f t="shared" si="838"/>
        <v>0</v>
      </c>
      <c r="AI206" s="72">
        <f t="shared" si="839"/>
        <v>0</v>
      </c>
      <c r="AJ206" s="72">
        <f t="shared" si="840"/>
        <v>0</v>
      </c>
      <c r="AK206" s="72">
        <f t="shared" si="841"/>
        <v>0</v>
      </c>
      <c r="AL206" s="72">
        <f t="shared" si="842"/>
        <v>0</v>
      </c>
      <c r="AM206" s="72">
        <f t="shared" si="843"/>
        <v>0</v>
      </c>
      <c r="AN206" s="72">
        <f t="shared" si="844"/>
        <v>0</v>
      </c>
      <c r="AO206" s="72">
        <f t="shared" si="845"/>
        <v>0</v>
      </c>
      <c r="AP206" s="72">
        <f t="shared" si="846"/>
        <v>0</v>
      </c>
      <c r="AQ206" s="72">
        <f t="shared" si="847"/>
        <v>0</v>
      </c>
      <c r="AR206" s="72">
        <f t="shared" si="848"/>
        <v>0</v>
      </c>
      <c r="AS206" s="72">
        <f t="shared" si="849"/>
        <v>0</v>
      </c>
      <c r="AT206" s="72">
        <f t="shared" si="850"/>
        <v>0</v>
      </c>
      <c r="AU206" s="72">
        <f t="shared" si="851"/>
        <v>0</v>
      </c>
      <c r="AV206" s="72">
        <f t="shared" si="852"/>
        <v>0</v>
      </c>
      <c r="AW206" s="72">
        <f t="shared" si="853"/>
        <v>0</v>
      </c>
      <c r="AX206" s="72">
        <f t="shared" si="854"/>
        <v>0</v>
      </c>
      <c r="AY206" s="72">
        <f t="shared" si="855"/>
        <v>0</v>
      </c>
      <c r="AZ206" s="72">
        <f t="shared" si="856"/>
        <v>0</v>
      </c>
      <c r="BA206" s="72">
        <f t="shared" si="857"/>
        <v>0</v>
      </c>
      <c r="BB206" s="72">
        <f t="shared" si="858"/>
        <v>0</v>
      </c>
      <c r="BC206" s="72">
        <f t="shared" si="859"/>
        <v>0</v>
      </c>
      <c r="BD206" s="72">
        <f t="shared" si="860"/>
        <v>0</v>
      </c>
      <c r="BE206" s="72">
        <f t="shared" si="861"/>
        <v>0</v>
      </c>
      <c r="BF206" s="72">
        <f t="shared" si="862"/>
        <v>0</v>
      </c>
      <c r="BG206" s="72">
        <f t="shared" si="863"/>
        <v>0</v>
      </c>
      <c r="BH206" s="72">
        <f t="shared" si="864"/>
        <v>0</v>
      </c>
      <c r="BI206" s="72">
        <f t="shared" si="865"/>
        <v>0</v>
      </c>
      <c r="BJ206" s="72">
        <f t="shared" si="866"/>
        <v>0</v>
      </c>
      <c r="BK206" s="72">
        <f t="shared" si="867"/>
        <v>0</v>
      </c>
      <c r="BL206" s="72">
        <f t="shared" si="868"/>
        <v>0</v>
      </c>
      <c r="BM206" s="72">
        <f t="shared" si="869"/>
        <v>0</v>
      </c>
      <c r="BN206" s="72">
        <f t="shared" si="870"/>
        <v>0</v>
      </c>
      <c r="BO206" s="72">
        <f t="shared" si="871"/>
        <v>0</v>
      </c>
      <c r="BP206" s="72">
        <f t="shared" si="872"/>
        <v>0</v>
      </c>
      <c r="BQ206" s="72">
        <f t="shared" si="873"/>
        <v>0</v>
      </c>
      <c r="BR206" s="72">
        <f t="shared" si="874"/>
        <v>0</v>
      </c>
      <c r="BS206" s="72">
        <f t="shared" si="875"/>
        <v>0</v>
      </c>
      <c r="BT206" s="72">
        <f t="shared" si="876"/>
        <v>0</v>
      </c>
      <c r="BU206" s="72">
        <f t="shared" si="877"/>
        <v>0</v>
      </c>
      <c r="BW206">
        <f t="shared" si="878"/>
        <v>0</v>
      </c>
      <c r="BX206">
        <f t="shared" si="879"/>
        <v>0</v>
      </c>
      <c r="BY206">
        <f t="shared" si="880"/>
        <v>0</v>
      </c>
      <c r="BZ206">
        <f t="shared" si="881"/>
        <v>0</v>
      </c>
      <c r="CA206">
        <f t="shared" si="882"/>
        <v>0</v>
      </c>
      <c r="CB206">
        <f t="shared" si="883"/>
        <v>0</v>
      </c>
      <c r="CD206">
        <f t="shared" si="884"/>
        <v>0</v>
      </c>
      <c r="CE206">
        <f t="shared" si="885"/>
        <v>0</v>
      </c>
      <c r="CF206">
        <f t="shared" si="886"/>
        <v>0</v>
      </c>
      <c r="CG206">
        <f t="shared" si="887"/>
        <v>0</v>
      </c>
      <c r="CH206">
        <f t="shared" si="888"/>
        <v>0</v>
      </c>
      <c r="CI206">
        <f t="shared" si="889"/>
        <v>0</v>
      </c>
      <c r="CK206">
        <f t="shared" si="890"/>
        <v>0</v>
      </c>
      <c r="CL206">
        <f t="shared" si="891"/>
        <v>0</v>
      </c>
      <c r="CM206">
        <f t="shared" si="892"/>
        <v>0</v>
      </c>
      <c r="CN206">
        <f t="shared" si="893"/>
        <v>0</v>
      </c>
      <c r="CO206">
        <f t="shared" si="894"/>
        <v>0</v>
      </c>
      <c r="CP206">
        <f t="shared" si="895"/>
        <v>0</v>
      </c>
      <c r="CR206">
        <f t="shared" si="896"/>
        <v>0</v>
      </c>
      <c r="CS206">
        <f t="shared" si="897"/>
        <v>0</v>
      </c>
      <c r="CT206">
        <f t="shared" si="898"/>
        <v>0</v>
      </c>
      <c r="CU206">
        <f t="shared" si="899"/>
        <v>0</v>
      </c>
      <c r="CV206">
        <f t="shared" si="900"/>
        <v>0</v>
      </c>
      <c r="CW206">
        <f t="shared" si="901"/>
        <v>0</v>
      </c>
      <c r="CY206">
        <f t="shared" si="902"/>
        <v>0</v>
      </c>
      <c r="CZ206">
        <f t="shared" si="903"/>
        <v>0</v>
      </c>
      <c r="DA206">
        <f t="shared" si="904"/>
        <v>0</v>
      </c>
      <c r="DB206">
        <f t="shared" si="905"/>
        <v>0</v>
      </c>
      <c r="DC206">
        <f t="shared" si="906"/>
        <v>0</v>
      </c>
      <c r="DD206">
        <f t="shared" si="907"/>
        <v>0</v>
      </c>
      <c r="DF206" s="79">
        <f t="shared" si="908"/>
        <v>0</v>
      </c>
      <c r="DG206" s="79">
        <f t="shared" si="909"/>
        <v>0</v>
      </c>
      <c r="DH206">
        <f t="shared" si="910"/>
        <v>0</v>
      </c>
      <c r="DI206">
        <f t="shared" si="911"/>
        <v>1</v>
      </c>
      <c r="DK206" s="79">
        <f t="shared" si="912"/>
        <v>0</v>
      </c>
      <c r="DL206" s="79">
        <f t="shared" si="913"/>
        <v>0</v>
      </c>
      <c r="DM206">
        <f t="shared" si="914"/>
        <v>1</v>
      </c>
      <c r="DN206">
        <f t="shared" si="915"/>
        <v>0</v>
      </c>
      <c r="DP206" s="79">
        <f t="shared" si="916"/>
        <v>0</v>
      </c>
      <c r="DQ206" s="79">
        <f t="shared" si="917"/>
        <v>0</v>
      </c>
      <c r="DR206">
        <f t="shared" si="918"/>
        <v>0</v>
      </c>
      <c r="DS206">
        <f t="shared" si="919"/>
        <v>1</v>
      </c>
      <c r="DU206" s="79">
        <f t="shared" si="920"/>
        <v>0</v>
      </c>
      <c r="DV206" s="79">
        <f t="shared" si="921"/>
        <v>0</v>
      </c>
      <c r="DW206">
        <f t="shared" si="922"/>
        <v>0</v>
      </c>
      <c r="DX206">
        <f t="shared" si="923"/>
        <v>1</v>
      </c>
      <c r="DZ206" s="79">
        <f t="shared" si="924"/>
        <v>0</v>
      </c>
      <c r="EA206" s="79">
        <f t="shared" si="925"/>
        <v>0</v>
      </c>
      <c r="EB206">
        <f t="shared" si="926"/>
        <v>0</v>
      </c>
      <c r="EC206">
        <f t="shared" si="927"/>
        <v>1</v>
      </c>
    </row>
    <row r="207" spans="1:133">
      <c r="A207" s="164"/>
      <c r="B207" s="164"/>
      <c r="C207" s="164"/>
      <c r="D207" s="164"/>
      <c r="E207" s="164"/>
      <c r="F207" s="163"/>
      <c r="G207" s="164"/>
      <c r="H207" s="164"/>
      <c r="I207" s="164"/>
      <c r="J207" s="164"/>
      <c r="AH207" s="72">
        <f t="shared" si="838"/>
        <v>0</v>
      </c>
      <c r="AI207" s="72">
        <f t="shared" si="839"/>
        <v>0</v>
      </c>
      <c r="AJ207" s="72">
        <f t="shared" si="840"/>
        <v>0</v>
      </c>
      <c r="AK207" s="72">
        <f t="shared" si="841"/>
        <v>0</v>
      </c>
      <c r="AL207" s="72">
        <f t="shared" si="842"/>
        <v>0</v>
      </c>
      <c r="AM207" s="72">
        <f t="shared" si="843"/>
        <v>0</v>
      </c>
      <c r="AN207" s="72">
        <f t="shared" si="844"/>
        <v>0</v>
      </c>
      <c r="AO207" s="72">
        <f t="shared" si="845"/>
        <v>0</v>
      </c>
      <c r="AP207" s="72">
        <f t="shared" si="846"/>
        <v>0</v>
      </c>
      <c r="AQ207" s="72">
        <f t="shared" si="847"/>
        <v>0</v>
      </c>
      <c r="AR207" s="72">
        <f t="shared" si="848"/>
        <v>0</v>
      </c>
      <c r="AS207" s="72">
        <f t="shared" si="849"/>
        <v>0</v>
      </c>
      <c r="AT207" s="72">
        <f t="shared" si="850"/>
        <v>0</v>
      </c>
      <c r="AU207" s="72">
        <f t="shared" si="851"/>
        <v>0</v>
      </c>
      <c r="AV207" s="72">
        <f t="shared" si="852"/>
        <v>0</v>
      </c>
      <c r="AW207" s="72">
        <f t="shared" si="853"/>
        <v>0</v>
      </c>
      <c r="AX207" s="72">
        <f t="shared" si="854"/>
        <v>0</v>
      </c>
      <c r="AY207" s="72">
        <f t="shared" si="855"/>
        <v>0</v>
      </c>
      <c r="AZ207" s="72">
        <f t="shared" si="856"/>
        <v>0</v>
      </c>
      <c r="BA207" s="72">
        <f t="shared" si="857"/>
        <v>0</v>
      </c>
      <c r="BB207" s="72">
        <f t="shared" si="858"/>
        <v>0</v>
      </c>
      <c r="BC207" s="72">
        <f t="shared" si="859"/>
        <v>0</v>
      </c>
      <c r="BD207" s="72">
        <f t="shared" si="860"/>
        <v>0</v>
      </c>
      <c r="BE207" s="72">
        <f t="shared" si="861"/>
        <v>0</v>
      </c>
      <c r="BF207" s="72">
        <f t="shared" si="862"/>
        <v>0</v>
      </c>
      <c r="BG207" s="72">
        <f t="shared" si="863"/>
        <v>0</v>
      </c>
      <c r="BH207" s="72">
        <f t="shared" si="864"/>
        <v>0</v>
      </c>
      <c r="BI207" s="72">
        <f t="shared" si="865"/>
        <v>0</v>
      </c>
      <c r="BJ207" s="72">
        <f t="shared" si="866"/>
        <v>0</v>
      </c>
      <c r="BK207" s="72">
        <f t="shared" si="867"/>
        <v>0</v>
      </c>
      <c r="BL207" s="72">
        <f t="shared" si="868"/>
        <v>0</v>
      </c>
      <c r="BM207" s="72">
        <f t="shared" si="869"/>
        <v>0</v>
      </c>
      <c r="BN207" s="72">
        <f t="shared" si="870"/>
        <v>0</v>
      </c>
      <c r="BO207" s="72">
        <f t="shared" si="871"/>
        <v>0</v>
      </c>
      <c r="BP207" s="72">
        <f t="shared" si="872"/>
        <v>0</v>
      </c>
      <c r="BQ207" s="72">
        <f t="shared" si="873"/>
        <v>0</v>
      </c>
      <c r="BR207" s="72">
        <f t="shared" si="874"/>
        <v>0</v>
      </c>
      <c r="BS207" s="72">
        <f t="shared" si="875"/>
        <v>0</v>
      </c>
      <c r="BT207" s="72">
        <f t="shared" si="876"/>
        <v>0</v>
      </c>
      <c r="BU207" s="72">
        <f t="shared" si="877"/>
        <v>0</v>
      </c>
      <c r="BW207">
        <f t="shared" si="878"/>
        <v>0</v>
      </c>
      <c r="BX207">
        <f t="shared" si="879"/>
        <v>0</v>
      </c>
      <c r="BY207">
        <f t="shared" si="880"/>
        <v>0</v>
      </c>
      <c r="BZ207">
        <f t="shared" si="881"/>
        <v>0</v>
      </c>
      <c r="CA207">
        <f t="shared" si="882"/>
        <v>0</v>
      </c>
      <c r="CB207">
        <f t="shared" si="883"/>
        <v>0</v>
      </c>
      <c r="CD207">
        <f t="shared" si="884"/>
        <v>0</v>
      </c>
      <c r="CE207">
        <f t="shared" si="885"/>
        <v>0</v>
      </c>
      <c r="CF207">
        <f t="shared" si="886"/>
        <v>0</v>
      </c>
      <c r="CG207">
        <f t="shared" si="887"/>
        <v>0</v>
      </c>
      <c r="CH207">
        <f t="shared" si="888"/>
        <v>0</v>
      </c>
      <c r="CI207">
        <f t="shared" si="889"/>
        <v>0</v>
      </c>
      <c r="CK207">
        <f t="shared" si="890"/>
        <v>0</v>
      </c>
      <c r="CL207">
        <f t="shared" si="891"/>
        <v>0</v>
      </c>
      <c r="CM207">
        <f t="shared" si="892"/>
        <v>0</v>
      </c>
      <c r="CN207">
        <f t="shared" si="893"/>
        <v>0</v>
      </c>
      <c r="CO207">
        <f t="shared" si="894"/>
        <v>0</v>
      </c>
      <c r="CP207">
        <f t="shared" si="895"/>
        <v>0</v>
      </c>
      <c r="CR207">
        <f t="shared" si="896"/>
        <v>0</v>
      </c>
      <c r="CS207">
        <f t="shared" si="897"/>
        <v>0</v>
      </c>
      <c r="CT207">
        <f t="shared" si="898"/>
        <v>0</v>
      </c>
      <c r="CU207">
        <f t="shared" si="899"/>
        <v>0</v>
      </c>
      <c r="CV207">
        <f t="shared" si="900"/>
        <v>0</v>
      </c>
      <c r="CW207">
        <f t="shared" si="901"/>
        <v>0</v>
      </c>
      <c r="CY207">
        <f t="shared" si="902"/>
        <v>0</v>
      </c>
      <c r="CZ207">
        <f t="shared" si="903"/>
        <v>0</v>
      </c>
      <c r="DA207">
        <f t="shared" si="904"/>
        <v>0</v>
      </c>
      <c r="DB207">
        <f t="shared" si="905"/>
        <v>0</v>
      </c>
      <c r="DC207">
        <f t="shared" si="906"/>
        <v>0</v>
      </c>
      <c r="DD207">
        <f t="shared" si="907"/>
        <v>0</v>
      </c>
      <c r="DF207" s="79">
        <f t="shared" si="908"/>
        <v>0</v>
      </c>
      <c r="DG207" s="79">
        <f t="shared" si="909"/>
        <v>0</v>
      </c>
      <c r="DH207">
        <f t="shared" si="910"/>
        <v>0</v>
      </c>
      <c r="DI207">
        <f t="shared" si="911"/>
        <v>1</v>
      </c>
      <c r="DK207" s="79">
        <f t="shared" si="912"/>
        <v>0</v>
      </c>
      <c r="DL207" s="79">
        <f t="shared" si="913"/>
        <v>0</v>
      </c>
      <c r="DM207">
        <f t="shared" si="914"/>
        <v>1</v>
      </c>
      <c r="DN207">
        <f t="shared" si="915"/>
        <v>0</v>
      </c>
      <c r="DP207" s="79">
        <f t="shared" si="916"/>
        <v>0</v>
      </c>
      <c r="DQ207" s="79">
        <f t="shared" si="917"/>
        <v>0</v>
      </c>
      <c r="DR207">
        <f t="shared" si="918"/>
        <v>0</v>
      </c>
      <c r="DS207">
        <f t="shared" si="919"/>
        <v>1</v>
      </c>
      <c r="DU207" s="79">
        <f t="shared" si="920"/>
        <v>0</v>
      </c>
      <c r="DV207" s="79">
        <f t="shared" si="921"/>
        <v>0</v>
      </c>
      <c r="DW207">
        <f t="shared" si="922"/>
        <v>0</v>
      </c>
      <c r="DX207">
        <f t="shared" si="923"/>
        <v>1</v>
      </c>
      <c r="DZ207" s="79">
        <f t="shared" si="924"/>
        <v>0</v>
      </c>
      <c r="EA207" s="79">
        <f t="shared" si="925"/>
        <v>0</v>
      </c>
      <c r="EB207">
        <f t="shared" si="926"/>
        <v>0</v>
      </c>
      <c r="EC207">
        <f t="shared" si="927"/>
        <v>1</v>
      </c>
    </row>
    <row r="208" spans="1:133">
      <c r="A208" s="164"/>
      <c r="B208" s="164"/>
      <c r="C208" s="164"/>
      <c r="D208" s="164"/>
      <c r="E208" s="164"/>
      <c r="F208" s="163"/>
      <c r="G208" s="164"/>
      <c r="H208" s="164"/>
      <c r="I208" s="164"/>
      <c r="J208" s="164"/>
      <c r="AH208" s="72">
        <f t="shared" si="838"/>
        <v>0</v>
      </c>
      <c r="AI208" s="72">
        <f t="shared" si="839"/>
        <v>0</v>
      </c>
      <c r="AJ208" s="72">
        <f t="shared" si="840"/>
        <v>0</v>
      </c>
      <c r="AK208" s="72">
        <f t="shared" si="841"/>
        <v>0</v>
      </c>
      <c r="AL208" s="72">
        <f t="shared" si="842"/>
        <v>0</v>
      </c>
      <c r="AM208" s="72">
        <f t="shared" si="843"/>
        <v>0</v>
      </c>
      <c r="AN208" s="72">
        <f t="shared" si="844"/>
        <v>0</v>
      </c>
      <c r="AO208" s="72">
        <f t="shared" si="845"/>
        <v>0</v>
      </c>
      <c r="AP208" s="72">
        <f t="shared" si="846"/>
        <v>0</v>
      </c>
      <c r="AQ208" s="72">
        <f t="shared" si="847"/>
        <v>0</v>
      </c>
      <c r="AR208" s="72">
        <f t="shared" si="848"/>
        <v>0</v>
      </c>
      <c r="AS208" s="72">
        <f t="shared" si="849"/>
        <v>0</v>
      </c>
      <c r="AT208" s="72">
        <f t="shared" si="850"/>
        <v>0</v>
      </c>
      <c r="AU208" s="72">
        <f t="shared" si="851"/>
        <v>0</v>
      </c>
      <c r="AV208" s="72">
        <f t="shared" si="852"/>
        <v>0</v>
      </c>
      <c r="AW208" s="72">
        <f t="shared" si="853"/>
        <v>0</v>
      </c>
      <c r="AX208" s="72">
        <f t="shared" si="854"/>
        <v>0</v>
      </c>
      <c r="AY208" s="72">
        <f t="shared" si="855"/>
        <v>0</v>
      </c>
      <c r="AZ208" s="72">
        <f t="shared" si="856"/>
        <v>0</v>
      </c>
      <c r="BA208" s="72">
        <f t="shared" si="857"/>
        <v>0</v>
      </c>
      <c r="BB208" s="72">
        <f t="shared" si="858"/>
        <v>0</v>
      </c>
      <c r="BC208" s="72">
        <f t="shared" si="859"/>
        <v>0</v>
      </c>
      <c r="BD208" s="72">
        <f t="shared" si="860"/>
        <v>0</v>
      </c>
      <c r="BE208" s="72">
        <f t="shared" si="861"/>
        <v>0</v>
      </c>
      <c r="BF208" s="72">
        <f t="shared" si="862"/>
        <v>0</v>
      </c>
      <c r="BG208" s="72">
        <f t="shared" si="863"/>
        <v>0</v>
      </c>
      <c r="BH208" s="72">
        <f t="shared" si="864"/>
        <v>0</v>
      </c>
      <c r="BI208" s="72">
        <f t="shared" si="865"/>
        <v>0</v>
      </c>
      <c r="BJ208" s="72">
        <f t="shared" si="866"/>
        <v>0</v>
      </c>
      <c r="BK208" s="72">
        <f t="shared" si="867"/>
        <v>0</v>
      </c>
      <c r="BL208" s="72">
        <f t="shared" si="868"/>
        <v>0</v>
      </c>
      <c r="BM208" s="72">
        <f t="shared" si="869"/>
        <v>0</v>
      </c>
      <c r="BN208" s="72">
        <f t="shared" si="870"/>
        <v>0</v>
      </c>
      <c r="BO208" s="72">
        <f t="shared" si="871"/>
        <v>0</v>
      </c>
      <c r="BP208" s="72">
        <f t="shared" si="872"/>
        <v>0</v>
      </c>
      <c r="BQ208" s="72">
        <f t="shared" si="873"/>
        <v>0</v>
      </c>
      <c r="BR208" s="72">
        <f t="shared" si="874"/>
        <v>0</v>
      </c>
      <c r="BS208" s="72">
        <f t="shared" si="875"/>
        <v>0</v>
      </c>
      <c r="BT208" s="72">
        <f t="shared" si="876"/>
        <v>0</v>
      </c>
      <c r="BU208" s="72">
        <f t="shared" si="877"/>
        <v>0</v>
      </c>
      <c r="BW208">
        <f t="shared" si="878"/>
        <v>0</v>
      </c>
      <c r="BX208">
        <f t="shared" si="879"/>
        <v>0</v>
      </c>
      <c r="BY208">
        <f t="shared" si="880"/>
        <v>0</v>
      </c>
      <c r="BZ208">
        <f t="shared" si="881"/>
        <v>0</v>
      </c>
      <c r="CA208">
        <f t="shared" si="882"/>
        <v>0</v>
      </c>
      <c r="CB208">
        <f t="shared" si="883"/>
        <v>0</v>
      </c>
      <c r="CD208">
        <f t="shared" si="884"/>
        <v>0</v>
      </c>
      <c r="CE208">
        <f t="shared" si="885"/>
        <v>0</v>
      </c>
      <c r="CF208">
        <f t="shared" si="886"/>
        <v>0</v>
      </c>
      <c r="CG208">
        <f t="shared" si="887"/>
        <v>0</v>
      </c>
      <c r="CH208">
        <f t="shared" si="888"/>
        <v>0</v>
      </c>
      <c r="CI208">
        <f t="shared" si="889"/>
        <v>0</v>
      </c>
      <c r="CK208">
        <f t="shared" si="890"/>
        <v>0</v>
      </c>
      <c r="CL208">
        <f t="shared" si="891"/>
        <v>0</v>
      </c>
      <c r="CM208">
        <f t="shared" si="892"/>
        <v>0</v>
      </c>
      <c r="CN208">
        <f t="shared" si="893"/>
        <v>0</v>
      </c>
      <c r="CO208">
        <f t="shared" si="894"/>
        <v>0</v>
      </c>
      <c r="CP208">
        <f t="shared" si="895"/>
        <v>0</v>
      </c>
      <c r="CR208">
        <f t="shared" si="896"/>
        <v>0</v>
      </c>
      <c r="CS208">
        <f t="shared" si="897"/>
        <v>0</v>
      </c>
      <c r="CT208">
        <f t="shared" si="898"/>
        <v>0</v>
      </c>
      <c r="CU208">
        <f t="shared" si="899"/>
        <v>0</v>
      </c>
      <c r="CV208">
        <f t="shared" si="900"/>
        <v>0</v>
      </c>
      <c r="CW208">
        <f t="shared" si="901"/>
        <v>0</v>
      </c>
      <c r="CY208">
        <f t="shared" si="902"/>
        <v>0</v>
      </c>
      <c r="CZ208">
        <f t="shared" si="903"/>
        <v>0</v>
      </c>
      <c r="DA208">
        <f t="shared" si="904"/>
        <v>0</v>
      </c>
      <c r="DB208">
        <f t="shared" si="905"/>
        <v>0</v>
      </c>
      <c r="DC208">
        <f t="shared" si="906"/>
        <v>0</v>
      </c>
      <c r="DD208">
        <f t="shared" si="907"/>
        <v>0</v>
      </c>
      <c r="DF208" s="79">
        <f t="shared" si="908"/>
        <v>0</v>
      </c>
      <c r="DG208" s="79">
        <f t="shared" si="909"/>
        <v>0</v>
      </c>
      <c r="DH208">
        <f t="shared" si="910"/>
        <v>0</v>
      </c>
      <c r="DI208">
        <f t="shared" si="911"/>
        <v>1</v>
      </c>
      <c r="DK208" s="79">
        <f t="shared" si="912"/>
        <v>0</v>
      </c>
      <c r="DL208" s="79">
        <f t="shared" si="913"/>
        <v>0</v>
      </c>
      <c r="DM208">
        <f t="shared" si="914"/>
        <v>1</v>
      </c>
      <c r="DN208">
        <f t="shared" si="915"/>
        <v>0</v>
      </c>
      <c r="DP208" s="79">
        <f t="shared" si="916"/>
        <v>0</v>
      </c>
      <c r="DQ208" s="79">
        <f t="shared" si="917"/>
        <v>0</v>
      </c>
      <c r="DR208">
        <f t="shared" si="918"/>
        <v>0</v>
      </c>
      <c r="DS208">
        <f t="shared" si="919"/>
        <v>1</v>
      </c>
      <c r="DU208" s="79">
        <f t="shared" si="920"/>
        <v>0</v>
      </c>
      <c r="DV208" s="79">
        <f t="shared" si="921"/>
        <v>0</v>
      </c>
      <c r="DW208">
        <f t="shared" si="922"/>
        <v>0</v>
      </c>
      <c r="DX208">
        <f t="shared" si="923"/>
        <v>1</v>
      </c>
      <c r="DZ208" s="79">
        <f t="shared" si="924"/>
        <v>0</v>
      </c>
      <c r="EA208" s="79">
        <f t="shared" si="925"/>
        <v>0</v>
      </c>
      <c r="EB208">
        <f t="shared" si="926"/>
        <v>0</v>
      </c>
      <c r="EC208">
        <f t="shared" si="927"/>
        <v>1</v>
      </c>
    </row>
    <row r="209" spans="1:133">
      <c r="A209" s="164"/>
      <c r="B209" s="164"/>
      <c r="C209" s="164"/>
      <c r="D209" s="164"/>
      <c r="E209" s="164"/>
      <c r="F209" s="163"/>
      <c r="G209" s="164"/>
      <c r="H209" s="164"/>
      <c r="I209" s="164"/>
      <c r="J209" s="164"/>
      <c r="AH209" s="72">
        <f t="shared" si="838"/>
        <v>0</v>
      </c>
      <c r="AI209" s="72">
        <f t="shared" si="839"/>
        <v>0</v>
      </c>
      <c r="AJ209" s="72">
        <f t="shared" si="840"/>
        <v>0</v>
      </c>
      <c r="AK209" s="72">
        <f t="shared" si="841"/>
        <v>0</v>
      </c>
      <c r="AL209" s="72">
        <f t="shared" si="842"/>
        <v>0</v>
      </c>
      <c r="AM209" s="72">
        <f t="shared" si="843"/>
        <v>0</v>
      </c>
      <c r="AN209" s="72">
        <f t="shared" si="844"/>
        <v>0</v>
      </c>
      <c r="AO209" s="72">
        <f t="shared" si="845"/>
        <v>0</v>
      </c>
      <c r="AP209" s="72">
        <f t="shared" si="846"/>
        <v>0</v>
      </c>
      <c r="AQ209" s="72">
        <f t="shared" si="847"/>
        <v>0</v>
      </c>
      <c r="AR209" s="72">
        <f t="shared" si="848"/>
        <v>0</v>
      </c>
      <c r="AS209" s="72">
        <f t="shared" si="849"/>
        <v>0</v>
      </c>
      <c r="AT209" s="72">
        <f t="shared" si="850"/>
        <v>0</v>
      </c>
      <c r="AU209" s="72">
        <f t="shared" si="851"/>
        <v>0</v>
      </c>
      <c r="AV209" s="72">
        <f t="shared" si="852"/>
        <v>0</v>
      </c>
      <c r="AW209" s="72">
        <f t="shared" si="853"/>
        <v>0</v>
      </c>
      <c r="AX209" s="72">
        <f t="shared" si="854"/>
        <v>0</v>
      </c>
      <c r="AY209" s="72">
        <f t="shared" si="855"/>
        <v>0</v>
      </c>
      <c r="AZ209" s="72">
        <f t="shared" si="856"/>
        <v>0</v>
      </c>
      <c r="BA209" s="72">
        <f t="shared" si="857"/>
        <v>0</v>
      </c>
      <c r="BB209" s="72">
        <f t="shared" si="858"/>
        <v>0</v>
      </c>
      <c r="BC209" s="72">
        <f t="shared" si="859"/>
        <v>0</v>
      </c>
      <c r="BD209" s="72">
        <f t="shared" si="860"/>
        <v>0</v>
      </c>
      <c r="BE209" s="72">
        <f t="shared" si="861"/>
        <v>0</v>
      </c>
      <c r="BF209" s="72">
        <f t="shared" si="862"/>
        <v>0</v>
      </c>
      <c r="BG209" s="72">
        <f t="shared" si="863"/>
        <v>0</v>
      </c>
      <c r="BH209" s="72">
        <f t="shared" si="864"/>
        <v>0</v>
      </c>
      <c r="BI209" s="72">
        <f t="shared" si="865"/>
        <v>0</v>
      </c>
      <c r="BJ209" s="72">
        <f t="shared" si="866"/>
        <v>0</v>
      </c>
      <c r="BK209" s="72">
        <f t="shared" si="867"/>
        <v>0</v>
      </c>
      <c r="BL209" s="72">
        <f t="shared" si="868"/>
        <v>0</v>
      </c>
      <c r="BM209" s="72">
        <f t="shared" si="869"/>
        <v>0</v>
      </c>
      <c r="BN209" s="72">
        <f t="shared" si="870"/>
        <v>0</v>
      </c>
      <c r="BO209" s="72">
        <f t="shared" si="871"/>
        <v>0</v>
      </c>
      <c r="BP209" s="72">
        <f t="shared" si="872"/>
        <v>0</v>
      </c>
      <c r="BQ209" s="72">
        <f t="shared" si="873"/>
        <v>0</v>
      </c>
      <c r="BR209" s="72">
        <f t="shared" si="874"/>
        <v>0</v>
      </c>
      <c r="BS209" s="72">
        <f t="shared" si="875"/>
        <v>0</v>
      </c>
      <c r="BT209" s="72">
        <f t="shared" si="876"/>
        <v>0</v>
      </c>
      <c r="BU209" s="72">
        <f t="shared" si="877"/>
        <v>0</v>
      </c>
      <c r="BW209">
        <f t="shared" si="878"/>
        <v>0</v>
      </c>
      <c r="BX209">
        <f t="shared" si="879"/>
        <v>0</v>
      </c>
      <c r="BY209">
        <f t="shared" si="880"/>
        <v>0</v>
      </c>
      <c r="BZ209">
        <f t="shared" si="881"/>
        <v>0</v>
      </c>
      <c r="CA209">
        <f t="shared" si="882"/>
        <v>0</v>
      </c>
      <c r="CB209">
        <f t="shared" si="883"/>
        <v>0</v>
      </c>
      <c r="CD209">
        <f t="shared" si="884"/>
        <v>0</v>
      </c>
      <c r="CE209">
        <f t="shared" si="885"/>
        <v>0</v>
      </c>
      <c r="CF209">
        <f t="shared" si="886"/>
        <v>0</v>
      </c>
      <c r="CG209">
        <f t="shared" si="887"/>
        <v>0</v>
      </c>
      <c r="CH209">
        <f t="shared" si="888"/>
        <v>0</v>
      </c>
      <c r="CI209">
        <f t="shared" si="889"/>
        <v>0</v>
      </c>
      <c r="CK209">
        <f t="shared" si="890"/>
        <v>0</v>
      </c>
      <c r="CL209">
        <f t="shared" si="891"/>
        <v>0</v>
      </c>
      <c r="CM209">
        <f t="shared" si="892"/>
        <v>0</v>
      </c>
      <c r="CN209">
        <f t="shared" si="893"/>
        <v>0</v>
      </c>
      <c r="CO209">
        <f t="shared" si="894"/>
        <v>0</v>
      </c>
      <c r="CP209">
        <f t="shared" si="895"/>
        <v>0</v>
      </c>
      <c r="CR209">
        <f t="shared" si="896"/>
        <v>0</v>
      </c>
      <c r="CS209">
        <f t="shared" si="897"/>
        <v>0</v>
      </c>
      <c r="CT209">
        <f t="shared" si="898"/>
        <v>0</v>
      </c>
      <c r="CU209">
        <f t="shared" si="899"/>
        <v>0</v>
      </c>
      <c r="CV209">
        <f t="shared" si="900"/>
        <v>0</v>
      </c>
      <c r="CW209">
        <f t="shared" si="901"/>
        <v>0</v>
      </c>
      <c r="CY209">
        <f t="shared" si="902"/>
        <v>0</v>
      </c>
      <c r="CZ209">
        <f t="shared" si="903"/>
        <v>0</v>
      </c>
      <c r="DA209">
        <f t="shared" si="904"/>
        <v>0</v>
      </c>
      <c r="DB209">
        <f t="shared" si="905"/>
        <v>0</v>
      </c>
      <c r="DC209">
        <f t="shared" si="906"/>
        <v>0</v>
      </c>
      <c r="DD209">
        <f t="shared" si="907"/>
        <v>0</v>
      </c>
      <c r="DF209" s="79">
        <f t="shared" si="908"/>
        <v>0</v>
      </c>
      <c r="DG209" s="79">
        <f t="shared" si="909"/>
        <v>0</v>
      </c>
      <c r="DH209">
        <f t="shared" si="910"/>
        <v>0</v>
      </c>
      <c r="DI209">
        <f t="shared" si="911"/>
        <v>1</v>
      </c>
      <c r="DK209" s="79">
        <f t="shared" si="912"/>
        <v>0</v>
      </c>
      <c r="DL209" s="79">
        <f t="shared" si="913"/>
        <v>0</v>
      </c>
      <c r="DM209">
        <f t="shared" si="914"/>
        <v>1</v>
      </c>
      <c r="DN209">
        <f t="shared" si="915"/>
        <v>0</v>
      </c>
      <c r="DP209" s="79">
        <f t="shared" si="916"/>
        <v>0</v>
      </c>
      <c r="DQ209" s="79">
        <f t="shared" si="917"/>
        <v>0</v>
      </c>
      <c r="DR209">
        <f t="shared" si="918"/>
        <v>0</v>
      </c>
      <c r="DS209">
        <f t="shared" si="919"/>
        <v>1</v>
      </c>
      <c r="DU209" s="79">
        <f t="shared" si="920"/>
        <v>0</v>
      </c>
      <c r="DV209" s="79">
        <f t="shared" si="921"/>
        <v>0</v>
      </c>
      <c r="DW209">
        <f t="shared" si="922"/>
        <v>0</v>
      </c>
      <c r="DX209">
        <f t="shared" si="923"/>
        <v>1</v>
      </c>
      <c r="DZ209" s="79">
        <f t="shared" si="924"/>
        <v>0</v>
      </c>
      <c r="EA209" s="79">
        <f t="shared" si="925"/>
        <v>0</v>
      </c>
      <c r="EB209">
        <f t="shared" si="926"/>
        <v>0</v>
      </c>
      <c r="EC209">
        <f t="shared" si="927"/>
        <v>1</v>
      </c>
    </row>
    <row r="210" spans="1:133">
      <c r="A210" s="164"/>
      <c r="B210" s="164"/>
      <c r="C210" s="164"/>
      <c r="D210" s="164"/>
      <c r="E210" s="164"/>
      <c r="F210" s="163"/>
      <c r="G210" s="164"/>
      <c r="H210" s="164"/>
      <c r="I210" s="164"/>
      <c r="J210" s="164"/>
      <c r="AH210" s="72">
        <f t="shared" si="838"/>
        <v>0</v>
      </c>
      <c r="AI210" s="72">
        <f t="shared" si="839"/>
        <v>0</v>
      </c>
      <c r="AJ210" s="72">
        <f t="shared" si="840"/>
        <v>0</v>
      </c>
      <c r="AK210" s="72">
        <f t="shared" si="841"/>
        <v>0</v>
      </c>
      <c r="AL210" s="72">
        <f t="shared" si="842"/>
        <v>0</v>
      </c>
      <c r="AM210" s="72">
        <f t="shared" si="843"/>
        <v>0</v>
      </c>
      <c r="AN210" s="72">
        <f t="shared" si="844"/>
        <v>0</v>
      </c>
      <c r="AO210" s="72">
        <f t="shared" si="845"/>
        <v>0</v>
      </c>
      <c r="AP210" s="72">
        <f t="shared" si="846"/>
        <v>0</v>
      </c>
      <c r="AQ210" s="72">
        <f t="shared" si="847"/>
        <v>0</v>
      </c>
      <c r="AR210" s="72">
        <f t="shared" si="848"/>
        <v>0</v>
      </c>
      <c r="AS210" s="72">
        <f t="shared" si="849"/>
        <v>0</v>
      </c>
      <c r="AT210" s="72">
        <f t="shared" si="850"/>
        <v>0</v>
      </c>
      <c r="AU210" s="72">
        <f t="shared" si="851"/>
        <v>0</v>
      </c>
      <c r="AV210" s="72">
        <f t="shared" si="852"/>
        <v>0</v>
      </c>
      <c r="AW210" s="72">
        <f t="shared" si="853"/>
        <v>0</v>
      </c>
      <c r="AX210" s="72">
        <f t="shared" si="854"/>
        <v>0</v>
      </c>
      <c r="AY210" s="72">
        <f t="shared" si="855"/>
        <v>0</v>
      </c>
      <c r="AZ210" s="72">
        <f t="shared" si="856"/>
        <v>0</v>
      </c>
      <c r="BA210" s="72">
        <f t="shared" si="857"/>
        <v>0</v>
      </c>
      <c r="BB210" s="72">
        <f t="shared" si="858"/>
        <v>0</v>
      </c>
      <c r="BC210" s="72">
        <f t="shared" si="859"/>
        <v>0</v>
      </c>
      <c r="BD210" s="72">
        <f t="shared" si="860"/>
        <v>0</v>
      </c>
      <c r="BE210" s="72">
        <f t="shared" si="861"/>
        <v>0</v>
      </c>
      <c r="BF210" s="72">
        <f t="shared" si="862"/>
        <v>0</v>
      </c>
      <c r="BG210" s="72">
        <f t="shared" si="863"/>
        <v>0</v>
      </c>
      <c r="BH210" s="72">
        <f t="shared" si="864"/>
        <v>0</v>
      </c>
      <c r="BI210" s="72">
        <f t="shared" si="865"/>
        <v>0</v>
      </c>
      <c r="BJ210" s="72">
        <f t="shared" si="866"/>
        <v>0</v>
      </c>
      <c r="BK210" s="72">
        <f t="shared" si="867"/>
        <v>0</v>
      </c>
      <c r="BL210" s="72">
        <f t="shared" si="868"/>
        <v>0</v>
      </c>
      <c r="BM210" s="72">
        <f t="shared" si="869"/>
        <v>0</v>
      </c>
      <c r="BN210" s="72">
        <f t="shared" si="870"/>
        <v>0</v>
      </c>
      <c r="BO210" s="72">
        <f t="shared" si="871"/>
        <v>0</v>
      </c>
      <c r="BP210" s="72">
        <f t="shared" si="872"/>
        <v>0</v>
      </c>
      <c r="BQ210" s="72">
        <f t="shared" si="873"/>
        <v>0</v>
      </c>
      <c r="BR210" s="72">
        <f t="shared" si="874"/>
        <v>0</v>
      </c>
      <c r="BS210" s="72">
        <f t="shared" si="875"/>
        <v>0</v>
      </c>
      <c r="BT210" s="72">
        <f t="shared" si="876"/>
        <v>0</v>
      </c>
      <c r="BU210" s="72">
        <f t="shared" si="877"/>
        <v>0</v>
      </c>
      <c r="BW210">
        <f t="shared" si="878"/>
        <v>0</v>
      </c>
      <c r="BX210">
        <f t="shared" si="879"/>
        <v>0</v>
      </c>
      <c r="BY210">
        <f t="shared" si="880"/>
        <v>0</v>
      </c>
      <c r="BZ210">
        <f t="shared" si="881"/>
        <v>0</v>
      </c>
      <c r="CA210">
        <f t="shared" si="882"/>
        <v>0</v>
      </c>
      <c r="CB210">
        <f t="shared" si="883"/>
        <v>0</v>
      </c>
      <c r="CD210">
        <f t="shared" si="884"/>
        <v>0</v>
      </c>
      <c r="CE210">
        <f t="shared" si="885"/>
        <v>0</v>
      </c>
      <c r="CF210">
        <f t="shared" si="886"/>
        <v>0</v>
      </c>
      <c r="CG210">
        <f t="shared" si="887"/>
        <v>0</v>
      </c>
      <c r="CH210">
        <f t="shared" si="888"/>
        <v>0</v>
      </c>
      <c r="CI210">
        <f t="shared" si="889"/>
        <v>0</v>
      </c>
      <c r="CK210">
        <f t="shared" si="890"/>
        <v>0</v>
      </c>
      <c r="CL210">
        <f t="shared" si="891"/>
        <v>0</v>
      </c>
      <c r="CM210">
        <f t="shared" si="892"/>
        <v>0</v>
      </c>
      <c r="CN210">
        <f t="shared" si="893"/>
        <v>0</v>
      </c>
      <c r="CO210">
        <f t="shared" si="894"/>
        <v>0</v>
      </c>
      <c r="CP210">
        <f t="shared" si="895"/>
        <v>0</v>
      </c>
      <c r="CR210">
        <f t="shared" si="896"/>
        <v>0</v>
      </c>
      <c r="CS210">
        <f t="shared" si="897"/>
        <v>0</v>
      </c>
      <c r="CT210">
        <f t="shared" si="898"/>
        <v>0</v>
      </c>
      <c r="CU210">
        <f t="shared" si="899"/>
        <v>0</v>
      </c>
      <c r="CV210">
        <f t="shared" si="900"/>
        <v>0</v>
      </c>
      <c r="CW210">
        <f t="shared" si="901"/>
        <v>0</v>
      </c>
      <c r="CY210">
        <f t="shared" si="902"/>
        <v>0</v>
      </c>
      <c r="CZ210">
        <f t="shared" si="903"/>
        <v>0</v>
      </c>
      <c r="DA210">
        <f t="shared" si="904"/>
        <v>0</v>
      </c>
      <c r="DB210">
        <f t="shared" si="905"/>
        <v>0</v>
      </c>
      <c r="DC210">
        <f t="shared" si="906"/>
        <v>0</v>
      </c>
      <c r="DD210">
        <f t="shared" si="907"/>
        <v>0</v>
      </c>
      <c r="DF210" s="79">
        <f t="shared" si="908"/>
        <v>0</v>
      </c>
      <c r="DG210" s="79">
        <f t="shared" si="909"/>
        <v>0</v>
      </c>
      <c r="DH210">
        <f t="shared" si="910"/>
        <v>0</v>
      </c>
      <c r="DI210">
        <f t="shared" si="911"/>
        <v>1</v>
      </c>
      <c r="DK210" s="79">
        <f t="shared" si="912"/>
        <v>0</v>
      </c>
      <c r="DL210" s="79">
        <f t="shared" si="913"/>
        <v>0</v>
      </c>
      <c r="DM210">
        <f t="shared" si="914"/>
        <v>1</v>
      </c>
      <c r="DN210">
        <f t="shared" si="915"/>
        <v>0</v>
      </c>
      <c r="DP210" s="79">
        <f t="shared" si="916"/>
        <v>0</v>
      </c>
      <c r="DQ210" s="79">
        <f t="shared" si="917"/>
        <v>0</v>
      </c>
      <c r="DR210">
        <f t="shared" si="918"/>
        <v>0</v>
      </c>
      <c r="DS210">
        <f t="shared" si="919"/>
        <v>1</v>
      </c>
      <c r="DU210" s="79">
        <f t="shared" si="920"/>
        <v>0</v>
      </c>
      <c r="DV210" s="79">
        <f t="shared" si="921"/>
        <v>0</v>
      </c>
      <c r="DW210">
        <f t="shared" si="922"/>
        <v>0</v>
      </c>
      <c r="DX210">
        <f t="shared" si="923"/>
        <v>1</v>
      </c>
      <c r="DZ210" s="79">
        <f t="shared" si="924"/>
        <v>0</v>
      </c>
      <c r="EA210" s="79">
        <f t="shared" si="925"/>
        <v>0</v>
      </c>
      <c r="EB210">
        <f t="shared" si="926"/>
        <v>0</v>
      </c>
      <c r="EC210">
        <f t="shared" si="927"/>
        <v>1</v>
      </c>
    </row>
    <row r="211" spans="1:133">
      <c r="A211" s="164"/>
      <c r="B211" s="164"/>
      <c r="C211" s="164"/>
      <c r="D211" s="164"/>
      <c r="E211" s="164"/>
      <c r="F211" s="163"/>
      <c r="G211" s="164"/>
      <c r="H211" s="164"/>
      <c r="I211" s="164"/>
      <c r="J211" s="164"/>
      <c r="AH211" s="72">
        <f t="shared" si="838"/>
        <v>0</v>
      </c>
      <c r="AI211" s="72">
        <f t="shared" si="839"/>
        <v>0</v>
      </c>
      <c r="AJ211" s="72">
        <f t="shared" si="840"/>
        <v>0</v>
      </c>
      <c r="AK211" s="72">
        <f t="shared" si="841"/>
        <v>0</v>
      </c>
      <c r="AL211" s="72">
        <f t="shared" si="842"/>
        <v>0</v>
      </c>
      <c r="AM211" s="72">
        <f t="shared" si="843"/>
        <v>0</v>
      </c>
      <c r="AN211" s="72">
        <f t="shared" si="844"/>
        <v>0</v>
      </c>
      <c r="AO211" s="72">
        <f t="shared" si="845"/>
        <v>0</v>
      </c>
      <c r="AP211" s="72">
        <f t="shared" si="846"/>
        <v>0</v>
      </c>
      <c r="AQ211" s="72">
        <f t="shared" si="847"/>
        <v>0</v>
      </c>
      <c r="AR211" s="72">
        <f t="shared" si="848"/>
        <v>0</v>
      </c>
      <c r="AS211" s="72">
        <f t="shared" si="849"/>
        <v>0</v>
      </c>
      <c r="AT211" s="72">
        <f t="shared" si="850"/>
        <v>0</v>
      </c>
      <c r="AU211" s="72">
        <f t="shared" si="851"/>
        <v>0</v>
      </c>
      <c r="AV211" s="72">
        <f t="shared" si="852"/>
        <v>0</v>
      </c>
      <c r="AW211" s="72">
        <f t="shared" si="853"/>
        <v>0</v>
      </c>
      <c r="AX211" s="72">
        <f t="shared" si="854"/>
        <v>0</v>
      </c>
      <c r="AY211" s="72">
        <f t="shared" si="855"/>
        <v>0</v>
      </c>
      <c r="AZ211" s="72">
        <f t="shared" si="856"/>
        <v>0</v>
      </c>
      <c r="BA211" s="72">
        <f t="shared" si="857"/>
        <v>0</v>
      </c>
      <c r="BB211" s="72">
        <f t="shared" si="858"/>
        <v>0</v>
      </c>
      <c r="BC211" s="72">
        <f t="shared" si="859"/>
        <v>0</v>
      </c>
      <c r="BD211" s="72">
        <f t="shared" si="860"/>
        <v>0</v>
      </c>
      <c r="BE211" s="72">
        <f t="shared" si="861"/>
        <v>0</v>
      </c>
      <c r="BF211" s="72">
        <f t="shared" si="862"/>
        <v>0</v>
      </c>
      <c r="BG211" s="72">
        <f t="shared" si="863"/>
        <v>0</v>
      </c>
      <c r="BH211" s="72">
        <f t="shared" si="864"/>
        <v>0</v>
      </c>
      <c r="BI211" s="72">
        <f t="shared" si="865"/>
        <v>0</v>
      </c>
      <c r="BJ211" s="72">
        <f t="shared" si="866"/>
        <v>0</v>
      </c>
      <c r="BK211" s="72">
        <f t="shared" si="867"/>
        <v>0</v>
      </c>
      <c r="BL211" s="72">
        <f t="shared" si="868"/>
        <v>0</v>
      </c>
      <c r="BM211" s="72">
        <f t="shared" si="869"/>
        <v>0</v>
      </c>
      <c r="BN211" s="72">
        <f t="shared" si="870"/>
        <v>0</v>
      </c>
      <c r="BO211" s="72">
        <f t="shared" si="871"/>
        <v>0</v>
      </c>
      <c r="BP211" s="72">
        <f t="shared" si="872"/>
        <v>0</v>
      </c>
      <c r="BQ211" s="72">
        <f t="shared" si="873"/>
        <v>0</v>
      </c>
      <c r="BR211" s="72">
        <f t="shared" si="874"/>
        <v>0</v>
      </c>
      <c r="BS211" s="72">
        <f t="shared" si="875"/>
        <v>0</v>
      </c>
      <c r="BT211" s="72">
        <f t="shared" si="876"/>
        <v>0</v>
      </c>
      <c r="BU211" s="72">
        <f t="shared" si="877"/>
        <v>0</v>
      </c>
      <c r="BW211">
        <f t="shared" si="878"/>
        <v>0</v>
      </c>
      <c r="BX211">
        <f t="shared" si="879"/>
        <v>0</v>
      </c>
      <c r="BY211">
        <f t="shared" si="880"/>
        <v>0</v>
      </c>
      <c r="BZ211">
        <f t="shared" si="881"/>
        <v>0</v>
      </c>
      <c r="CA211">
        <f t="shared" si="882"/>
        <v>0</v>
      </c>
      <c r="CB211">
        <f t="shared" si="883"/>
        <v>0</v>
      </c>
      <c r="CD211">
        <f t="shared" si="884"/>
        <v>0</v>
      </c>
      <c r="CE211">
        <f t="shared" si="885"/>
        <v>0</v>
      </c>
      <c r="CF211">
        <f t="shared" si="886"/>
        <v>0</v>
      </c>
      <c r="CG211">
        <f t="shared" si="887"/>
        <v>0</v>
      </c>
      <c r="CH211">
        <f t="shared" si="888"/>
        <v>0</v>
      </c>
      <c r="CI211">
        <f t="shared" si="889"/>
        <v>0</v>
      </c>
      <c r="CK211">
        <f t="shared" si="890"/>
        <v>0</v>
      </c>
      <c r="CL211">
        <f t="shared" si="891"/>
        <v>0</v>
      </c>
      <c r="CM211">
        <f t="shared" si="892"/>
        <v>0</v>
      </c>
      <c r="CN211">
        <f t="shared" si="893"/>
        <v>0</v>
      </c>
      <c r="CO211">
        <f t="shared" si="894"/>
        <v>0</v>
      </c>
      <c r="CP211">
        <f t="shared" si="895"/>
        <v>0</v>
      </c>
      <c r="CR211">
        <f t="shared" si="896"/>
        <v>0</v>
      </c>
      <c r="CS211">
        <f t="shared" si="897"/>
        <v>0</v>
      </c>
      <c r="CT211">
        <f t="shared" si="898"/>
        <v>0</v>
      </c>
      <c r="CU211">
        <f t="shared" si="899"/>
        <v>0</v>
      </c>
      <c r="CV211">
        <f t="shared" si="900"/>
        <v>0</v>
      </c>
      <c r="CW211">
        <f t="shared" si="901"/>
        <v>0</v>
      </c>
      <c r="CY211">
        <f t="shared" si="902"/>
        <v>0</v>
      </c>
      <c r="CZ211">
        <f t="shared" si="903"/>
        <v>0</v>
      </c>
      <c r="DA211">
        <f t="shared" si="904"/>
        <v>0</v>
      </c>
      <c r="DB211">
        <f t="shared" si="905"/>
        <v>0</v>
      </c>
      <c r="DC211">
        <f t="shared" si="906"/>
        <v>0</v>
      </c>
      <c r="DD211">
        <f t="shared" si="907"/>
        <v>0</v>
      </c>
      <c r="DF211" s="79">
        <f t="shared" si="908"/>
        <v>0</v>
      </c>
      <c r="DG211" s="79">
        <f t="shared" si="909"/>
        <v>0</v>
      </c>
      <c r="DH211">
        <f t="shared" si="910"/>
        <v>0</v>
      </c>
      <c r="DI211">
        <f t="shared" si="911"/>
        <v>1</v>
      </c>
      <c r="DK211" s="79">
        <f t="shared" si="912"/>
        <v>0</v>
      </c>
      <c r="DL211" s="79">
        <f t="shared" si="913"/>
        <v>0</v>
      </c>
      <c r="DM211">
        <f t="shared" si="914"/>
        <v>1</v>
      </c>
      <c r="DN211">
        <f t="shared" si="915"/>
        <v>0</v>
      </c>
      <c r="DP211" s="79">
        <f t="shared" si="916"/>
        <v>0</v>
      </c>
      <c r="DQ211" s="79">
        <f t="shared" si="917"/>
        <v>0</v>
      </c>
      <c r="DR211">
        <f t="shared" si="918"/>
        <v>0</v>
      </c>
      <c r="DS211">
        <f t="shared" si="919"/>
        <v>1</v>
      </c>
      <c r="DU211" s="79">
        <f t="shared" si="920"/>
        <v>0</v>
      </c>
      <c r="DV211" s="79">
        <f t="shared" si="921"/>
        <v>0</v>
      </c>
      <c r="DW211">
        <f t="shared" si="922"/>
        <v>0</v>
      </c>
      <c r="DX211">
        <f t="shared" si="923"/>
        <v>1</v>
      </c>
      <c r="DZ211" s="79">
        <f t="shared" si="924"/>
        <v>0</v>
      </c>
      <c r="EA211" s="79">
        <f t="shared" si="925"/>
        <v>0</v>
      </c>
      <c r="EB211">
        <f t="shared" si="926"/>
        <v>0</v>
      </c>
      <c r="EC211">
        <f t="shared" si="927"/>
        <v>1</v>
      </c>
    </row>
    <row r="212" spans="1:133">
      <c r="A212" s="164"/>
      <c r="B212" s="164"/>
      <c r="C212" s="164"/>
      <c r="D212" s="164"/>
      <c r="E212" s="164"/>
      <c r="F212" s="163"/>
      <c r="G212" s="164"/>
      <c r="H212" s="164"/>
      <c r="I212" s="164"/>
      <c r="J212" s="164"/>
      <c r="AH212" s="72">
        <f t="shared" si="838"/>
        <v>0</v>
      </c>
      <c r="AI212" s="72">
        <f t="shared" si="839"/>
        <v>0</v>
      </c>
      <c r="AJ212" s="72">
        <f t="shared" si="840"/>
        <v>0</v>
      </c>
      <c r="AK212" s="72">
        <f t="shared" si="841"/>
        <v>0</v>
      </c>
      <c r="AL212" s="72">
        <f t="shared" si="842"/>
        <v>0</v>
      </c>
      <c r="AM212" s="72">
        <f t="shared" si="843"/>
        <v>0</v>
      </c>
      <c r="AN212" s="72">
        <f t="shared" si="844"/>
        <v>0</v>
      </c>
      <c r="AO212" s="72">
        <f t="shared" si="845"/>
        <v>0</v>
      </c>
      <c r="AP212" s="72">
        <f t="shared" si="846"/>
        <v>0</v>
      </c>
      <c r="AQ212" s="72">
        <f t="shared" si="847"/>
        <v>0</v>
      </c>
      <c r="AR212" s="72">
        <f t="shared" si="848"/>
        <v>0</v>
      </c>
      <c r="AS212" s="72">
        <f t="shared" si="849"/>
        <v>0</v>
      </c>
      <c r="AT212" s="72">
        <f t="shared" si="850"/>
        <v>0</v>
      </c>
      <c r="AU212" s="72">
        <f t="shared" si="851"/>
        <v>0</v>
      </c>
      <c r="AV212" s="72">
        <f t="shared" si="852"/>
        <v>0</v>
      </c>
      <c r="AW212" s="72">
        <f t="shared" si="853"/>
        <v>0</v>
      </c>
      <c r="AX212" s="72">
        <f t="shared" si="854"/>
        <v>0</v>
      </c>
      <c r="AY212" s="72">
        <f t="shared" si="855"/>
        <v>0</v>
      </c>
      <c r="AZ212" s="72">
        <f t="shared" si="856"/>
        <v>0</v>
      </c>
      <c r="BA212" s="72">
        <f t="shared" si="857"/>
        <v>0</v>
      </c>
      <c r="BB212" s="72">
        <f t="shared" si="858"/>
        <v>0</v>
      </c>
      <c r="BC212" s="72">
        <f t="shared" si="859"/>
        <v>0</v>
      </c>
      <c r="BD212" s="72">
        <f t="shared" si="860"/>
        <v>0</v>
      </c>
      <c r="BE212" s="72">
        <f t="shared" si="861"/>
        <v>0</v>
      </c>
      <c r="BF212" s="72">
        <f t="shared" si="862"/>
        <v>0</v>
      </c>
      <c r="BG212" s="72">
        <f t="shared" si="863"/>
        <v>0</v>
      </c>
      <c r="BH212" s="72">
        <f t="shared" si="864"/>
        <v>0</v>
      </c>
      <c r="BI212" s="72">
        <f t="shared" si="865"/>
        <v>0</v>
      </c>
      <c r="BJ212" s="72">
        <f t="shared" si="866"/>
        <v>0</v>
      </c>
      <c r="BK212" s="72">
        <f t="shared" si="867"/>
        <v>0</v>
      </c>
      <c r="BL212" s="72">
        <f t="shared" si="868"/>
        <v>0</v>
      </c>
      <c r="BM212" s="72">
        <f t="shared" si="869"/>
        <v>0</v>
      </c>
      <c r="BN212" s="72">
        <f t="shared" si="870"/>
        <v>0</v>
      </c>
      <c r="BO212" s="72">
        <f t="shared" si="871"/>
        <v>0</v>
      </c>
      <c r="BP212" s="72">
        <f t="shared" si="872"/>
        <v>0</v>
      </c>
      <c r="BQ212" s="72">
        <f t="shared" si="873"/>
        <v>0</v>
      </c>
      <c r="BR212" s="72">
        <f t="shared" si="874"/>
        <v>0</v>
      </c>
      <c r="BS212" s="72">
        <f t="shared" si="875"/>
        <v>0</v>
      </c>
      <c r="BT212" s="72">
        <f t="shared" si="876"/>
        <v>0</v>
      </c>
      <c r="BU212" s="72">
        <f t="shared" si="877"/>
        <v>0</v>
      </c>
      <c r="BW212">
        <f t="shared" si="878"/>
        <v>0</v>
      </c>
      <c r="BX212">
        <f t="shared" si="879"/>
        <v>0</v>
      </c>
      <c r="BY212">
        <f t="shared" si="880"/>
        <v>0</v>
      </c>
      <c r="BZ212">
        <f t="shared" si="881"/>
        <v>0</v>
      </c>
      <c r="CA212">
        <f t="shared" si="882"/>
        <v>0</v>
      </c>
      <c r="CB212">
        <f t="shared" si="883"/>
        <v>0</v>
      </c>
      <c r="CD212">
        <f t="shared" si="884"/>
        <v>0</v>
      </c>
      <c r="CE212">
        <f t="shared" si="885"/>
        <v>0</v>
      </c>
      <c r="CF212">
        <f t="shared" si="886"/>
        <v>0</v>
      </c>
      <c r="CG212">
        <f t="shared" si="887"/>
        <v>0</v>
      </c>
      <c r="CH212">
        <f t="shared" si="888"/>
        <v>0</v>
      </c>
      <c r="CI212">
        <f t="shared" si="889"/>
        <v>0</v>
      </c>
      <c r="CK212">
        <f t="shared" si="890"/>
        <v>0</v>
      </c>
      <c r="CL212">
        <f t="shared" si="891"/>
        <v>0</v>
      </c>
      <c r="CM212">
        <f t="shared" si="892"/>
        <v>0</v>
      </c>
      <c r="CN212">
        <f t="shared" si="893"/>
        <v>0</v>
      </c>
      <c r="CO212">
        <f t="shared" si="894"/>
        <v>0</v>
      </c>
      <c r="CP212">
        <f t="shared" si="895"/>
        <v>0</v>
      </c>
      <c r="CR212">
        <f t="shared" si="896"/>
        <v>0</v>
      </c>
      <c r="CS212">
        <f t="shared" si="897"/>
        <v>0</v>
      </c>
      <c r="CT212">
        <f t="shared" si="898"/>
        <v>0</v>
      </c>
      <c r="CU212">
        <f t="shared" si="899"/>
        <v>0</v>
      </c>
      <c r="CV212">
        <f t="shared" si="900"/>
        <v>0</v>
      </c>
      <c r="CW212">
        <f t="shared" si="901"/>
        <v>0</v>
      </c>
      <c r="CY212">
        <f t="shared" si="902"/>
        <v>0</v>
      </c>
      <c r="CZ212">
        <f t="shared" si="903"/>
        <v>0</v>
      </c>
      <c r="DA212">
        <f t="shared" si="904"/>
        <v>0</v>
      </c>
      <c r="DB212">
        <f t="shared" si="905"/>
        <v>0</v>
      </c>
      <c r="DC212">
        <f t="shared" si="906"/>
        <v>0</v>
      </c>
      <c r="DD212">
        <f t="shared" si="907"/>
        <v>0</v>
      </c>
      <c r="DF212" s="79">
        <f t="shared" si="908"/>
        <v>0</v>
      </c>
      <c r="DG212" s="79">
        <f t="shared" si="909"/>
        <v>0</v>
      </c>
      <c r="DH212">
        <f t="shared" si="910"/>
        <v>0</v>
      </c>
      <c r="DI212">
        <f t="shared" si="911"/>
        <v>1</v>
      </c>
      <c r="DK212" s="79">
        <f t="shared" si="912"/>
        <v>0</v>
      </c>
      <c r="DL212" s="79">
        <f t="shared" si="913"/>
        <v>0</v>
      </c>
      <c r="DM212">
        <f t="shared" si="914"/>
        <v>1</v>
      </c>
      <c r="DN212">
        <f t="shared" si="915"/>
        <v>0</v>
      </c>
      <c r="DP212" s="79">
        <f t="shared" si="916"/>
        <v>0</v>
      </c>
      <c r="DQ212" s="79">
        <f t="shared" si="917"/>
        <v>0</v>
      </c>
      <c r="DR212">
        <f t="shared" si="918"/>
        <v>0</v>
      </c>
      <c r="DS212">
        <f t="shared" si="919"/>
        <v>1</v>
      </c>
      <c r="DU212" s="79">
        <f t="shared" si="920"/>
        <v>0</v>
      </c>
      <c r="DV212" s="79">
        <f t="shared" si="921"/>
        <v>0</v>
      </c>
      <c r="DW212">
        <f t="shared" si="922"/>
        <v>0</v>
      </c>
      <c r="DX212">
        <f t="shared" si="923"/>
        <v>1</v>
      </c>
      <c r="DZ212" s="79">
        <f t="shared" si="924"/>
        <v>0</v>
      </c>
      <c r="EA212" s="79">
        <f t="shared" si="925"/>
        <v>0</v>
      </c>
      <c r="EB212">
        <f t="shared" si="926"/>
        <v>0</v>
      </c>
      <c r="EC212">
        <f t="shared" si="927"/>
        <v>1</v>
      </c>
    </row>
    <row r="213" spans="1:133">
      <c r="AH213" s="72"/>
      <c r="AI213" s="72"/>
      <c r="AJ213" s="72"/>
      <c r="AK213" s="72"/>
      <c r="AL213" s="72"/>
      <c r="AM213" s="72"/>
      <c r="AN213" s="72"/>
      <c r="AO213" s="72"/>
      <c r="AP213" s="72"/>
      <c r="AQ213" s="72"/>
      <c r="AR213" s="72"/>
      <c r="AS213" s="72"/>
      <c r="AT213" s="72"/>
      <c r="AU213" s="72"/>
      <c r="AV213" s="72"/>
      <c r="AW213" s="72"/>
      <c r="AX213" s="72"/>
      <c r="AY213" s="72"/>
      <c r="AZ213" s="72"/>
      <c r="BA213" s="72"/>
      <c r="BB213" s="72"/>
      <c r="BC213" s="72"/>
      <c r="BD213" s="72"/>
      <c r="BE213" s="72"/>
      <c r="BF213" s="72"/>
      <c r="BG213" s="72"/>
      <c r="BH213" s="72"/>
      <c r="BI213" s="72"/>
      <c r="BJ213" s="72"/>
      <c r="BK213" s="72"/>
      <c r="BL213" s="72"/>
      <c r="BM213" s="72"/>
      <c r="BN213" s="72"/>
      <c r="BO213" s="72"/>
      <c r="BP213" s="72"/>
      <c r="BQ213" s="72"/>
      <c r="BR213" s="72"/>
      <c r="BS213" s="72"/>
      <c r="BT213" s="72"/>
      <c r="BU213" s="72"/>
    </row>
  </sheetData>
  <mergeCells count="12">
    <mergeCell ref="Z2:AB2"/>
    <mergeCell ref="M2:M3"/>
    <mergeCell ref="N2:P2"/>
    <mergeCell ref="Q2:S2"/>
    <mergeCell ref="T2:V2"/>
    <mergeCell ref="W2:Y2"/>
    <mergeCell ref="U66:X66"/>
    <mergeCell ref="V55:W55"/>
    <mergeCell ref="V54:W54"/>
    <mergeCell ref="AA54:AB54"/>
    <mergeCell ref="M54:N54"/>
    <mergeCell ref="O54:Q54"/>
  </mergeCells>
  <phoneticPr fontId="1" type="noConversion"/>
  <pageMargins left="0.7" right="0.7" top="0.75" bottom="0.75" header="0.3" footer="0.3"/>
  <pageSetup paperSize="9" orientation="portrait" r:id="rId1"/>
  <ignoredErrors>
    <ignoredError sqref="AJ2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AU23"/>
  <sheetViews>
    <sheetView topLeftCell="P1" workbookViewId="0">
      <selection activeCell="C3" sqref="C3:AL3"/>
    </sheetView>
  </sheetViews>
  <sheetFormatPr defaultRowHeight="16.5"/>
  <sheetData>
    <row r="2" spans="2:47">
      <c r="B2" s="327" t="s">
        <v>315</v>
      </c>
      <c r="C2" s="328"/>
      <c r="D2" s="328"/>
      <c r="E2" s="329"/>
      <c r="F2" s="271"/>
    </row>
    <row r="3" spans="2:47">
      <c r="B3" s="4">
        <f>+COUNT(C4:AU4)</f>
        <v>20</v>
      </c>
      <c r="C3" s="270" t="s">
        <v>55</v>
      </c>
      <c r="D3" s="270" t="s">
        <v>45</v>
      </c>
      <c r="E3" s="270" t="s">
        <v>33</v>
      </c>
      <c r="F3" s="270" t="s">
        <v>49</v>
      </c>
      <c r="G3" s="270" t="s">
        <v>24</v>
      </c>
      <c r="H3" s="270" t="s">
        <v>25</v>
      </c>
      <c r="I3" s="270" t="s">
        <v>37</v>
      </c>
      <c r="J3" s="270" t="s">
        <v>38</v>
      </c>
      <c r="K3" s="270" t="s">
        <v>17</v>
      </c>
      <c r="L3" s="270" t="s">
        <v>22</v>
      </c>
      <c r="M3" s="270" t="s">
        <v>48</v>
      </c>
      <c r="N3" s="270" t="s">
        <v>47</v>
      </c>
      <c r="O3" s="270" t="s">
        <v>42</v>
      </c>
      <c r="P3" s="270" t="s">
        <v>30</v>
      </c>
      <c r="Q3" s="270" t="s">
        <v>41</v>
      </c>
      <c r="R3" s="270" t="s">
        <v>46</v>
      </c>
      <c r="S3" s="270" t="s">
        <v>18</v>
      </c>
      <c r="T3" s="270" t="s">
        <v>23</v>
      </c>
      <c r="U3" s="270" t="s">
        <v>34</v>
      </c>
      <c r="V3" s="270" t="s">
        <v>27</v>
      </c>
      <c r="W3" s="270" t="s">
        <v>21</v>
      </c>
      <c r="X3" s="270" t="s">
        <v>31</v>
      </c>
      <c r="Y3" s="270" t="s">
        <v>91</v>
      </c>
      <c r="Z3" s="270" t="s">
        <v>28</v>
      </c>
      <c r="AA3" s="270" t="s">
        <v>50</v>
      </c>
      <c r="AB3" s="270" t="s">
        <v>36</v>
      </c>
      <c r="AC3" s="270" t="s">
        <v>39</v>
      </c>
      <c r="AD3" s="270" t="s">
        <v>19</v>
      </c>
      <c r="AE3" s="270" t="s">
        <v>35</v>
      </c>
      <c r="AF3" s="270" t="s">
        <v>40</v>
      </c>
      <c r="AG3" s="270" t="s">
        <v>32</v>
      </c>
      <c r="AH3" s="270" t="s">
        <v>44</v>
      </c>
      <c r="AI3" s="270" t="s">
        <v>43</v>
      </c>
      <c r="AJ3" s="270" t="s">
        <v>29</v>
      </c>
      <c r="AK3" s="270" t="s">
        <v>20</v>
      </c>
      <c r="AL3" s="270" t="s">
        <v>319</v>
      </c>
      <c r="AM3" s="270"/>
      <c r="AN3" s="270"/>
      <c r="AO3" s="270"/>
      <c r="AP3" s="270"/>
      <c r="AQ3" s="270"/>
      <c r="AR3" s="270"/>
      <c r="AS3" s="270"/>
      <c r="AT3" s="270"/>
      <c r="AU3" s="270"/>
    </row>
    <row r="4" spans="2:47">
      <c r="B4" s="270" t="s">
        <v>0</v>
      </c>
      <c r="C4" s="270"/>
      <c r="D4" s="270"/>
      <c r="E4" s="270">
        <v>23</v>
      </c>
      <c r="F4" s="270"/>
      <c r="G4" s="270"/>
      <c r="H4" s="270"/>
      <c r="I4" s="270">
        <v>3</v>
      </c>
      <c r="J4" s="270">
        <v>11</v>
      </c>
      <c r="K4" s="270">
        <v>27</v>
      </c>
      <c r="L4" s="270"/>
      <c r="M4" s="270"/>
      <c r="N4" s="270">
        <v>11</v>
      </c>
      <c r="O4" s="270">
        <v>24</v>
      </c>
      <c r="P4" s="270"/>
      <c r="Q4" s="270"/>
      <c r="R4" s="270">
        <v>18</v>
      </c>
      <c r="S4" s="270">
        <v>8</v>
      </c>
      <c r="T4" s="270">
        <v>22</v>
      </c>
      <c r="U4" s="270">
        <v>14</v>
      </c>
      <c r="V4" s="270"/>
      <c r="W4" s="270"/>
      <c r="X4" s="270">
        <v>19</v>
      </c>
      <c r="Y4" s="270">
        <v>6</v>
      </c>
      <c r="Z4" s="270">
        <v>22</v>
      </c>
      <c r="AA4" s="270"/>
      <c r="AB4" s="270">
        <v>8</v>
      </c>
      <c r="AC4" s="270"/>
      <c r="AD4" s="270">
        <v>18</v>
      </c>
      <c r="AE4" s="270"/>
      <c r="AF4" s="270">
        <v>14</v>
      </c>
      <c r="AG4" s="270">
        <v>22</v>
      </c>
      <c r="AH4" s="270">
        <v>15</v>
      </c>
      <c r="AI4" s="270"/>
      <c r="AJ4" s="270"/>
      <c r="AK4" s="270">
        <v>16</v>
      </c>
      <c r="AL4" s="171">
        <v>11</v>
      </c>
      <c r="AM4" s="171"/>
      <c r="AN4" s="171"/>
      <c r="AO4" s="171"/>
      <c r="AP4" s="171"/>
      <c r="AQ4" s="171"/>
      <c r="AR4" s="171"/>
      <c r="AS4" s="171"/>
      <c r="AT4" s="171"/>
      <c r="AU4" s="171"/>
    </row>
    <row r="5" spans="2:47">
      <c r="B5" s="270" t="s">
        <v>1</v>
      </c>
      <c r="C5" s="270"/>
      <c r="D5" s="270"/>
      <c r="E5" s="270">
        <v>21</v>
      </c>
      <c r="F5" s="270"/>
      <c r="G5" s="270"/>
      <c r="H5" s="270"/>
      <c r="I5" s="270">
        <v>6</v>
      </c>
      <c r="J5" s="270">
        <v>17</v>
      </c>
      <c r="K5" s="270">
        <v>15</v>
      </c>
      <c r="L5" s="270"/>
      <c r="M5" s="270"/>
      <c r="N5" s="270">
        <v>10</v>
      </c>
      <c r="O5" s="270">
        <v>15</v>
      </c>
      <c r="P5" s="270"/>
      <c r="Q5" s="270"/>
      <c r="R5" s="270">
        <v>21</v>
      </c>
      <c r="S5" s="270">
        <v>12</v>
      </c>
      <c r="T5" s="270">
        <v>11</v>
      </c>
      <c r="U5" s="270">
        <v>14</v>
      </c>
      <c r="V5" s="270"/>
      <c r="W5" s="270"/>
      <c r="X5" s="270">
        <v>9</v>
      </c>
      <c r="Y5" s="270">
        <v>15</v>
      </c>
      <c r="Z5" s="270">
        <v>21</v>
      </c>
      <c r="AA5" s="270">
        <v>2</v>
      </c>
      <c r="AB5" s="270">
        <v>14</v>
      </c>
      <c r="AC5" s="270">
        <v>3</v>
      </c>
      <c r="AD5" s="270">
        <v>14</v>
      </c>
      <c r="AE5" s="270"/>
      <c r="AF5" s="270">
        <v>19</v>
      </c>
      <c r="AG5" s="270">
        <v>20</v>
      </c>
      <c r="AH5" s="270">
        <v>18</v>
      </c>
      <c r="AI5" s="270"/>
      <c r="AJ5" s="270"/>
      <c r="AK5" s="270">
        <v>23</v>
      </c>
      <c r="AL5" s="171">
        <v>12</v>
      </c>
      <c r="AM5" s="171"/>
      <c r="AN5" s="171"/>
      <c r="AO5" s="171"/>
      <c r="AP5" s="171"/>
      <c r="AQ5" s="171"/>
      <c r="AR5" s="171"/>
      <c r="AS5" s="171"/>
      <c r="AT5" s="171"/>
      <c r="AU5" s="171"/>
    </row>
    <row r="6" spans="2:47">
      <c r="B6" s="270" t="s">
        <v>2</v>
      </c>
      <c r="C6" s="11">
        <f t="shared" ref="C6:AU6" si="0">IFERROR(C4/(C4+C5),0)</f>
        <v>0</v>
      </c>
      <c r="D6" s="11">
        <f t="shared" si="0"/>
        <v>0</v>
      </c>
      <c r="E6" s="11">
        <f t="shared" si="0"/>
        <v>0.52272727272727271</v>
      </c>
      <c r="F6" s="11">
        <f t="shared" si="0"/>
        <v>0</v>
      </c>
      <c r="G6" s="11">
        <f t="shared" si="0"/>
        <v>0</v>
      </c>
      <c r="H6" s="11">
        <f t="shared" si="0"/>
        <v>0</v>
      </c>
      <c r="I6" s="11">
        <f t="shared" si="0"/>
        <v>0.33333333333333331</v>
      </c>
      <c r="J6" s="11">
        <f t="shared" si="0"/>
        <v>0.39285714285714285</v>
      </c>
      <c r="K6" s="11">
        <f t="shared" si="0"/>
        <v>0.6428571428571429</v>
      </c>
      <c r="L6" s="11">
        <f t="shared" si="0"/>
        <v>0</v>
      </c>
      <c r="M6" s="11">
        <f t="shared" si="0"/>
        <v>0</v>
      </c>
      <c r="N6" s="11">
        <f t="shared" si="0"/>
        <v>0.52380952380952384</v>
      </c>
      <c r="O6" s="11">
        <f t="shared" si="0"/>
        <v>0.61538461538461542</v>
      </c>
      <c r="P6" s="11">
        <f t="shared" si="0"/>
        <v>0</v>
      </c>
      <c r="Q6" s="11">
        <f t="shared" si="0"/>
        <v>0</v>
      </c>
      <c r="R6" s="11">
        <f t="shared" si="0"/>
        <v>0.46153846153846156</v>
      </c>
      <c r="S6" s="11">
        <f t="shared" si="0"/>
        <v>0.4</v>
      </c>
      <c r="T6" s="11">
        <f t="shared" si="0"/>
        <v>0.66666666666666663</v>
      </c>
      <c r="U6" s="11">
        <f t="shared" si="0"/>
        <v>0.5</v>
      </c>
      <c r="V6" s="11">
        <f t="shared" si="0"/>
        <v>0</v>
      </c>
      <c r="W6" s="11">
        <f t="shared" si="0"/>
        <v>0</v>
      </c>
      <c r="X6" s="11">
        <f t="shared" si="0"/>
        <v>0.6785714285714286</v>
      </c>
      <c r="Y6" s="11">
        <f t="shared" si="0"/>
        <v>0.2857142857142857</v>
      </c>
      <c r="Z6" s="11">
        <f t="shared" si="0"/>
        <v>0.51162790697674421</v>
      </c>
      <c r="AA6" s="11">
        <f t="shared" si="0"/>
        <v>0</v>
      </c>
      <c r="AB6" s="11">
        <f t="shared" si="0"/>
        <v>0.36363636363636365</v>
      </c>
      <c r="AC6" s="11">
        <f t="shared" si="0"/>
        <v>0</v>
      </c>
      <c r="AD6" s="11">
        <f t="shared" si="0"/>
        <v>0.5625</v>
      </c>
      <c r="AE6" s="11">
        <f t="shared" si="0"/>
        <v>0</v>
      </c>
      <c r="AF6" s="11">
        <f t="shared" si="0"/>
        <v>0.42424242424242425</v>
      </c>
      <c r="AG6" s="11">
        <f t="shared" si="0"/>
        <v>0.52380952380952384</v>
      </c>
      <c r="AH6" s="11">
        <f t="shared" si="0"/>
        <v>0.45454545454545453</v>
      </c>
      <c r="AI6" s="11">
        <f t="shared" si="0"/>
        <v>0</v>
      </c>
      <c r="AJ6" s="11">
        <f t="shared" si="0"/>
        <v>0</v>
      </c>
      <c r="AK6" s="11">
        <f t="shared" si="0"/>
        <v>0.41025641025641024</v>
      </c>
      <c r="AL6" s="11">
        <f t="shared" si="0"/>
        <v>0.47826086956521741</v>
      </c>
      <c r="AM6" s="11">
        <f t="shared" si="0"/>
        <v>0</v>
      </c>
      <c r="AN6" s="11">
        <f t="shared" si="0"/>
        <v>0</v>
      </c>
      <c r="AO6" s="11">
        <f t="shared" si="0"/>
        <v>0</v>
      </c>
      <c r="AP6" s="11">
        <f t="shared" si="0"/>
        <v>0</v>
      </c>
      <c r="AQ6" s="11">
        <f t="shared" si="0"/>
        <v>0</v>
      </c>
      <c r="AR6" s="11">
        <f t="shared" si="0"/>
        <v>0</v>
      </c>
      <c r="AS6" s="11">
        <f t="shared" si="0"/>
        <v>0</v>
      </c>
      <c r="AT6" s="11">
        <f t="shared" si="0"/>
        <v>0</v>
      </c>
      <c r="AU6" s="11">
        <f t="shared" si="0"/>
        <v>0</v>
      </c>
    </row>
    <row r="7" spans="2:47">
      <c r="B7" s="270" t="s">
        <v>7</v>
      </c>
      <c r="C7" s="12">
        <f t="shared" ref="C7:AU7" si="1">+C4+C5</f>
        <v>0</v>
      </c>
      <c r="D7" s="12">
        <f t="shared" si="1"/>
        <v>0</v>
      </c>
      <c r="E7" s="12">
        <f t="shared" si="1"/>
        <v>44</v>
      </c>
      <c r="F7" s="12">
        <f t="shared" si="1"/>
        <v>0</v>
      </c>
      <c r="G7" s="12">
        <f t="shared" si="1"/>
        <v>0</v>
      </c>
      <c r="H7" s="12">
        <f t="shared" si="1"/>
        <v>0</v>
      </c>
      <c r="I7" s="12">
        <f t="shared" si="1"/>
        <v>9</v>
      </c>
      <c r="J7" s="12">
        <f t="shared" si="1"/>
        <v>28</v>
      </c>
      <c r="K7" s="12">
        <f t="shared" si="1"/>
        <v>42</v>
      </c>
      <c r="L7" s="12">
        <f t="shared" si="1"/>
        <v>0</v>
      </c>
      <c r="M7" s="12">
        <f t="shared" si="1"/>
        <v>0</v>
      </c>
      <c r="N7" s="12">
        <f t="shared" si="1"/>
        <v>21</v>
      </c>
      <c r="O7" s="12">
        <f t="shared" si="1"/>
        <v>39</v>
      </c>
      <c r="P7" s="12">
        <f t="shared" si="1"/>
        <v>0</v>
      </c>
      <c r="Q7" s="12">
        <f t="shared" si="1"/>
        <v>0</v>
      </c>
      <c r="R7" s="12">
        <f t="shared" si="1"/>
        <v>39</v>
      </c>
      <c r="S7" s="12">
        <f t="shared" si="1"/>
        <v>20</v>
      </c>
      <c r="T7" s="12">
        <f t="shared" si="1"/>
        <v>33</v>
      </c>
      <c r="U7" s="12">
        <f t="shared" si="1"/>
        <v>28</v>
      </c>
      <c r="V7" s="12">
        <f t="shared" si="1"/>
        <v>0</v>
      </c>
      <c r="W7" s="12">
        <f t="shared" si="1"/>
        <v>0</v>
      </c>
      <c r="X7" s="12">
        <f t="shared" si="1"/>
        <v>28</v>
      </c>
      <c r="Y7" s="12">
        <f t="shared" si="1"/>
        <v>21</v>
      </c>
      <c r="Z7" s="12">
        <f t="shared" si="1"/>
        <v>43</v>
      </c>
      <c r="AA7" s="12">
        <f t="shared" si="1"/>
        <v>2</v>
      </c>
      <c r="AB7" s="12">
        <f t="shared" si="1"/>
        <v>22</v>
      </c>
      <c r="AC7" s="12">
        <f t="shared" si="1"/>
        <v>3</v>
      </c>
      <c r="AD7" s="12">
        <f t="shared" si="1"/>
        <v>32</v>
      </c>
      <c r="AE7" s="12">
        <f t="shared" si="1"/>
        <v>0</v>
      </c>
      <c r="AF7" s="12">
        <f t="shared" si="1"/>
        <v>33</v>
      </c>
      <c r="AG7" s="12">
        <f t="shared" si="1"/>
        <v>42</v>
      </c>
      <c r="AH7" s="12">
        <f t="shared" si="1"/>
        <v>33</v>
      </c>
      <c r="AI7" s="12">
        <f t="shared" si="1"/>
        <v>0</v>
      </c>
      <c r="AJ7" s="12">
        <f t="shared" si="1"/>
        <v>0</v>
      </c>
      <c r="AK7" s="12">
        <f t="shared" si="1"/>
        <v>39</v>
      </c>
      <c r="AL7" s="12">
        <f t="shared" si="1"/>
        <v>23</v>
      </c>
      <c r="AM7" s="12">
        <f t="shared" si="1"/>
        <v>0</v>
      </c>
      <c r="AN7" s="12">
        <f t="shared" si="1"/>
        <v>0</v>
      </c>
      <c r="AO7" s="12">
        <f t="shared" si="1"/>
        <v>0</v>
      </c>
      <c r="AP7" s="12">
        <f t="shared" si="1"/>
        <v>0</v>
      </c>
      <c r="AQ7" s="12">
        <f t="shared" si="1"/>
        <v>0</v>
      </c>
      <c r="AR7" s="12">
        <f t="shared" si="1"/>
        <v>0</v>
      </c>
      <c r="AS7" s="12">
        <f t="shared" si="1"/>
        <v>0</v>
      </c>
      <c r="AT7" s="12">
        <f t="shared" si="1"/>
        <v>0</v>
      </c>
      <c r="AU7" s="12">
        <f t="shared" si="1"/>
        <v>0</v>
      </c>
    </row>
    <row r="8" spans="2:47">
      <c r="B8" s="270" t="s">
        <v>10</v>
      </c>
      <c r="C8" s="65">
        <f>IF(C7&lt;5,0,IFERROR((C6/C7),"0"))</f>
        <v>0</v>
      </c>
      <c r="D8" s="65">
        <f t="shared" ref="D8:AU8" si="2">IF(D7&lt;5,0,IFERROR((D6/D7),"0"))</f>
        <v>0</v>
      </c>
      <c r="E8" s="65">
        <f t="shared" si="2"/>
        <v>1.1880165289256199E-2</v>
      </c>
      <c r="F8" s="65">
        <f t="shared" si="2"/>
        <v>0</v>
      </c>
      <c r="G8" s="65">
        <f t="shared" si="2"/>
        <v>0</v>
      </c>
      <c r="H8" s="65">
        <f t="shared" si="2"/>
        <v>0</v>
      </c>
      <c r="I8" s="65">
        <f t="shared" si="2"/>
        <v>3.7037037037037035E-2</v>
      </c>
      <c r="J8" s="65">
        <f t="shared" si="2"/>
        <v>1.4030612244897959E-2</v>
      </c>
      <c r="K8" s="65">
        <f t="shared" si="2"/>
        <v>1.5306122448979593E-2</v>
      </c>
      <c r="L8" s="65">
        <f t="shared" si="2"/>
        <v>0</v>
      </c>
      <c r="M8" s="65">
        <f t="shared" si="2"/>
        <v>0</v>
      </c>
      <c r="N8" s="65">
        <f t="shared" si="2"/>
        <v>2.4943310657596373E-2</v>
      </c>
      <c r="O8" s="65">
        <f t="shared" si="2"/>
        <v>1.5779092702169626E-2</v>
      </c>
      <c r="P8" s="65">
        <f t="shared" si="2"/>
        <v>0</v>
      </c>
      <c r="Q8" s="65">
        <f t="shared" si="2"/>
        <v>0</v>
      </c>
      <c r="R8" s="65">
        <f t="shared" si="2"/>
        <v>1.183431952662722E-2</v>
      </c>
      <c r="S8" s="65">
        <f t="shared" si="2"/>
        <v>0.02</v>
      </c>
      <c r="T8" s="65">
        <f t="shared" si="2"/>
        <v>2.02020202020202E-2</v>
      </c>
      <c r="U8" s="65">
        <f t="shared" si="2"/>
        <v>1.7857142857142856E-2</v>
      </c>
      <c r="V8" s="65">
        <f t="shared" si="2"/>
        <v>0</v>
      </c>
      <c r="W8" s="65">
        <f t="shared" si="2"/>
        <v>0</v>
      </c>
      <c r="X8" s="65">
        <f t="shared" si="2"/>
        <v>2.4234693877551023E-2</v>
      </c>
      <c r="Y8" s="65">
        <f t="shared" si="2"/>
        <v>1.3605442176870748E-2</v>
      </c>
      <c r="Z8" s="65">
        <f t="shared" si="2"/>
        <v>1.1898323418063819E-2</v>
      </c>
      <c r="AA8" s="65">
        <f t="shared" si="2"/>
        <v>0</v>
      </c>
      <c r="AB8" s="65">
        <f t="shared" si="2"/>
        <v>1.6528925619834711E-2</v>
      </c>
      <c r="AC8" s="65">
        <f t="shared" si="2"/>
        <v>0</v>
      </c>
      <c r="AD8" s="65">
        <f t="shared" si="2"/>
        <v>1.7578125E-2</v>
      </c>
      <c r="AE8" s="65">
        <f t="shared" si="2"/>
        <v>0</v>
      </c>
      <c r="AF8" s="65">
        <f t="shared" si="2"/>
        <v>1.285583103764922E-2</v>
      </c>
      <c r="AG8" s="65">
        <f t="shared" si="2"/>
        <v>1.2471655328798186E-2</v>
      </c>
      <c r="AH8" s="65">
        <f t="shared" si="2"/>
        <v>1.3774104683195593E-2</v>
      </c>
      <c r="AI8" s="65">
        <f t="shared" si="2"/>
        <v>0</v>
      </c>
      <c r="AJ8" s="65">
        <f t="shared" si="2"/>
        <v>0</v>
      </c>
      <c r="AK8" s="65">
        <f t="shared" si="2"/>
        <v>1.0519395134779749E-2</v>
      </c>
      <c r="AL8" s="65">
        <f t="shared" si="2"/>
        <v>2.0793950850661626E-2</v>
      </c>
      <c r="AM8" s="65">
        <f t="shared" si="2"/>
        <v>0</v>
      </c>
      <c r="AN8" s="65">
        <f t="shared" si="2"/>
        <v>0</v>
      </c>
      <c r="AO8" s="65">
        <f t="shared" si="2"/>
        <v>0</v>
      </c>
      <c r="AP8" s="65">
        <f t="shared" si="2"/>
        <v>0</v>
      </c>
      <c r="AQ8" s="65">
        <f t="shared" si="2"/>
        <v>0</v>
      </c>
      <c r="AR8" s="65">
        <f t="shared" si="2"/>
        <v>0</v>
      </c>
      <c r="AS8" s="65">
        <f t="shared" si="2"/>
        <v>0</v>
      </c>
      <c r="AT8" s="65">
        <f t="shared" si="2"/>
        <v>0</v>
      </c>
      <c r="AU8" s="65">
        <f t="shared" si="2"/>
        <v>0</v>
      </c>
    </row>
    <row r="9" spans="2:47">
      <c r="B9" s="270" t="s">
        <v>51</v>
      </c>
      <c r="C9" s="270" t="str">
        <f>IF(C7&lt;5,"티어없음",IFERROR(INDEX($C$31:$AU$31,MATCH(C3,$C$32:$AU$32,0)),"티어없음"))</f>
        <v>티어없음</v>
      </c>
      <c r="D9" s="270" t="str">
        <f t="shared" ref="D9:AU9" si="3">IF(D7&lt;5,"티어없음",IFERROR(INDEX($C$31:$AU$31,MATCH(D3,$C$32:$AU$32,0)),"티어없음"))</f>
        <v>티어없음</v>
      </c>
      <c r="E9" s="270" t="str">
        <f t="shared" si="3"/>
        <v>티어없음</v>
      </c>
      <c r="F9" s="270" t="str">
        <f t="shared" si="3"/>
        <v>티어없음</v>
      </c>
      <c r="G9" s="270" t="str">
        <f t="shared" si="3"/>
        <v>티어없음</v>
      </c>
      <c r="H9" s="270" t="str">
        <f t="shared" si="3"/>
        <v>티어없음</v>
      </c>
      <c r="I9" s="270" t="str">
        <f t="shared" si="3"/>
        <v>티어없음</v>
      </c>
      <c r="J9" s="270" t="str">
        <f t="shared" si="3"/>
        <v>티어없음</v>
      </c>
      <c r="K9" s="270" t="str">
        <f t="shared" si="3"/>
        <v>티어없음</v>
      </c>
      <c r="L9" s="270" t="str">
        <f t="shared" si="3"/>
        <v>티어없음</v>
      </c>
      <c r="M9" s="270" t="str">
        <f t="shared" si="3"/>
        <v>티어없음</v>
      </c>
      <c r="N9" s="270" t="str">
        <f t="shared" si="3"/>
        <v>티어없음</v>
      </c>
      <c r="O9" s="270" t="str">
        <f t="shared" si="3"/>
        <v>티어없음</v>
      </c>
      <c r="P9" s="270" t="str">
        <f t="shared" si="3"/>
        <v>티어없음</v>
      </c>
      <c r="Q9" s="270" t="str">
        <f t="shared" si="3"/>
        <v>티어없음</v>
      </c>
      <c r="R9" s="270" t="str">
        <f t="shared" si="3"/>
        <v>티어없음</v>
      </c>
      <c r="S9" s="270" t="str">
        <f t="shared" si="3"/>
        <v>티어없음</v>
      </c>
      <c r="T9" s="270" t="str">
        <f t="shared" si="3"/>
        <v>티어없음</v>
      </c>
      <c r="U9" s="270" t="str">
        <f t="shared" si="3"/>
        <v>티어없음</v>
      </c>
      <c r="V9" s="270" t="str">
        <f t="shared" si="3"/>
        <v>티어없음</v>
      </c>
      <c r="W9" s="270" t="str">
        <f t="shared" si="3"/>
        <v>티어없음</v>
      </c>
      <c r="X9" s="270" t="str">
        <f t="shared" si="3"/>
        <v>티어없음</v>
      </c>
      <c r="Y9" s="270" t="str">
        <f t="shared" si="3"/>
        <v>티어없음</v>
      </c>
      <c r="Z9" s="270" t="str">
        <f t="shared" si="3"/>
        <v>티어없음</v>
      </c>
      <c r="AA9" s="270" t="str">
        <f t="shared" si="3"/>
        <v>티어없음</v>
      </c>
      <c r="AB9" s="270" t="str">
        <f t="shared" si="3"/>
        <v>티어없음</v>
      </c>
      <c r="AC9" s="270" t="str">
        <f t="shared" si="3"/>
        <v>티어없음</v>
      </c>
      <c r="AD9" s="270" t="str">
        <f t="shared" si="3"/>
        <v>티어없음</v>
      </c>
      <c r="AE9" s="270" t="str">
        <f t="shared" si="3"/>
        <v>티어없음</v>
      </c>
      <c r="AF9" s="270" t="str">
        <f t="shared" si="3"/>
        <v>티어없음</v>
      </c>
      <c r="AG9" s="270" t="str">
        <f t="shared" si="3"/>
        <v>티어없음</v>
      </c>
      <c r="AH9" s="270" t="str">
        <f t="shared" si="3"/>
        <v>티어없음</v>
      </c>
      <c r="AI9" s="270" t="str">
        <f t="shared" si="3"/>
        <v>티어없음</v>
      </c>
      <c r="AJ9" s="270" t="str">
        <f t="shared" si="3"/>
        <v>티어없음</v>
      </c>
      <c r="AK9" s="270" t="str">
        <f t="shared" si="3"/>
        <v>티어없음</v>
      </c>
      <c r="AL9" s="270" t="str">
        <f t="shared" si="3"/>
        <v>티어없음</v>
      </c>
      <c r="AM9" s="270" t="str">
        <f t="shared" si="3"/>
        <v>티어없음</v>
      </c>
      <c r="AN9" s="270" t="str">
        <f t="shared" si="3"/>
        <v>티어없음</v>
      </c>
      <c r="AO9" s="270" t="str">
        <f t="shared" si="3"/>
        <v>티어없음</v>
      </c>
      <c r="AP9" s="270" t="str">
        <f t="shared" si="3"/>
        <v>티어없음</v>
      </c>
      <c r="AQ9" s="270" t="str">
        <f t="shared" si="3"/>
        <v>티어없음</v>
      </c>
      <c r="AR9" s="270" t="str">
        <f t="shared" si="3"/>
        <v>티어없음</v>
      </c>
      <c r="AS9" s="270" t="str">
        <f t="shared" si="3"/>
        <v>티어없음</v>
      </c>
      <c r="AT9" s="270" t="str">
        <f t="shared" si="3"/>
        <v>티어없음</v>
      </c>
      <c r="AU9" s="270" t="str">
        <f t="shared" si="3"/>
        <v>티어없음</v>
      </c>
    </row>
    <row r="10" spans="2:47">
      <c r="B10" s="270" t="s">
        <v>52</v>
      </c>
      <c r="C10" s="31"/>
      <c r="D10" s="31"/>
      <c r="E10" s="31">
        <v>189.49638046765619</v>
      </c>
      <c r="F10" s="31"/>
      <c r="G10" s="31"/>
      <c r="H10" s="31"/>
      <c r="I10" s="31">
        <v>35.646666666666668</v>
      </c>
      <c r="J10" s="31">
        <v>109.69007293198155</v>
      </c>
      <c r="K10" s="31">
        <v>252.96698966987086</v>
      </c>
      <c r="L10" s="31"/>
      <c r="M10" s="31"/>
      <c r="N10" s="31">
        <v>143.76831115122678</v>
      </c>
      <c r="O10" s="31">
        <v>218.05650353629156</v>
      </c>
      <c r="P10" s="31"/>
      <c r="Q10" s="31"/>
      <c r="R10" s="31">
        <v>191.51117755781763</v>
      </c>
      <c r="S10" s="31">
        <v>76.144620811287481</v>
      </c>
      <c r="T10" s="31">
        <v>292.32850256898894</v>
      </c>
      <c r="U10" s="31">
        <v>177.44769344495487</v>
      </c>
      <c r="V10" s="31"/>
      <c r="W10" s="31"/>
      <c r="X10" s="31">
        <v>228.66788353726477</v>
      </c>
      <c r="Y10" s="31">
        <v>49.551461940243996</v>
      </c>
      <c r="Z10" s="31">
        <v>251.46877210208564</v>
      </c>
      <c r="AA10" s="31">
        <v>-10</v>
      </c>
      <c r="AB10" s="31">
        <v>81.369995998399361</v>
      </c>
      <c r="AC10" s="31">
        <v>-15</v>
      </c>
      <c r="AD10" s="31">
        <v>195.90653142611475</v>
      </c>
      <c r="AE10" s="31"/>
      <c r="AF10" s="31">
        <v>168.48257424187491</v>
      </c>
      <c r="AG10" s="31">
        <v>230.6497533234585</v>
      </c>
      <c r="AH10" s="31">
        <v>181.64919674773202</v>
      </c>
      <c r="AI10" s="31"/>
      <c r="AJ10" s="31"/>
      <c r="AK10" s="31">
        <v>190.93431023795657</v>
      </c>
      <c r="AL10" s="171">
        <v>188.75307376485949</v>
      </c>
      <c r="AM10" s="171"/>
      <c r="AN10" s="171"/>
      <c r="AO10" s="171"/>
      <c r="AP10" s="171"/>
      <c r="AQ10" s="171"/>
      <c r="AR10" s="171"/>
      <c r="AS10" s="171"/>
      <c r="AT10" s="171"/>
      <c r="AU10" s="171"/>
    </row>
    <row r="12" spans="2:47">
      <c r="C12" t="s">
        <v>398</v>
      </c>
      <c r="G12" t="s">
        <v>123</v>
      </c>
      <c r="H12" t="s">
        <v>124</v>
      </c>
      <c r="I12" t="s">
        <v>125</v>
      </c>
    </row>
    <row r="13" spans="2:47">
      <c r="B13" t="s">
        <v>126</v>
      </c>
      <c r="C13" t="s">
        <v>36</v>
      </c>
      <c r="D13" t="s">
        <v>31</v>
      </c>
      <c r="E13" t="s">
        <v>42</v>
      </c>
      <c r="F13" t="s">
        <v>33</v>
      </c>
      <c r="G13">
        <v>48</v>
      </c>
      <c r="H13" t="s">
        <v>127</v>
      </c>
      <c r="I13">
        <v>17</v>
      </c>
    </row>
    <row r="14" spans="2:47">
      <c r="B14" t="s">
        <v>128</v>
      </c>
      <c r="C14" t="s">
        <v>129</v>
      </c>
      <c r="D14" t="s">
        <v>130</v>
      </c>
      <c r="E14" t="s">
        <v>131</v>
      </c>
      <c r="F14" t="s">
        <v>132</v>
      </c>
    </row>
    <row r="15" spans="2:47">
      <c r="B15" t="s">
        <v>133</v>
      </c>
      <c r="C15" t="s">
        <v>386</v>
      </c>
      <c r="D15" t="s">
        <v>337</v>
      </c>
      <c r="E15" t="s">
        <v>385</v>
      </c>
      <c r="F15" t="s">
        <v>338</v>
      </c>
    </row>
    <row r="16" spans="2:47">
      <c r="B16" t="s">
        <v>154</v>
      </c>
      <c r="C16">
        <v>1.2165289256198346</v>
      </c>
      <c r="D16">
        <v>0.67423469387755108</v>
      </c>
      <c r="E16">
        <v>0.81577909270216964</v>
      </c>
      <c r="F16">
        <v>1.0118801652892562</v>
      </c>
    </row>
    <row r="17" spans="2:9">
      <c r="B17" t="s">
        <v>134</v>
      </c>
      <c r="C17" t="s">
        <v>336</v>
      </c>
      <c r="D17" t="s">
        <v>135</v>
      </c>
      <c r="E17" t="s">
        <v>135</v>
      </c>
      <c r="F17" t="s">
        <v>135</v>
      </c>
    </row>
    <row r="18" spans="2:9">
      <c r="B18" t="s">
        <v>136</v>
      </c>
    </row>
    <row r="19" spans="2:9">
      <c r="B19" t="s">
        <v>137</v>
      </c>
      <c r="C19" t="s">
        <v>26</v>
      </c>
      <c r="D19" t="s">
        <v>23</v>
      </c>
      <c r="E19" t="s">
        <v>44</v>
      </c>
      <c r="F19" t="s">
        <v>47</v>
      </c>
      <c r="G19">
        <v>48</v>
      </c>
      <c r="H19" t="s">
        <v>138</v>
      </c>
      <c r="I19">
        <v>-5</v>
      </c>
    </row>
    <row r="20" spans="2:9">
      <c r="B20" t="s">
        <v>128</v>
      </c>
      <c r="C20" t="s">
        <v>129</v>
      </c>
      <c r="D20" t="s">
        <v>130</v>
      </c>
      <c r="E20" t="s">
        <v>131</v>
      </c>
      <c r="F20" t="s">
        <v>132</v>
      </c>
    </row>
    <row r="21" spans="2:9">
      <c r="B21" t="s">
        <v>133</v>
      </c>
      <c r="C21" t="s">
        <v>435</v>
      </c>
      <c r="D21" t="s">
        <v>390</v>
      </c>
      <c r="E21" t="s">
        <v>338</v>
      </c>
      <c r="F21" t="s">
        <v>386</v>
      </c>
    </row>
    <row r="22" spans="2:9">
      <c r="B22" t="s">
        <v>154</v>
      </c>
      <c r="C22">
        <v>1</v>
      </c>
      <c r="D22">
        <v>1</v>
      </c>
      <c r="E22">
        <v>1</v>
      </c>
      <c r="F22">
        <v>1</v>
      </c>
    </row>
    <row r="23" spans="2:9">
      <c r="B23" t="s">
        <v>134</v>
      </c>
      <c r="C23" t="s">
        <v>135</v>
      </c>
      <c r="D23" t="s">
        <v>135</v>
      </c>
      <c r="E23" t="s">
        <v>135</v>
      </c>
      <c r="F23" t="s">
        <v>135</v>
      </c>
    </row>
  </sheetData>
  <mergeCells count="1">
    <mergeCell ref="B2:E2"/>
  </mergeCells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AU10"/>
  <sheetViews>
    <sheetView workbookViewId="0">
      <selection activeCell="AU3" sqref="C3:AU3"/>
    </sheetView>
  </sheetViews>
  <sheetFormatPr defaultRowHeight="16.5"/>
  <sheetData>
    <row r="2" spans="2:47">
      <c r="B2" s="327" t="s">
        <v>397</v>
      </c>
      <c r="C2" s="328"/>
      <c r="D2" s="328"/>
      <c r="E2" s="329"/>
      <c r="F2" s="190"/>
    </row>
    <row r="3" spans="2:47">
      <c r="B3" s="4">
        <f>+COUNT(C4:AU4)</f>
        <v>21</v>
      </c>
      <c r="C3" s="189" t="s">
        <v>387</v>
      </c>
      <c r="D3" s="189" t="s">
        <v>45</v>
      </c>
      <c r="E3" s="189" t="s">
        <v>33</v>
      </c>
      <c r="F3" s="189" t="s">
        <v>388</v>
      </c>
      <c r="G3" s="189" t="s">
        <v>24</v>
      </c>
      <c r="H3" s="189" t="s">
        <v>25</v>
      </c>
      <c r="I3" s="189" t="s">
        <v>37</v>
      </c>
      <c r="J3" s="189" t="s">
        <v>38</v>
      </c>
      <c r="K3" s="189" t="s">
        <v>17</v>
      </c>
      <c r="L3" s="189" t="s">
        <v>22</v>
      </c>
      <c r="M3" s="189" t="s">
        <v>48</v>
      </c>
      <c r="N3" s="189" t="s">
        <v>47</v>
      </c>
      <c r="O3" s="189" t="s">
        <v>42</v>
      </c>
      <c r="P3" s="189" t="s">
        <v>30</v>
      </c>
      <c r="Q3" s="189" t="s">
        <v>41</v>
      </c>
      <c r="R3" s="189" t="s">
        <v>46</v>
      </c>
      <c r="S3" s="189" t="s">
        <v>18</v>
      </c>
      <c r="T3" s="189" t="s">
        <v>23</v>
      </c>
      <c r="U3" s="189" t="s">
        <v>34</v>
      </c>
      <c r="V3" s="189" t="s">
        <v>27</v>
      </c>
      <c r="W3" s="189" t="s">
        <v>21</v>
      </c>
      <c r="X3" s="189" t="s">
        <v>31</v>
      </c>
      <c r="Y3" s="189" t="s">
        <v>26</v>
      </c>
      <c r="Z3" s="189" t="s">
        <v>28</v>
      </c>
      <c r="AA3" s="189" t="s">
        <v>339</v>
      </c>
      <c r="AB3" s="189" t="s">
        <v>36</v>
      </c>
      <c r="AC3" s="189" t="s">
        <v>39</v>
      </c>
      <c r="AD3" s="189" t="s">
        <v>19</v>
      </c>
      <c r="AE3" s="189" t="s">
        <v>35</v>
      </c>
      <c r="AF3" s="189" t="s">
        <v>40</v>
      </c>
      <c r="AG3" s="189" t="s">
        <v>32</v>
      </c>
      <c r="AH3" s="189" t="s">
        <v>44</v>
      </c>
      <c r="AI3" s="189" t="s">
        <v>43</v>
      </c>
      <c r="AJ3" s="189" t="s">
        <v>29</v>
      </c>
      <c r="AK3" s="189" t="s">
        <v>20</v>
      </c>
      <c r="AL3" s="189" t="s">
        <v>319</v>
      </c>
      <c r="AM3" s="189">
        <v>0</v>
      </c>
      <c r="AN3" s="189">
        <v>0</v>
      </c>
      <c r="AO3" s="189">
        <v>0</v>
      </c>
      <c r="AP3" s="189">
        <v>0</v>
      </c>
      <c r="AQ3" s="189">
        <v>0</v>
      </c>
      <c r="AR3" s="189">
        <v>0</v>
      </c>
      <c r="AS3" s="189">
        <v>0</v>
      </c>
      <c r="AT3" s="189">
        <v>0</v>
      </c>
      <c r="AU3" s="189">
        <v>0</v>
      </c>
    </row>
    <row r="4" spans="2:47">
      <c r="B4" s="189" t="s">
        <v>0</v>
      </c>
      <c r="C4" s="189"/>
      <c r="D4" s="189"/>
      <c r="E4" s="189">
        <v>20</v>
      </c>
      <c r="F4" s="189">
        <v>6</v>
      </c>
      <c r="G4" s="189">
        <v>2</v>
      </c>
      <c r="H4" s="189"/>
      <c r="I4" s="189">
        <v>4</v>
      </c>
      <c r="J4" s="189">
        <v>0</v>
      </c>
      <c r="K4" s="189">
        <v>44</v>
      </c>
      <c r="L4" s="189"/>
      <c r="M4" s="189"/>
      <c r="N4" s="189">
        <v>23</v>
      </c>
      <c r="O4" s="189">
        <v>25</v>
      </c>
      <c r="P4" s="189"/>
      <c r="Q4" s="189"/>
      <c r="R4" s="189">
        <v>8</v>
      </c>
      <c r="S4" s="189">
        <v>12</v>
      </c>
      <c r="T4" s="189">
        <v>4</v>
      </c>
      <c r="U4" s="189"/>
      <c r="V4" s="189"/>
      <c r="W4" s="189"/>
      <c r="X4" s="189">
        <v>16</v>
      </c>
      <c r="Y4" s="189">
        <v>25</v>
      </c>
      <c r="Z4" s="189">
        <v>19</v>
      </c>
      <c r="AA4" s="189">
        <v>16</v>
      </c>
      <c r="AB4" s="189">
        <v>17</v>
      </c>
      <c r="AC4" s="189">
        <v>0</v>
      </c>
      <c r="AD4" s="189">
        <v>5</v>
      </c>
      <c r="AE4" s="189"/>
      <c r="AF4" s="189"/>
      <c r="AG4" s="189">
        <v>40</v>
      </c>
      <c r="AH4" s="189">
        <v>23</v>
      </c>
      <c r="AI4" s="189"/>
      <c r="AJ4" s="189"/>
      <c r="AK4" s="189">
        <v>23</v>
      </c>
      <c r="AL4" s="171"/>
      <c r="AM4" s="171"/>
      <c r="AN4" s="171"/>
      <c r="AO4" s="171"/>
      <c r="AP4" s="171"/>
      <c r="AQ4" s="171"/>
      <c r="AR4" s="171"/>
      <c r="AS4" s="171"/>
      <c r="AT4" s="171"/>
      <c r="AU4" s="171"/>
    </row>
    <row r="5" spans="2:47">
      <c r="B5" s="189" t="s">
        <v>1</v>
      </c>
      <c r="C5" s="189"/>
      <c r="D5" s="189"/>
      <c r="E5" s="189">
        <v>27</v>
      </c>
      <c r="F5" s="189">
        <v>4</v>
      </c>
      <c r="G5" s="189">
        <v>12</v>
      </c>
      <c r="H5" s="189"/>
      <c r="I5" s="189">
        <v>1</v>
      </c>
      <c r="J5" s="189">
        <v>2</v>
      </c>
      <c r="K5" s="189">
        <v>22</v>
      </c>
      <c r="L5" s="189"/>
      <c r="M5" s="189"/>
      <c r="N5" s="189">
        <v>16</v>
      </c>
      <c r="O5" s="189">
        <v>18</v>
      </c>
      <c r="P5" s="189"/>
      <c r="Q5" s="189"/>
      <c r="R5" s="189">
        <v>11</v>
      </c>
      <c r="S5" s="189">
        <v>20</v>
      </c>
      <c r="T5" s="189">
        <v>13</v>
      </c>
      <c r="U5" s="189"/>
      <c r="V5" s="189"/>
      <c r="W5" s="189"/>
      <c r="X5" s="189">
        <v>8</v>
      </c>
      <c r="Y5" s="189">
        <v>29</v>
      </c>
      <c r="Z5" s="189">
        <v>25</v>
      </c>
      <c r="AA5" s="189">
        <v>18</v>
      </c>
      <c r="AB5" s="189">
        <v>26</v>
      </c>
      <c r="AC5" s="189">
        <v>2</v>
      </c>
      <c r="AD5" s="189">
        <v>1</v>
      </c>
      <c r="AE5" s="189"/>
      <c r="AF5" s="189"/>
      <c r="AG5" s="189">
        <v>20</v>
      </c>
      <c r="AH5" s="189">
        <v>22</v>
      </c>
      <c r="AI5" s="189"/>
      <c r="AJ5" s="189"/>
      <c r="AK5" s="189">
        <v>35</v>
      </c>
      <c r="AL5" s="171"/>
      <c r="AM5" s="171"/>
      <c r="AN5" s="171"/>
      <c r="AO5" s="171"/>
      <c r="AP5" s="171"/>
      <c r="AQ5" s="171"/>
      <c r="AR5" s="171"/>
      <c r="AS5" s="171"/>
      <c r="AT5" s="171"/>
      <c r="AU5" s="171"/>
    </row>
    <row r="6" spans="2:47">
      <c r="B6" s="189" t="s">
        <v>2</v>
      </c>
      <c r="C6" s="11">
        <v>0</v>
      </c>
      <c r="D6" s="11">
        <v>0</v>
      </c>
      <c r="E6" s="11">
        <v>0.42553191489361702</v>
      </c>
      <c r="F6" s="11">
        <v>0.6</v>
      </c>
      <c r="G6" s="11">
        <v>0.14285714285714285</v>
      </c>
      <c r="H6" s="11">
        <v>0</v>
      </c>
      <c r="I6" s="11">
        <v>0.8</v>
      </c>
      <c r="J6" s="11">
        <v>0</v>
      </c>
      <c r="K6" s="11">
        <v>0.66666666666666663</v>
      </c>
      <c r="L6" s="11">
        <v>0</v>
      </c>
      <c r="M6" s="11">
        <v>0</v>
      </c>
      <c r="N6" s="11">
        <v>0.58974358974358976</v>
      </c>
      <c r="O6" s="11">
        <v>0.58139534883720934</v>
      </c>
      <c r="P6" s="11">
        <v>0</v>
      </c>
      <c r="Q6" s="11">
        <v>0</v>
      </c>
      <c r="R6" s="11">
        <v>0.42105263157894735</v>
      </c>
      <c r="S6" s="11">
        <v>0.375</v>
      </c>
      <c r="T6" s="11">
        <v>0.23529411764705882</v>
      </c>
      <c r="U6" s="11">
        <v>0</v>
      </c>
      <c r="V6" s="11">
        <v>0</v>
      </c>
      <c r="W6" s="11">
        <v>0</v>
      </c>
      <c r="X6" s="11">
        <v>0.66666666666666663</v>
      </c>
      <c r="Y6" s="11">
        <v>0.46296296296296297</v>
      </c>
      <c r="Z6" s="11">
        <v>0.43181818181818182</v>
      </c>
      <c r="AA6" s="11">
        <v>0.47058823529411764</v>
      </c>
      <c r="AB6" s="11">
        <v>0.39534883720930231</v>
      </c>
      <c r="AC6" s="11">
        <v>0</v>
      </c>
      <c r="AD6" s="11">
        <v>0.83333333333333337</v>
      </c>
      <c r="AE6" s="11">
        <v>0</v>
      </c>
      <c r="AF6" s="11">
        <v>0</v>
      </c>
      <c r="AG6" s="11">
        <v>0.66666666666666663</v>
      </c>
      <c r="AH6" s="11">
        <v>0.51111111111111107</v>
      </c>
      <c r="AI6" s="11">
        <v>0</v>
      </c>
      <c r="AJ6" s="11">
        <v>0</v>
      </c>
      <c r="AK6" s="11">
        <v>0.39655172413793105</v>
      </c>
      <c r="AL6" s="11">
        <f t="shared" ref="AL6:AU6" si="0">IFERROR(AL4/(AL4+AL5),0)</f>
        <v>0</v>
      </c>
      <c r="AM6" s="11">
        <f t="shared" si="0"/>
        <v>0</v>
      </c>
      <c r="AN6" s="11">
        <f t="shared" si="0"/>
        <v>0</v>
      </c>
      <c r="AO6" s="11">
        <f t="shared" si="0"/>
        <v>0</v>
      </c>
      <c r="AP6" s="11">
        <f t="shared" si="0"/>
        <v>0</v>
      </c>
      <c r="AQ6" s="11">
        <f t="shared" si="0"/>
        <v>0</v>
      </c>
      <c r="AR6" s="11">
        <f t="shared" si="0"/>
        <v>0</v>
      </c>
      <c r="AS6" s="11">
        <f t="shared" si="0"/>
        <v>0</v>
      </c>
      <c r="AT6" s="11">
        <f t="shared" si="0"/>
        <v>0</v>
      </c>
      <c r="AU6" s="11">
        <f t="shared" si="0"/>
        <v>0</v>
      </c>
    </row>
    <row r="7" spans="2:47">
      <c r="B7" s="189" t="s">
        <v>7</v>
      </c>
      <c r="C7" s="12">
        <v>0</v>
      </c>
      <c r="D7" s="12">
        <v>0</v>
      </c>
      <c r="E7" s="12">
        <v>47</v>
      </c>
      <c r="F7" s="12">
        <v>10</v>
      </c>
      <c r="G7" s="12">
        <v>14</v>
      </c>
      <c r="H7" s="12">
        <v>0</v>
      </c>
      <c r="I7" s="12">
        <v>5</v>
      </c>
      <c r="J7" s="12">
        <v>2</v>
      </c>
      <c r="K7" s="12">
        <v>66</v>
      </c>
      <c r="L7" s="12">
        <v>0</v>
      </c>
      <c r="M7" s="12">
        <v>0</v>
      </c>
      <c r="N7" s="12">
        <v>39</v>
      </c>
      <c r="O7" s="12">
        <v>43</v>
      </c>
      <c r="P7" s="12">
        <v>0</v>
      </c>
      <c r="Q7" s="12">
        <v>0</v>
      </c>
      <c r="R7" s="12">
        <v>19</v>
      </c>
      <c r="S7" s="12">
        <v>32</v>
      </c>
      <c r="T7" s="12">
        <v>17</v>
      </c>
      <c r="U7" s="12">
        <v>0</v>
      </c>
      <c r="V7" s="12">
        <v>0</v>
      </c>
      <c r="W7" s="12">
        <v>0</v>
      </c>
      <c r="X7" s="12">
        <v>24</v>
      </c>
      <c r="Y7" s="12">
        <v>54</v>
      </c>
      <c r="Z7" s="12">
        <v>44</v>
      </c>
      <c r="AA7" s="12">
        <v>34</v>
      </c>
      <c r="AB7" s="12">
        <v>43</v>
      </c>
      <c r="AC7" s="12">
        <v>2</v>
      </c>
      <c r="AD7" s="12">
        <v>6</v>
      </c>
      <c r="AE7" s="12">
        <v>0</v>
      </c>
      <c r="AF7" s="12">
        <v>0</v>
      </c>
      <c r="AG7" s="12">
        <v>60</v>
      </c>
      <c r="AH7" s="12">
        <v>45</v>
      </c>
      <c r="AI7" s="12">
        <v>0</v>
      </c>
      <c r="AJ7" s="12">
        <v>0</v>
      </c>
      <c r="AK7" s="12">
        <v>58</v>
      </c>
      <c r="AL7" s="12">
        <f t="shared" ref="AL7:AU7" si="1">+AL4+AL5</f>
        <v>0</v>
      </c>
      <c r="AM7" s="12">
        <f t="shared" si="1"/>
        <v>0</v>
      </c>
      <c r="AN7" s="12">
        <f t="shared" si="1"/>
        <v>0</v>
      </c>
      <c r="AO7" s="12">
        <f t="shared" si="1"/>
        <v>0</v>
      </c>
      <c r="AP7" s="12">
        <f t="shared" si="1"/>
        <v>0</v>
      </c>
      <c r="AQ7" s="12">
        <f t="shared" si="1"/>
        <v>0</v>
      </c>
      <c r="AR7" s="12">
        <f t="shared" si="1"/>
        <v>0</v>
      </c>
      <c r="AS7" s="12">
        <f t="shared" si="1"/>
        <v>0</v>
      </c>
      <c r="AT7" s="12">
        <f t="shared" si="1"/>
        <v>0</v>
      </c>
      <c r="AU7" s="12">
        <f t="shared" si="1"/>
        <v>0</v>
      </c>
    </row>
    <row r="8" spans="2:47">
      <c r="B8" s="189" t="s">
        <v>10</v>
      </c>
      <c r="C8" s="65">
        <v>0</v>
      </c>
      <c r="D8" s="65">
        <v>0</v>
      </c>
      <c r="E8" s="65">
        <v>9.0538705296514255E-3</v>
      </c>
      <c r="F8" s="65">
        <v>0.06</v>
      </c>
      <c r="G8" s="65">
        <v>1.020408163265306E-2</v>
      </c>
      <c r="H8" s="65">
        <v>0</v>
      </c>
      <c r="I8" s="65">
        <v>0.16</v>
      </c>
      <c r="J8" s="65">
        <v>0</v>
      </c>
      <c r="K8" s="65">
        <v>1.01010101010101E-2</v>
      </c>
      <c r="L8" s="65">
        <v>0</v>
      </c>
      <c r="M8" s="65">
        <v>0</v>
      </c>
      <c r="N8" s="65">
        <v>1.5121630506245891E-2</v>
      </c>
      <c r="O8" s="65">
        <v>1.3520822065981613E-2</v>
      </c>
      <c r="P8" s="65">
        <v>0</v>
      </c>
      <c r="Q8" s="65">
        <v>0</v>
      </c>
      <c r="R8" s="65">
        <v>2.2160664819944598E-2</v>
      </c>
      <c r="S8" s="65">
        <v>1.171875E-2</v>
      </c>
      <c r="T8" s="65">
        <v>1.384083044982699E-2</v>
      </c>
      <c r="U8" s="65">
        <v>0</v>
      </c>
      <c r="V8" s="65">
        <v>0</v>
      </c>
      <c r="W8" s="65">
        <v>0</v>
      </c>
      <c r="X8" s="65">
        <v>2.7777777777777776E-2</v>
      </c>
      <c r="Y8" s="65">
        <v>8.5733882030178329E-3</v>
      </c>
      <c r="Z8" s="65">
        <v>9.8140495867768598E-3</v>
      </c>
      <c r="AA8" s="65">
        <v>1.384083044982699E-2</v>
      </c>
      <c r="AB8" s="65">
        <v>9.1941590048674957E-3</v>
      </c>
      <c r="AC8" s="65">
        <v>0</v>
      </c>
      <c r="AD8" s="65">
        <v>0.1388888888888889</v>
      </c>
      <c r="AE8" s="65">
        <v>0</v>
      </c>
      <c r="AF8" s="65">
        <v>0</v>
      </c>
      <c r="AG8" s="65">
        <v>1.111111111111111E-2</v>
      </c>
      <c r="AH8" s="65">
        <v>1.1358024691358024E-2</v>
      </c>
      <c r="AI8" s="65">
        <v>0</v>
      </c>
      <c r="AJ8" s="65">
        <v>0</v>
      </c>
      <c r="AK8" s="65">
        <v>6.8370986920332942E-3</v>
      </c>
      <c r="AL8" s="65">
        <f t="shared" ref="AL8:AU8" si="2">IF(AL7&lt;5,0,IFERROR((AL6/AL7),"0"))</f>
        <v>0</v>
      </c>
      <c r="AM8" s="65">
        <f t="shared" si="2"/>
        <v>0</v>
      </c>
      <c r="AN8" s="65">
        <f t="shared" si="2"/>
        <v>0</v>
      </c>
      <c r="AO8" s="65">
        <f t="shared" si="2"/>
        <v>0</v>
      </c>
      <c r="AP8" s="65">
        <f t="shared" si="2"/>
        <v>0</v>
      </c>
      <c r="AQ8" s="65">
        <f t="shared" si="2"/>
        <v>0</v>
      </c>
      <c r="AR8" s="65">
        <f t="shared" si="2"/>
        <v>0</v>
      </c>
      <c r="AS8" s="65">
        <f t="shared" si="2"/>
        <v>0</v>
      </c>
      <c r="AT8" s="65">
        <f t="shared" si="2"/>
        <v>0</v>
      </c>
      <c r="AU8" s="65">
        <f t="shared" si="2"/>
        <v>0</v>
      </c>
    </row>
    <row r="9" spans="2:47">
      <c r="B9" s="189" t="s">
        <v>51</v>
      </c>
      <c r="C9" s="189" t="s">
        <v>389</v>
      </c>
      <c r="D9" s="189" t="s">
        <v>389</v>
      </c>
      <c r="E9" s="189" t="s">
        <v>385</v>
      </c>
      <c r="F9" s="189" t="s">
        <v>386</v>
      </c>
      <c r="G9" s="189" t="s">
        <v>386</v>
      </c>
      <c r="H9" s="189" t="s">
        <v>389</v>
      </c>
      <c r="I9" s="189" t="s">
        <v>386</v>
      </c>
      <c r="J9" s="189" t="s">
        <v>389</v>
      </c>
      <c r="K9" s="189" t="s">
        <v>390</v>
      </c>
      <c r="L9" s="189" t="s">
        <v>389</v>
      </c>
      <c r="M9" s="189" t="s">
        <v>389</v>
      </c>
      <c r="N9" s="189" t="s">
        <v>337</v>
      </c>
      <c r="O9" s="189" t="s">
        <v>337</v>
      </c>
      <c r="P9" s="189" t="s">
        <v>389</v>
      </c>
      <c r="Q9" s="189" t="s">
        <v>389</v>
      </c>
      <c r="R9" s="189" t="s">
        <v>386</v>
      </c>
      <c r="S9" s="189" t="s">
        <v>338</v>
      </c>
      <c r="T9" s="189" t="s">
        <v>386</v>
      </c>
      <c r="U9" s="189" t="s">
        <v>389</v>
      </c>
      <c r="V9" s="189" t="s">
        <v>389</v>
      </c>
      <c r="W9" s="189" t="s">
        <v>389</v>
      </c>
      <c r="X9" s="189" t="s">
        <v>338</v>
      </c>
      <c r="Y9" s="189" t="s">
        <v>385</v>
      </c>
      <c r="Z9" s="189" t="s">
        <v>338</v>
      </c>
      <c r="AA9" s="189" t="s">
        <v>385</v>
      </c>
      <c r="AB9" s="189" t="s">
        <v>338</v>
      </c>
      <c r="AC9" s="189" t="s">
        <v>389</v>
      </c>
      <c r="AD9" s="189" t="s">
        <v>386</v>
      </c>
      <c r="AE9" s="189" t="s">
        <v>389</v>
      </c>
      <c r="AF9" s="189" t="s">
        <v>389</v>
      </c>
      <c r="AG9" s="189" t="s">
        <v>390</v>
      </c>
      <c r="AH9" s="189" t="s">
        <v>337</v>
      </c>
      <c r="AI9" s="189" t="s">
        <v>389</v>
      </c>
      <c r="AJ9" s="189" t="s">
        <v>389</v>
      </c>
      <c r="AK9" s="189" t="s">
        <v>385</v>
      </c>
      <c r="AL9" s="189" t="str">
        <f t="shared" ref="AL9:AU9" si="3">IF(AL7&lt;5,"티어없음",IFERROR(INDEX($C$31:$AU$31,MATCH(AL3,$C$32:$AU$32,0)),"티어없음"))</f>
        <v>티어없음</v>
      </c>
      <c r="AM9" s="189" t="str">
        <f t="shared" si="3"/>
        <v>티어없음</v>
      </c>
      <c r="AN9" s="189" t="str">
        <f t="shared" si="3"/>
        <v>티어없음</v>
      </c>
      <c r="AO9" s="189" t="str">
        <f t="shared" si="3"/>
        <v>티어없음</v>
      </c>
      <c r="AP9" s="189" t="str">
        <f t="shared" si="3"/>
        <v>티어없음</v>
      </c>
      <c r="AQ9" s="189" t="str">
        <f t="shared" si="3"/>
        <v>티어없음</v>
      </c>
      <c r="AR9" s="189" t="str">
        <f t="shared" si="3"/>
        <v>티어없음</v>
      </c>
      <c r="AS9" s="189" t="str">
        <f t="shared" si="3"/>
        <v>티어없음</v>
      </c>
      <c r="AT9" s="189" t="str">
        <f t="shared" si="3"/>
        <v>티어없음</v>
      </c>
      <c r="AU9" s="189" t="str">
        <f t="shared" si="3"/>
        <v>티어없음</v>
      </c>
    </row>
    <row r="10" spans="2:47">
      <c r="B10" s="189" t="s">
        <v>52</v>
      </c>
      <c r="C10" s="31"/>
      <c r="D10" s="31"/>
      <c r="E10" s="31">
        <v>328.98550126338796</v>
      </c>
      <c r="F10" s="31">
        <v>123.59402777777778</v>
      </c>
      <c r="G10" s="31">
        <v>64.908163265306115</v>
      </c>
      <c r="H10" s="31"/>
      <c r="I10" s="31">
        <v>88</v>
      </c>
      <c r="J10" s="31">
        <v>-2</v>
      </c>
      <c r="K10" s="31">
        <v>542.67174805754553</v>
      </c>
      <c r="L10" s="31"/>
      <c r="M10" s="31"/>
      <c r="N10" s="31">
        <v>423.80250845796502</v>
      </c>
      <c r="O10" s="31">
        <v>439.12442857733845</v>
      </c>
      <c r="P10" s="31"/>
      <c r="Q10" s="31"/>
      <c r="R10" s="31">
        <v>211.1894557823129</v>
      </c>
      <c r="S10" s="31">
        <v>287.09436733590371</v>
      </c>
      <c r="T10" s="31">
        <v>107.91333419421487</v>
      </c>
      <c r="U10" s="31"/>
      <c r="V10" s="31"/>
      <c r="W10" s="31"/>
      <c r="X10" s="31">
        <v>294.7994868153292</v>
      </c>
      <c r="Y10" s="31">
        <v>382.69190602058598</v>
      </c>
      <c r="Z10" s="31">
        <v>296.94152097684332</v>
      </c>
      <c r="AA10" s="31">
        <v>319.02282647265974</v>
      </c>
      <c r="AB10" s="31">
        <v>292.03957067287928</v>
      </c>
      <c r="AC10" s="31">
        <v>-2</v>
      </c>
      <c r="AD10" s="31">
        <v>103.88</v>
      </c>
      <c r="AE10" s="31"/>
      <c r="AF10" s="31"/>
      <c r="AG10" s="31">
        <v>478.62434492835888</v>
      </c>
      <c r="AH10" s="31">
        <v>395.86912461372179</v>
      </c>
      <c r="AI10" s="31"/>
      <c r="AJ10" s="31"/>
      <c r="AK10" s="31">
        <v>363.02432742864556</v>
      </c>
      <c r="AL10" s="171"/>
      <c r="AM10" s="171"/>
      <c r="AN10" s="171"/>
      <c r="AO10" s="171"/>
      <c r="AP10" s="171"/>
      <c r="AQ10" s="171"/>
      <c r="AR10" s="171"/>
      <c r="AS10" s="171"/>
      <c r="AT10" s="171"/>
      <c r="AU10" s="171"/>
    </row>
  </sheetData>
  <mergeCells count="1">
    <mergeCell ref="B2:E2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조편성</vt:lpstr>
      <vt:lpstr>조편성_MMR</vt:lpstr>
      <vt:lpstr>현재시즌</vt:lpstr>
      <vt:lpstr>현재시즌_부캐릭분류</vt:lpstr>
      <vt:lpstr>현재시즌_캐릭별전적</vt:lpstr>
      <vt:lpstr>백업</vt:lpstr>
      <vt:lpstr>지난시즌_MMR참고용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Jo, minhyung</dc:creator>
  <cp:lastModifiedBy>김연식</cp:lastModifiedBy>
  <dcterms:created xsi:type="dcterms:W3CDTF">2023-07-14T05:51:32Z</dcterms:created>
  <dcterms:modified xsi:type="dcterms:W3CDTF">2023-09-20T01:20:32Z</dcterms:modified>
</cp:coreProperties>
</file>